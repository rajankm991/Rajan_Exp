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ajan.km991/Desktop/"/>
    </mc:Choice>
  </mc:AlternateContent>
  <xr:revisionPtr revIDLastSave="0" documentId="13_ncr:1_{B522D13A-A1D8-E547-8EF4-7DDB4A39A9FB}" xr6:coauthVersionLast="47" xr6:coauthVersionMax="47" xr10:uidLastSave="{00000000-0000-0000-0000-000000000000}"/>
  <bookViews>
    <workbookView xWindow="0" yWindow="600" windowWidth="25600" windowHeight="14340" tabRatio="720" activeTab="6" xr2:uid="{00000000-000D-0000-FFFF-FFFF00000000}"/>
  </bookViews>
  <sheets>
    <sheet name="📊 Executive Dashboard" sheetId="9" r:id="rId1"/>
    <sheet name="🏠 Dashboard" sheetId="1" r:id="rId2"/>
    <sheet name="Settings" sheetId="3" r:id="rId3"/>
    <sheet name="Detailed" sheetId="4" r:id="rId4"/>
    <sheet name="Salary" sheetId="5" r:id="rId5"/>
    <sheet name="EMI" sheetId="7" r:id="rId6"/>
    <sheet name="Transactions" sheetId="2" r:id="rId7"/>
    <sheet name="Cashflow" sheetId="6" r:id="rId8"/>
    <sheet name="Own" sheetId="8" r:id="rId9"/>
  </sheets>
  <definedNames>
    <definedName name="_xlnm._FilterDatabase" localSheetId="1" hidden="1">Settings!#REF!</definedName>
    <definedName name="_xlnm._FilterDatabase" localSheetId="4" hidden="1">EMI!$Q$1:$Q$21</definedName>
    <definedName name="_xlnm._FilterDatabase" localSheetId="2" hidden="1">Detailed!$N$9:$T$9</definedName>
    <definedName name="CashflowTypeList">Settings!$K$12:$K$13</definedName>
    <definedName name="CategoryList">Settings!$D$13:$D$40</definedName>
    <definedName name="LenderList">Settings!$E$13:$E$40</definedName>
    <definedName name="PaymentModeList">Settings!$J$12:$J$18</definedName>
    <definedName name="TxnTypeList">Settings!$I$12:$I$14</definedName>
    <definedName name="YearList">Settings!$E$58:$E$77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70" i="8" l="1"/>
  <c r="AJ70" i="8" s="1"/>
  <c r="AH69" i="8"/>
  <c r="AJ69" i="8" s="1"/>
  <c r="AH68" i="8"/>
  <c r="AJ68" i="8" s="1"/>
  <c r="AH67" i="8"/>
  <c r="AJ67" i="8" s="1"/>
  <c r="AH66" i="8"/>
  <c r="AJ66" i="8" s="1"/>
  <c r="D66" i="8"/>
  <c r="AH65" i="8"/>
  <c r="AJ65" i="8" s="1"/>
  <c r="D65" i="8"/>
  <c r="AH64" i="8"/>
  <c r="AJ64" i="8" s="1"/>
  <c r="D64" i="8"/>
  <c r="AH63" i="8"/>
  <c r="AJ63" i="8" s="1"/>
  <c r="D63" i="8"/>
  <c r="AH62" i="8"/>
  <c r="AJ62" i="8" s="1"/>
  <c r="D62" i="8"/>
  <c r="AH61" i="8"/>
  <c r="AJ61" i="8" s="1"/>
  <c r="D61" i="8"/>
  <c r="AH60" i="8"/>
  <c r="AJ60" i="8" s="1"/>
  <c r="D60" i="8"/>
  <c r="AH59" i="8"/>
  <c r="AJ59" i="8" s="1"/>
  <c r="D59" i="8"/>
  <c r="AH58" i="8"/>
  <c r="AJ58" i="8" s="1"/>
  <c r="AH57" i="8"/>
  <c r="AJ57" i="8" s="1"/>
  <c r="D57" i="8"/>
  <c r="AH56" i="8"/>
  <c r="AJ56" i="8" s="1"/>
  <c r="D56" i="8"/>
  <c r="AH55" i="8"/>
  <c r="AJ55" i="8" s="1"/>
  <c r="D55" i="8"/>
  <c r="D52" i="8" s="1"/>
  <c r="AH54" i="8"/>
  <c r="AJ54" i="8" s="1"/>
  <c r="D54" i="8"/>
  <c r="AH53" i="8"/>
  <c r="AJ53" i="8" s="1"/>
  <c r="AJ52" i="8"/>
  <c r="AH52" i="8"/>
  <c r="AJ51" i="8"/>
  <c r="AH51" i="8"/>
  <c r="AH50" i="8"/>
  <c r="AJ50" i="8" s="1"/>
  <c r="AH49" i="8"/>
  <c r="AJ49" i="8" s="1"/>
  <c r="AH48" i="8"/>
  <c r="AJ48" i="8" s="1"/>
  <c r="D48" i="8"/>
  <c r="AH47" i="8"/>
  <c r="AJ47" i="8" s="1"/>
  <c r="AJ46" i="8"/>
  <c r="AH46" i="8"/>
  <c r="D46" i="8"/>
  <c r="AJ45" i="8"/>
  <c r="AH45" i="8"/>
  <c r="D45" i="8"/>
  <c r="AJ44" i="8"/>
  <c r="AH44" i="8"/>
  <c r="D44" i="8"/>
  <c r="AJ43" i="8"/>
  <c r="AH43" i="8"/>
  <c r="AJ42" i="8"/>
  <c r="AH42" i="8"/>
  <c r="D42" i="8"/>
  <c r="AJ41" i="8"/>
  <c r="AH41" i="8"/>
  <c r="D41" i="8"/>
  <c r="AJ40" i="8"/>
  <c r="AH40" i="8"/>
  <c r="D40" i="8"/>
  <c r="AJ39" i="8"/>
  <c r="AH39" i="8"/>
  <c r="D39" i="8"/>
  <c r="D43" i="8" s="1"/>
  <c r="AJ38" i="8"/>
  <c r="AH38" i="8"/>
  <c r="AH37" i="8"/>
  <c r="AJ37" i="8" s="1"/>
  <c r="AJ36" i="8"/>
  <c r="AH36" i="8"/>
  <c r="AH35" i="8"/>
  <c r="AJ35" i="8" s="1"/>
  <c r="AJ34" i="8"/>
  <c r="AH34" i="8"/>
  <c r="AJ33" i="8"/>
  <c r="AH33" i="8"/>
  <c r="AH32" i="8"/>
  <c r="AJ32" i="8" s="1"/>
  <c r="AH31" i="8"/>
  <c r="AJ31" i="8" s="1"/>
  <c r="AJ30" i="8"/>
  <c r="AH30" i="8"/>
  <c r="AH29" i="8"/>
  <c r="AJ29" i="8" s="1"/>
  <c r="AJ28" i="8"/>
  <c r="AH28" i="8"/>
  <c r="AH27" i="8"/>
  <c r="AJ27" i="8" s="1"/>
  <c r="AJ26" i="8"/>
  <c r="AH26" i="8"/>
  <c r="AJ25" i="8"/>
  <c r="AH25" i="8"/>
  <c r="AH24" i="8"/>
  <c r="AJ24" i="8" s="1"/>
  <c r="AH23" i="8"/>
  <c r="AJ23" i="8" s="1"/>
  <c r="AJ22" i="8"/>
  <c r="AH22" i="8"/>
  <c r="AH21" i="8"/>
  <c r="AJ21" i="8" s="1"/>
  <c r="AJ20" i="8"/>
  <c r="AH20" i="8"/>
  <c r="AH19" i="8"/>
  <c r="AJ19" i="8" s="1"/>
  <c r="AJ18" i="8"/>
  <c r="AH18" i="8"/>
  <c r="AJ17" i="8"/>
  <c r="AH17" i="8"/>
  <c r="AH16" i="8"/>
  <c r="AJ16" i="8" s="1"/>
  <c r="AH15" i="8"/>
  <c r="AJ15" i="8" s="1"/>
  <c r="AJ14" i="8"/>
  <c r="AH14" i="8"/>
  <c r="AH13" i="8"/>
  <c r="AJ13" i="8" s="1"/>
  <c r="AJ12" i="8"/>
  <c r="AH12" i="8"/>
  <c r="AH11" i="8"/>
  <c r="AJ11" i="8" s="1"/>
  <c r="Y11" i="8"/>
  <c r="AH10" i="8"/>
  <c r="AJ10" i="8" s="1"/>
  <c r="Y10" i="8"/>
  <c r="V10" i="8"/>
  <c r="AH9" i="8"/>
  <c r="AJ9" i="8" s="1"/>
  <c r="AH8" i="8"/>
  <c r="AI50" i="8" s="1"/>
  <c r="AJ7" i="8"/>
  <c r="AH7" i="8"/>
  <c r="AI6" i="8"/>
  <c r="AH6" i="8"/>
  <c r="AJ6" i="8" s="1"/>
  <c r="AJ5" i="8"/>
  <c r="AI5" i="8"/>
  <c r="AH5" i="8"/>
  <c r="AH4" i="8"/>
  <c r="AJ4" i="8" s="1"/>
  <c r="AJ3" i="8"/>
  <c r="AH3" i="8"/>
  <c r="AI57" i="8" s="1"/>
  <c r="E2" i="8"/>
  <c r="M1" i="8"/>
  <c r="L1" i="8"/>
  <c r="K1" i="8"/>
  <c r="J305" i="6"/>
  <c r="I305" i="6"/>
  <c r="G305" i="6"/>
  <c r="E305" i="6"/>
  <c r="J304" i="6"/>
  <c r="I304" i="6"/>
  <c r="G304" i="6"/>
  <c r="E304" i="6"/>
  <c r="J303" i="6"/>
  <c r="I303" i="6"/>
  <c r="G303" i="6"/>
  <c r="E303" i="6"/>
  <c r="J302" i="6"/>
  <c r="I302" i="6"/>
  <c r="G302" i="6"/>
  <c r="E302" i="6"/>
  <c r="J301" i="6"/>
  <c r="I301" i="6"/>
  <c r="G301" i="6"/>
  <c r="E301" i="6"/>
  <c r="J300" i="6"/>
  <c r="I300" i="6"/>
  <c r="G300" i="6"/>
  <c r="E300" i="6"/>
  <c r="J299" i="6"/>
  <c r="I299" i="6"/>
  <c r="G299" i="6"/>
  <c r="E299" i="6"/>
  <c r="J298" i="6"/>
  <c r="I298" i="6"/>
  <c r="G298" i="6"/>
  <c r="E298" i="6"/>
  <c r="J297" i="6"/>
  <c r="I297" i="6"/>
  <c r="G297" i="6"/>
  <c r="E297" i="6"/>
  <c r="J296" i="6"/>
  <c r="I296" i="6"/>
  <c r="G296" i="6"/>
  <c r="E296" i="6"/>
  <c r="J295" i="6"/>
  <c r="I295" i="6"/>
  <c r="G295" i="6"/>
  <c r="E295" i="6"/>
  <c r="J294" i="6"/>
  <c r="I294" i="6"/>
  <c r="G294" i="6"/>
  <c r="E294" i="6"/>
  <c r="J293" i="6"/>
  <c r="I293" i="6"/>
  <c r="G293" i="6"/>
  <c r="E293" i="6"/>
  <c r="J292" i="6"/>
  <c r="I292" i="6"/>
  <c r="G292" i="6"/>
  <c r="E292" i="6"/>
  <c r="J291" i="6"/>
  <c r="I291" i="6"/>
  <c r="G291" i="6"/>
  <c r="E291" i="6"/>
  <c r="J290" i="6"/>
  <c r="I290" i="6"/>
  <c r="G290" i="6"/>
  <c r="E290" i="6"/>
  <c r="J289" i="6"/>
  <c r="I289" i="6"/>
  <c r="G289" i="6"/>
  <c r="E289" i="6"/>
  <c r="J288" i="6"/>
  <c r="I288" i="6"/>
  <c r="G288" i="6"/>
  <c r="E288" i="6"/>
  <c r="J287" i="6"/>
  <c r="I287" i="6"/>
  <c r="G287" i="6"/>
  <c r="E287" i="6"/>
  <c r="J286" i="6"/>
  <c r="I286" i="6"/>
  <c r="G286" i="6"/>
  <c r="E286" i="6"/>
  <c r="J285" i="6"/>
  <c r="I285" i="6"/>
  <c r="G285" i="6"/>
  <c r="E285" i="6"/>
  <c r="J284" i="6"/>
  <c r="I284" i="6"/>
  <c r="G284" i="6"/>
  <c r="E284" i="6"/>
  <c r="J283" i="6"/>
  <c r="I283" i="6"/>
  <c r="G283" i="6"/>
  <c r="E283" i="6"/>
  <c r="J282" i="6"/>
  <c r="I282" i="6"/>
  <c r="G282" i="6"/>
  <c r="E282" i="6"/>
  <c r="J281" i="6"/>
  <c r="I281" i="6"/>
  <c r="G281" i="6"/>
  <c r="E281" i="6"/>
  <c r="J280" i="6"/>
  <c r="I280" i="6"/>
  <c r="G280" i="6"/>
  <c r="E280" i="6"/>
  <c r="J279" i="6"/>
  <c r="I279" i="6"/>
  <c r="G279" i="6"/>
  <c r="E279" i="6"/>
  <c r="J278" i="6"/>
  <c r="I278" i="6"/>
  <c r="G278" i="6"/>
  <c r="E278" i="6"/>
  <c r="J277" i="6"/>
  <c r="I277" i="6"/>
  <c r="G277" i="6"/>
  <c r="E277" i="6"/>
  <c r="J276" i="6"/>
  <c r="I276" i="6"/>
  <c r="G276" i="6"/>
  <c r="E276" i="6"/>
  <c r="J275" i="6"/>
  <c r="I275" i="6"/>
  <c r="G275" i="6"/>
  <c r="E275" i="6"/>
  <c r="J274" i="6"/>
  <c r="I274" i="6"/>
  <c r="G274" i="6"/>
  <c r="E274" i="6"/>
  <c r="J273" i="6"/>
  <c r="I273" i="6"/>
  <c r="G273" i="6"/>
  <c r="E273" i="6"/>
  <c r="J272" i="6"/>
  <c r="I272" i="6"/>
  <c r="G272" i="6"/>
  <c r="E272" i="6"/>
  <c r="J271" i="6"/>
  <c r="I271" i="6"/>
  <c r="G271" i="6"/>
  <c r="E271" i="6"/>
  <c r="J270" i="6"/>
  <c r="I270" i="6"/>
  <c r="G270" i="6"/>
  <c r="E270" i="6"/>
  <c r="J269" i="6"/>
  <c r="I269" i="6"/>
  <c r="G269" i="6"/>
  <c r="E269" i="6"/>
  <c r="J268" i="6"/>
  <c r="I268" i="6"/>
  <c r="G268" i="6"/>
  <c r="E268" i="6"/>
  <c r="J267" i="6"/>
  <c r="I267" i="6"/>
  <c r="G267" i="6"/>
  <c r="E267" i="6"/>
  <c r="J266" i="6"/>
  <c r="I266" i="6"/>
  <c r="G266" i="6"/>
  <c r="E266" i="6"/>
  <c r="J265" i="6"/>
  <c r="I265" i="6"/>
  <c r="G265" i="6"/>
  <c r="E265" i="6"/>
  <c r="J264" i="6"/>
  <c r="I264" i="6"/>
  <c r="G264" i="6"/>
  <c r="E264" i="6"/>
  <c r="J263" i="6"/>
  <c r="I263" i="6"/>
  <c r="G263" i="6"/>
  <c r="E263" i="6"/>
  <c r="J262" i="6"/>
  <c r="I262" i="6"/>
  <c r="G262" i="6"/>
  <c r="E262" i="6"/>
  <c r="J261" i="6"/>
  <c r="I261" i="6"/>
  <c r="G261" i="6"/>
  <c r="E261" i="6"/>
  <c r="J260" i="6"/>
  <c r="I260" i="6"/>
  <c r="G260" i="6"/>
  <c r="E260" i="6"/>
  <c r="J259" i="6"/>
  <c r="I259" i="6"/>
  <c r="G259" i="6"/>
  <c r="E259" i="6"/>
  <c r="J258" i="6"/>
  <c r="I258" i="6"/>
  <c r="G258" i="6"/>
  <c r="E258" i="6"/>
  <c r="J257" i="6"/>
  <c r="I257" i="6"/>
  <c r="G257" i="6"/>
  <c r="E257" i="6"/>
  <c r="J256" i="6"/>
  <c r="I256" i="6"/>
  <c r="G256" i="6"/>
  <c r="E256" i="6"/>
  <c r="J255" i="6"/>
  <c r="I255" i="6"/>
  <c r="G255" i="6"/>
  <c r="E255" i="6"/>
  <c r="J254" i="6"/>
  <c r="I254" i="6"/>
  <c r="G254" i="6"/>
  <c r="E254" i="6"/>
  <c r="J253" i="6"/>
  <c r="I253" i="6"/>
  <c r="G253" i="6"/>
  <c r="E253" i="6"/>
  <c r="J252" i="6"/>
  <c r="I252" i="6"/>
  <c r="G252" i="6"/>
  <c r="E252" i="6"/>
  <c r="J251" i="6"/>
  <c r="I251" i="6"/>
  <c r="G251" i="6"/>
  <c r="E251" i="6"/>
  <c r="J250" i="6"/>
  <c r="I250" i="6"/>
  <c r="G250" i="6"/>
  <c r="E250" i="6"/>
  <c r="J249" i="6"/>
  <c r="I249" i="6"/>
  <c r="G249" i="6"/>
  <c r="E249" i="6"/>
  <c r="J248" i="6"/>
  <c r="I248" i="6"/>
  <c r="G248" i="6"/>
  <c r="E248" i="6"/>
  <c r="J247" i="6"/>
  <c r="I247" i="6"/>
  <c r="G247" i="6"/>
  <c r="E247" i="6"/>
  <c r="J246" i="6"/>
  <c r="I246" i="6"/>
  <c r="G246" i="6"/>
  <c r="E246" i="6"/>
  <c r="J245" i="6"/>
  <c r="I245" i="6"/>
  <c r="G245" i="6"/>
  <c r="E245" i="6"/>
  <c r="J244" i="6"/>
  <c r="I244" i="6"/>
  <c r="G244" i="6"/>
  <c r="E244" i="6"/>
  <c r="J243" i="6"/>
  <c r="I243" i="6"/>
  <c r="G243" i="6"/>
  <c r="E243" i="6"/>
  <c r="J242" i="6"/>
  <c r="I242" i="6"/>
  <c r="G242" i="6"/>
  <c r="E242" i="6"/>
  <c r="J241" i="6"/>
  <c r="I241" i="6"/>
  <c r="G241" i="6"/>
  <c r="E241" i="6"/>
  <c r="J240" i="6"/>
  <c r="I240" i="6"/>
  <c r="G240" i="6"/>
  <c r="E240" i="6"/>
  <c r="J239" i="6"/>
  <c r="I239" i="6"/>
  <c r="G239" i="6"/>
  <c r="E239" i="6"/>
  <c r="J238" i="6"/>
  <c r="I238" i="6"/>
  <c r="G238" i="6"/>
  <c r="E238" i="6"/>
  <c r="J237" i="6"/>
  <c r="I237" i="6"/>
  <c r="G237" i="6"/>
  <c r="E237" i="6"/>
  <c r="J236" i="6"/>
  <c r="I236" i="6"/>
  <c r="G236" i="6"/>
  <c r="E236" i="6"/>
  <c r="J235" i="6"/>
  <c r="I235" i="6"/>
  <c r="G235" i="6"/>
  <c r="E235" i="6"/>
  <c r="J234" i="6"/>
  <c r="I234" i="6"/>
  <c r="G234" i="6"/>
  <c r="E234" i="6"/>
  <c r="J233" i="6"/>
  <c r="I233" i="6"/>
  <c r="G233" i="6"/>
  <c r="E233" i="6"/>
  <c r="J232" i="6"/>
  <c r="I232" i="6"/>
  <c r="G232" i="6"/>
  <c r="E232" i="6"/>
  <c r="J231" i="6"/>
  <c r="I231" i="6"/>
  <c r="G231" i="6"/>
  <c r="E231" i="6"/>
  <c r="J230" i="6"/>
  <c r="I230" i="6"/>
  <c r="G230" i="6"/>
  <c r="E230" i="6"/>
  <c r="J229" i="6"/>
  <c r="I229" i="6"/>
  <c r="G229" i="6"/>
  <c r="E229" i="6"/>
  <c r="J228" i="6"/>
  <c r="I228" i="6"/>
  <c r="G228" i="6"/>
  <c r="E228" i="6"/>
  <c r="J227" i="6"/>
  <c r="I227" i="6"/>
  <c r="G227" i="6"/>
  <c r="E227" i="6"/>
  <c r="J226" i="6"/>
  <c r="I226" i="6"/>
  <c r="G226" i="6"/>
  <c r="E226" i="6"/>
  <c r="J225" i="6"/>
  <c r="I225" i="6"/>
  <c r="G225" i="6"/>
  <c r="E225" i="6"/>
  <c r="J224" i="6"/>
  <c r="I224" i="6"/>
  <c r="G224" i="6"/>
  <c r="E224" i="6"/>
  <c r="J223" i="6"/>
  <c r="I223" i="6"/>
  <c r="G223" i="6"/>
  <c r="E223" i="6"/>
  <c r="J222" i="6"/>
  <c r="I222" i="6"/>
  <c r="G222" i="6"/>
  <c r="E222" i="6"/>
  <c r="J221" i="6"/>
  <c r="I221" i="6"/>
  <c r="G221" i="6"/>
  <c r="E221" i="6"/>
  <c r="J220" i="6"/>
  <c r="I220" i="6"/>
  <c r="G220" i="6"/>
  <c r="E220" i="6"/>
  <c r="J219" i="6"/>
  <c r="I219" i="6"/>
  <c r="G219" i="6"/>
  <c r="E219" i="6"/>
  <c r="J218" i="6"/>
  <c r="I218" i="6"/>
  <c r="G218" i="6"/>
  <c r="E218" i="6"/>
  <c r="J217" i="6"/>
  <c r="I217" i="6"/>
  <c r="G217" i="6"/>
  <c r="E217" i="6"/>
  <c r="J216" i="6"/>
  <c r="I216" i="6"/>
  <c r="G216" i="6"/>
  <c r="E216" i="6"/>
  <c r="J215" i="6"/>
  <c r="I215" i="6"/>
  <c r="G215" i="6"/>
  <c r="E215" i="6"/>
  <c r="J214" i="6"/>
  <c r="I214" i="6"/>
  <c r="G214" i="6"/>
  <c r="E214" i="6"/>
  <c r="J213" i="6"/>
  <c r="I213" i="6"/>
  <c r="G213" i="6"/>
  <c r="E213" i="6"/>
  <c r="J212" i="6"/>
  <c r="I212" i="6"/>
  <c r="G212" i="6"/>
  <c r="E212" i="6"/>
  <c r="J211" i="6"/>
  <c r="I211" i="6"/>
  <c r="G211" i="6"/>
  <c r="E211" i="6"/>
  <c r="J210" i="6"/>
  <c r="I210" i="6"/>
  <c r="G210" i="6"/>
  <c r="E210" i="6"/>
  <c r="J209" i="6"/>
  <c r="I209" i="6"/>
  <c r="G209" i="6"/>
  <c r="E209" i="6"/>
  <c r="J208" i="6"/>
  <c r="I208" i="6"/>
  <c r="G208" i="6"/>
  <c r="E208" i="6"/>
  <c r="J207" i="6"/>
  <c r="I207" i="6"/>
  <c r="G207" i="6"/>
  <c r="E207" i="6"/>
  <c r="J206" i="6"/>
  <c r="I206" i="6"/>
  <c r="G206" i="6"/>
  <c r="E206" i="6"/>
  <c r="J205" i="6"/>
  <c r="I205" i="6"/>
  <c r="G205" i="6"/>
  <c r="E205" i="6"/>
  <c r="J204" i="6"/>
  <c r="I204" i="6"/>
  <c r="G204" i="6"/>
  <c r="E204" i="6"/>
  <c r="J203" i="6"/>
  <c r="I203" i="6"/>
  <c r="G203" i="6"/>
  <c r="E203" i="6"/>
  <c r="J202" i="6"/>
  <c r="I202" i="6"/>
  <c r="G202" i="6"/>
  <c r="E202" i="6"/>
  <c r="J201" i="6"/>
  <c r="I201" i="6"/>
  <c r="G201" i="6"/>
  <c r="E201" i="6"/>
  <c r="J200" i="6"/>
  <c r="I200" i="6"/>
  <c r="G200" i="6"/>
  <c r="E200" i="6"/>
  <c r="J199" i="6"/>
  <c r="I199" i="6"/>
  <c r="G199" i="6"/>
  <c r="E199" i="6"/>
  <c r="J198" i="6"/>
  <c r="I198" i="6"/>
  <c r="G198" i="6"/>
  <c r="E198" i="6"/>
  <c r="J197" i="6"/>
  <c r="I197" i="6"/>
  <c r="G197" i="6"/>
  <c r="E197" i="6"/>
  <c r="J196" i="6"/>
  <c r="I196" i="6"/>
  <c r="G196" i="6"/>
  <c r="E196" i="6"/>
  <c r="J195" i="6"/>
  <c r="I195" i="6"/>
  <c r="G195" i="6"/>
  <c r="E195" i="6"/>
  <c r="J194" i="6"/>
  <c r="I194" i="6"/>
  <c r="G194" i="6"/>
  <c r="E194" i="6"/>
  <c r="J193" i="6"/>
  <c r="I193" i="6"/>
  <c r="G193" i="6"/>
  <c r="E193" i="6"/>
  <c r="J192" i="6"/>
  <c r="I192" i="6"/>
  <c r="G192" i="6"/>
  <c r="E192" i="6"/>
  <c r="J191" i="6"/>
  <c r="I191" i="6"/>
  <c r="G191" i="6"/>
  <c r="E191" i="6"/>
  <c r="J190" i="6"/>
  <c r="I190" i="6"/>
  <c r="G190" i="6"/>
  <c r="E190" i="6"/>
  <c r="J189" i="6"/>
  <c r="I189" i="6"/>
  <c r="G189" i="6"/>
  <c r="E189" i="6"/>
  <c r="J188" i="6"/>
  <c r="I188" i="6"/>
  <c r="G188" i="6"/>
  <c r="E188" i="6"/>
  <c r="J187" i="6"/>
  <c r="I187" i="6"/>
  <c r="G187" i="6"/>
  <c r="E187" i="6"/>
  <c r="J186" i="6"/>
  <c r="I186" i="6"/>
  <c r="G186" i="6"/>
  <c r="E186" i="6"/>
  <c r="J185" i="6"/>
  <c r="I185" i="6"/>
  <c r="G185" i="6"/>
  <c r="E185" i="6"/>
  <c r="J184" i="6"/>
  <c r="I184" i="6"/>
  <c r="G184" i="6"/>
  <c r="E184" i="6"/>
  <c r="J183" i="6"/>
  <c r="I183" i="6"/>
  <c r="G183" i="6"/>
  <c r="E183" i="6"/>
  <c r="J182" i="6"/>
  <c r="I182" i="6"/>
  <c r="G182" i="6"/>
  <c r="E182" i="6"/>
  <c r="J181" i="6"/>
  <c r="I181" i="6"/>
  <c r="G181" i="6"/>
  <c r="E181" i="6"/>
  <c r="J180" i="6"/>
  <c r="I180" i="6"/>
  <c r="G180" i="6"/>
  <c r="E180" i="6"/>
  <c r="J179" i="6"/>
  <c r="I179" i="6"/>
  <c r="G179" i="6"/>
  <c r="E179" i="6"/>
  <c r="J178" i="6"/>
  <c r="I178" i="6"/>
  <c r="G178" i="6"/>
  <c r="E178" i="6"/>
  <c r="J177" i="6"/>
  <c r="I177" i="6"/>
  <c r="G177" i="6"/>
  <c r="E177" i="6"/>
  <c r="J176" i="6"/>
  <c r="I176" i="6"/>
  <c r="G176" i="6"/>
  <c r="E176" i="6"/>
  <c r="J175" i="6"/>
  <c r="I175" i="6"/>
  <c r="G175" i="6"/>
  <c r="E175" i="6"/>
  <c r="J174" i="6"/>
  <c r="I174" i="6"/>
  <c r="G174" i="6"/>
  <c r="E174" i="6"/>
  <c r="J173" i="6"/>
  <c r="I173" i="6"/>
  <c r="G173" i="6"/>
  <c r="E173" i="6"/>
  <c r="J172" i="6"/>
  <c r="I172" i="6"/>
  <c r="G172" i="6"/>
  <c r="E172" i="6"/>
  <c r="J171" i="6"/>
  <c r="I171" i="6"/>
  <c r="G171" i="6"/>
  <c r="E171" i="6"/>
  <c r="J170" i="6"/>
  <c r="I170" i="6"/>
  <c r="G170" i="6"/>
  <c r="E170" i="6"/>
  <c r="J169" i="6"/>
  <c r="I169" i="6"/>
  <c r="G169" i="6"/>
  <c r="E169" i="6"/>
  <c r="J168" i="6"/>
  <c r="I168" i="6"/>
  <c r="G168" i="6"/>
  <c r="E168" i="6"/>
  <c r="J167" i="6"/>
  <c r="I167" i="6"/>
  <c r="G167" i="6"/>
  <c r="E167" i="6"/>
  <c r="J166" i="6"/>
  <c r="I166" i="6"/>
  <c r="G166" i="6"/>
  <c r="E166" i="6"/>
  <c r="J165" i="6"/>
  <c r="I165" i="6"/>
  <c r="G165" i="6"/>
  <c r="E165" i="6"/>
  <c r="J164" i="6"/>
  <c r="I164" i="6"/>
  <c r="G164" i="6"/>
  <c r="E164" i="6"/>
  <c r="J163" i="6"/>
  <c r="I163" i="6"/>
  <c r="G163" i="6"/>
  <c r="E163" i="6"/>
  <c r="J162" i="6"/>
  <c r="I162" i="6"/>
  <c r="G162" i="6"/>
  <c r="E162" i="6"/>
  <c r="J161" i="6"/>
  <c r="I161" i="6"/>
  <c r="G161" i="6"/>
  <c r="E161" i="6"/>
  <c r="J160" i="6"/>
  <c r="I160" i="6"/>
  <c r="G160" i="6"/>
  <c r="E160" i="6"/>
  <c r="J159" i="6"/>
  <c r="I159" i="6"/>
  <c r="G159" i="6"/>
  <c r="E159" i="6"/>
  <c r="J158" i="6"/>
  <c r="I158" i="6"/>
  <c r="G158" i="6"/>
  <c r="E158" i="6"/>
  <c r="J157" i="6"/>
  <c r="I157" i="6"/>
  <c r="G157" i="6"/>
  <c r="E157" i="6"/>
  <c r="J156" i="6"/>
  <c r="I156" i="6"/>
  <c r="G156" i="6"/>
  <c r="E156" i="6"/>
  <c r="J155" i="6"/>
  <c r="I155" i="6"/>
  <c r="G155" i="6"/>
  <c r="E155" i="6"/>
  <c r="J154" i="6"/>
  <c r="I154" i="6"/>
  <c r="G154" i="6"/>
  <c r="E154" i="6"/>
  <c r="J153" i="6"/>
  <c r="I153" i="6"/>
  <c r="G153" i="6"/>
  <c r="E153" i="6"/>
  <c r="J152" i="6"/>
  <c r="I152" i="6"/>
  <c r="G152" i="6"/>
  <c r="E152" i="6"/>
  <c r="J151" i="6"/>
  <c r="I151" i="6"/>
  <c r="G151" i="6"/>
  <c r="E151" i="6"/>
  <c r="J150" i="6"/>
  <c r="I150" i="6"/>
  <c r="G150" i="6"/>
  <c r="E150" i="6"/>
  <c r="J149" i="6"/>
  <c r="I149" i="6"/>
  <c r="G149" i="6"/>
  <c r="E149" i="6"/>
  <c r="J148" i="6"/>
  <c r="I148" i="6"/>
  <c r="G148" i="6"/>
  <c r="E148" i="6"/>
  <c r="J147" i="6"/>
  <c r="I147" i="6"/>
  <c r="G147" i="6"/>
  <c r="E147" i="6"/>
  <c r="J146" i="6"/>
  <c r="I146" i="6"/>
  <c r="G146" i="6"/>
  <c r="E146" i="6"/>
  <c r="J145" i="6"/>
  <c r="I145" i="6"/>
  <c r="G145" i="6"/>
  <c r="E145" i="6"/>
  <c r="J144" i="6"/>
  <c r="I144" i="6"/>
  <c r="G144" i="6"/>
  <c r="E144" i="6"/>
  <c r="J143" i="6"/>
  <c r="I143" i="6"/>
  <c r="G143" i="6"/>
  <c r="E143" i="6"/>
  <c r="J142" i="6"/>
  <c r="I142" i="6"/>
  <c r="G142" i="6"/>
  <c r="E142" i="6"/>
  <c r="J141" i="6"/>
  <c r="I141" i="6"/>
  <c r="G141" i="6"/>
  <c r="E141" i="6"/>
  <c r="J140" i="6"/>
  <c r="I140" i="6"/>
  <c r="G140" i="6"/>
  <c r="E140" i="6"/>
  <c r="J139" i="6"/>
  <c r="I139" i="6"/>
  <c r="G139" i="6"/>
  <c r="E139" i="6"/>
  <c r="J138" i="6"/>
  <c r="I138" i="6"/>
  <c r="G138" i="6"/>
  <c r="E138" i="6"/>
  <c r="J137" i="6"/>
  <c r="I137" i="6"/>
  <c r="G137" i="6"/>
  <c r="E137" i="6"/>
  <c r="J136" i="6"/>
  <c r="I136" i="6"/>
  <c r="G136" i="6"/>
  <c r="E136" i="6"/>
  <c r="J135" i="6"/>
  <c r="I135" i="6"/>
  <c r="G135" i="6"/>
  <c r="E135" i="6"/>
  <c r="J134" i="6"/>
  <c r="I134" i="6"/>
  <c r="G134" i="6"/>
  <c r="E134" i="6"/>
  <c r="J133" i="6"/>
  <c r="I133" i="6"/>
  <c r="G133" i="6"/>
  <c r="E133" i="6"/>
  <c r="J132" i="6"/>
  <c r="I132" i="6"/>
  <c r="G132" i="6"/>
  <c r="E132" i="6"/>
  <c r="J131" i="6"/>
  <c r="I131" i="6"/>
  <c r="G131" i="6"/>
  <c r="E131" i="6"/>
  <c r="J130" i="6"/>
  <c r="I130" i="6"/>
  <c r="G130" i="6"/>
  <c r="E130" i="6"/>
  <c r="J129" i="6"/>
  <c r="I129" i="6"/>
  <c r="G129" i="6"/>
  <c r="E129" i="6"/>
  <c r="J128" i="6"/>
  <c r="I128" i="6"/>
  <c r="G128" i="6"/>
  <c r="E128" i="6"/>
  <c r="J127" i="6"/>
  <c r="I127" i="6"/>
  <c r="G127" i="6"/>
  <c r="E127" i="6"/>
  <c r="J126" i="6"/>
  <c r="I126" i="6"/>
  <c r="G126" i="6"/>
  <c r="E126" i="6"/>
  <c r="J125" i="6"/>
  <c r="I125" i="6"/>
  <c r="G125" i="6"/>
  <c r="E125" i="6"/>
  <c r="J124" i="6"/>
  <c r="I124" i="6"/>
  <c r="G124" i="6"/>
  <c r="E124" i="6"/>
  <c r="J123" i="6"/>
  <c r="I123" i="6"/>
  <c r="G123" i="6"/>
  <c r="E123" i="6"/>
  <c r="J122" i="6"/>
  <c r="I122" i="6"/>
  <c r="G122" i="6"/>
  <c r="E122" i="6"/>
  <c r="J121" i="6"/>
  <c r="I121" i="6"/>
  <c r="G121" i="6"/>
  <c r="E121" i="6"/>
  <c r="J120" i="6"/>
  <c r="I120" i="6"/>
  <c r="G120" i="6"/>
  <c r="E120" i="6"/>
  <c r="J119" i="6"/>
  <c r="I119" i="6"/>
  <c r="G119" i="6"/>
  <c r="E119" i="6"/>
  <c r="J118" i="6"/>
  <c r="I118" i="6"/>
  <c r="G118" i="6"/>
  <c r="E118" i="6"/>
  <c r="J117" i="6"/>
  <c r="I117" i="6"/>
  <c r="G117" i="6"/>
  <c r="E117" i="6"/>
  <c r="J116" i="6"/>
  <c r="I116" i="6"/>
  <c r="G116" i="6"/>
  <c r="E116" i="6"/>
  <c r="J115" i="6"/>
  <c r="I115" i="6"/>
  <c r="G115" i="6"/>
  <c r="E115" i="6"/>
  <c r="J114" i="6"/>
  <c r="I114" i="6"/>
  <c r="G114" i="6"/>
  <c r="E114" i="6"/>
  <c r="J113" i="6"/>
  <c r="I113" i="6"/>
  <c r="G113" i="6"/>
  <c r="E113" i="6"/>
  <c r="J112" i="6"/>
  <c r="I112" i="6"/>
  <c r="G112" i="6"/>
  <c r="E112" i="6"/>
  <c r="J111" i="6"/>
  <c r="I111" i="6"/>
  <c r="G111" i="6"/>
  <c r="E111" i="6"/>
  <c r="J110" i="6"/>
  <c r="I110" i="6"/>
  <c r="G110" i="6"/>
  <c r="E110" i="6"/>
  <c r="J109" i="6"/>
  <c r="I109" i="6"/>
  <c r="G109" i="6"/>
  <c r="E109" i="6"/>
  <c r="J108" i="6"/>
  <c r="I108" i="6"/>
  <c r="G108" i="6"/>
  <c r="E108" i="6"/>
  <c r="J107" i="6"/>
  <c r="I107" i="6"/>
  <c r="G107" i="6"/>
  <c r="E107" i="6"/>
  <c r="J106" i="6"/>
  <c r="I106" i="6"/>
  <c r="G106" i="6"/>
  <c r="E106" i="6"/>
  <c r="J105" i="6"/>
  <c r="I105" i="6"/>
  <c r="G105" i="6"/>
  <c r="E105" i="6"/>
  <c r="J104" i="6"/>
  <c r="I104" i="6"/>
  <c r="G104" i="6"/>
  <c r="E104" i="6"/>
  <c r="J103" i="6"/>
  <c r="I103" i="6"/>
  <c r="G103" i="6"/>
  <c r="E103" i="6"/>
  <c r="J102" i="6"/>
  <c r="I102" i="6"/>
  <c r="G102" i="6"/>
  <c r="E102" i="6"/>
  <c r="J101" i="6"/>
  <c r="I101" i="6"/>
  <c r="G101" i="6"/>
  <c r="E101" i="6"/>
  <c r="J100" i="6"/>
  <c r="I100" i="6"/>
  <c r="G100" i="6"/>
  <c r="E100" i="6"/>
  <c r="J99" i="6"/>
  <c r="I99" i="6"/>
  <c r="G99" i="6"/>
  <c r="E99" i="6"/>
  <c r="J98" i="6"/>
  <c r="I98" i="6"/>
  <c r="G98" i="6"/>
  <c r="E98" i="6"/>
  <c r="J97" i="6"/>
  <c r="I97" i="6"/>
  <c r="G97" i="6"/>
  <c r="E97" i="6"/>
  <c r="J96" i="6"/>
  <c r="I96" i="6"/>
  <c r="G96" i="6"/>
  <c r="E96" i="6"/>
  <c r="J95" i="6"/>
  <c r="I95" i="6"/>
  <c r="G95" i="6"/>
  <c r="E95" i="6"/>
  <c r="J94" i="6"/>
  <c r="I94" i="6"/>
  <c r="G94" i="6"/>
  <c r="E94" i="6"/>
  <c r="J93" i="6"/>
  <c r="I93" i="6"/>
  <c r="G93" i="6"/>
  <c r="E93" i="6"/>
  <c r="J92" i="6"/>
  <c r="I92" i="6"/>
  <c r="G92" i="6"/>
  <c r="E92" i="6"/>
  <c r="J91" i="6"/>
  <c r="I91" i="6"/>
  <c r="G91" i="6"/>
  <c r="E91" i="6"/>
  <c r="J90" i="6"/>
  <c r="I90" i="6"/>
  <c r="G90" i="6"/>
  <c r="E90" i="6"/>
  <c r="J89" i="6"/>
  <c r="I89" i="6"/>
  <c r="G89" i="6"/>
  <c r="E89" i="6"/>
  <c r="J88" i="6"/>
  <c r="I88" i="6"/>
  <c r="G88" i="6"/>
  <c r="E88" i="6"/>
  <c r="J87" i="6"/>
  <c r="I87" i="6"/>
  <c r="G87" i="6"/>
  <c r="E87" i="6"/>
  <c r="J86" i="6"/>
  <c r="I86" i="6"/>
  <c r="G86" i="6"/>
  <c r="E86" i="6"/>
  <c r="J85" i="6"/>
  <c r="I85" i="6"/>
  <c r="G85" i="6"/>
  <c r="E85" i="6"/>
  <c r="J84" i="6"/>
  <c r="I84" i="6"/>
  <c r="G84" i="6"/>
  <c r="E84" i="6"/>
  <c r="J83" i="6"/>
  <c r="I83" i="6"/>
  <c r="G83" i="6"/>
  <c r="E83" i="6"/>
  <c r="J82" i="6"/>
  <c r="I82" i="6"/>
  <c r="G82" i="6"/>
  <c r="E82" i="6"/>
  <c r="J81" i="6"/>
  <c r="I81" i="6"/>
  <c r="G81" i="6"/>
  <c r="E81" i="6"/>
  <c r="J80" i="6"/>
  <c r="I80" i="6"/>
  <c r="G80" i="6"/>
  <c r="E80" i="6"/>
  <c r="J79" i="6"/>
  <c r="I79" i="6"/>
  <c r="G79" i="6"/>
  <c r="E79" i="6"/>
  <c r="J78" i="6"/>
  <c r="I78" i="6"/>
  <c r="G78" i="6"/>
  <c r="E78" i="6"/>
  <c r="J77" i="6"/>
  <c r="I77" i="6"/>
  <c r="G77" i="6"/>
  <c r="E77" i="6"/>
  <c r="J76" i="6"/>
  <c r="I76" i="6"/>
  <c r="G76" i="6"/>
  <c r="E76" i="6"/>
  <c r="J75" i="6"/>
  <c r="I75" i="6"/>
  <c r="G75" i="6"/>
  <c r="E75" i="6"/>
  <c r="J74" i="6"/>
  <c r="I74" i="6"/>
  <c r="G74" i="6"/>
  <c r="E74" i="6"/>
  <c r="J73" i="6"/>
  <c r="I73" i="6"/>
  <c r="G73" i="6"/>
  <c r="E73" i="6"/>
  <c r="J72" i="6"/>
  <c r="I72" i="6"/>
  <c r="G72" i="6"/>
  <c r="E72" i="6"/>
  <c r="J71" i="6"/>
  <c r="I71" i="6"/>
  <c r="G71" i="6"/>
  <c r="E71" i="6"/>
  <c r="J70" i="6"/>
  <c r="I70" i="6"/>
  <c r="G70" i="6"/>
  <c r="E70" i="6"/>
  <c r="J69" i="6"/>
  <c r="I69" i="6"/>
  <c r="G69" i="6"/>
  <c r="E69" i="6"/>
  <c r="J68" i="6"/>
  <c r="I68" i="6"/>
  <c r="G68" i="6"/>
  <c r="E68" i="6"/>
  <c r="J67" i="6"/>
  <c r="I67" i="6"/>
  <c r="G67" i="6"/>
  <c r="E67" i="6"/>
  <c r="J66" i="6"/>
  <c r="I66" i="6"/>
  <c r="G66" i="6"/>
  <c r="E66" i="6"/>
  <c r="J65" i="6"/>
  <c r="I65" i="6"/>
  <c r="G65" i="6"/>
  <c r="E65" i="6"/>
  <c r="J64" i="6"/>
  <c r="I64" i="6"/>
  <c r="G64" i="6"/>
  <c r="E64" i="6"/>
  <c r="J63" i="6"/>
  <c r="I63" i="6"/>
  <c r="G63" i="6"/>
  <c r="E63" i="6"/>
  <c r="J62" i="6"/>
  <c r="I62" i="6"/>
  <c r="G62" i="6"/>
  <c r="E62" i="6"/>
  <c r="J61" i="6"/>
  <c r="I61" i="6"/>
  <c r="G61" i="6"/>
  <c r="E61" i="6"/>
  <c r="J60" i="6"/>
  <c r="I60" i="6"/>
  <c r="G60" i="6"/>
  <c r="E60" i="6"/>
  <c r="J59" i="6"/>
  <c r="I59" i="6"/>
  <c r="G59" i="6"/>
  <c r="E59" i="6"/>
  <c r="J58" i="6"/>
  <c r="I58" i="6"/>
  <c r="G58" i="6"/>
  <c r="E58" i="6"/>
  <c r="J57" i="6"/>
  <c r="I57" i="6"/>
  <c r="G57" i="6"/>
  <c r="E57" i="6"/>
  <c r="J56" i="6"/>
  <c r="I56" i="6"/>
  <c r="G56" i="6"/>
  <c r="E56" i="6"/>
  <c r="J55" i="6"/>
  <c r="I55" i="6"/>
  <c r="G55" i="6"/>
  <c r="E55" i="6"/>
  <c r="J54" i="6"/>
  <c r="I54" i="6"/>
  <c r="G54" i="6"/>
  <c r="E54" i="6"/>
  <c r="J53" i="6"/>
  <c r="I53" i="6"/>
  <c r="G53" i="6"/>
  <c r="E53" i="6"/>
  <c r="J52" i="6"/>
  <c r="I52" i="6"/>
  <c r="G52" i="6"/>
  <c r="E52" i="6"/>
  <c r="J51" i="6"/>
  <c r="I51" i="6"/>
  <c r="G51" i="6"/>
  <c r="E51" i="6"/>
  <c r="J50" i="6"/>
  <c r="I50" i="6"/>
  <c r="G50" i="6"/>
  <c r="E50" i="6"/>
  <c r="J49" i="6"/>
  <c r="I49" i="6"/>
  <c r="G49" i="6"/>
  <c r="E49" i="6"/>
  <c r="J48" i="6"/>
  <c r="I48" i="6"/>
  <c r="G48" i="6"/>
  <c r="E48" i="6"/>
  <c r="J47" i="6"/>
  <c r="I47" i="6"/>
  <c r="G47" i="6"/>
  <c r="E47" i="6"/>
  <c r="J46" i="6"/>
  <c r="I46" i="6"/>
  <c r="G46" i="6"/>
  <c r="E46" i="6"/>
  <c r="J45" i="6"/>
  <c r="I45" i="6"/>
  <c r="G45" i="6"/>
  <c r="E45" i="6"/>
  <c r="J44" i="6"/>
  <c r="I44" i="6"/>
  <c r="G44" i="6"/>
  <c r="E44" i="6"/>
  <c r="J43" i="6"/>
  <c r="I43" i="6"/>
  <c r="G43" i="6"/>
  <c r="E43" i="6"/>
  <c r="J42" i="6"/>
  <c r="I42" i="6"/>
  <c r="G42" i="6"/>
  <c r="E42" i="6"/>
  <c r="J41" i="6"/>
  <c r="I41" i="6"/>
  <c r="G41" i="6"/>
  <c r="E41" i="6"/>
  <c r="J40" i="6"/>
  <c r="I40" i="6"/>
  <c r="G40" i="6"/>
  <c r="E40" i="6"/>
  <c r="J39" i="6"/>
  <c r="I39" i="6"/>
  <c r="G39" i="6"/>
  <c r="E39" i="6"/>
  <c r="J38" i="6"/>
  <c r="I38" i="6"/>
  <c r="G38" i="6"/>
  <c r="E38" i="6"/>
  <c r="J37" i="6"/>
  <c r="I37" i="6"/>
  <c r="G37" i="6"/>
  <c r="E37" i="6"/>
  <c r="J36" i="6"/>
  <c r="I36" i="6"/>
  <c r="G36" i="6"/>
  <c r="E36" i="6"/>
  <c r="J35" i="6"/>
  <c r="I35" i="6"/>
  <c r="G35" i="6"/>
  <c r="E35" i="6"/>
  <c r="J34" i="6"/>
  <c r="I34" i="6"/>
  <c r="G34" i="6"/>
  <c r="E34" i="6"/>
  <c r="J33" i="6"/>
  <c r="I33" i="6"/>
  <c r="G33" i="6"/>
  <c r="E33" i="6"/>
  <c r="J32" i="6"/>
  <c r="I32" i="6"/>
  <c r="G32" i="6"/>
  <c r="E32" i="6"/>
  <c r="J31" i="6"/>
  <c r="I31" i="6"/>
  <c r="G31" i="6"/>
  <c r="E31" i="6"/>
  <c r="J30" i="6"/>
  <c r="I30" i="6"/>
  <c r="G30" i="6"/>
  <c r="E30" i="6"/>
  <c r="J29" i="6"/>
  <c r="I29" i="6"/>
  <c r="G29" i="6"/>
  <c r="E29" i="6"/>
  <c r="J28" i="6"/>
  <c r="I28" i="6"/>
  <c r="G28" i="6"/>
  <c r="E28" i="6"/>
  <c r="J27" i="6"/>
  <c r="I27" i="6"/>
  <c r="G27" i="6"/>
  <c r="E27" i="6"/>
  <c r="J26" i="6"/>
  <c r="I26" i="6"/>
  <c r="G26" i="6"/>
  <c r="E26" i="6"/>
  <c r="J25" i="6"/>
  <c r="I25" i="6"/>
  <c r="G25" i="6"/>
  <c r="E25" i="6"/>
  <c r="J24" i="6"/>
  <c r="I24" i="6"/>
  <c r="G24" i="6"/>
  <c r="E24" i="6"/>
  <c r="J23" i="6"/>
  <c r="I23" i="6"/>
  <c r="G23" i="6"/>
  <c r="E23" i="6"/>
  <c r="J22" i="6"/>
  <c r="I22" i="6"/>
  <c r="G22" i="6"/>
  <c r="E22" i="6"/>
  <c r="J21" i="6"/>
  <c r="I21" i="6"/>
  <c r="G21" i="6"/>
  <c r="E21" i="6"/>
  <c r="J20" i="6"/>
  <c r="I20" i="6"/>
  <c r="G20" i="6"/>
  <c r="E20" i="6"/>
  <c r="J19" i="6"/>
  <c r="I19" i="6"/>
  <c r="G19" i="6"/>
  <c r="E19" i="6"/>
  <c r="J18" i="6"/>
  <c r="I18" i="6"/>
  <c r="G18" i="6"/>
  <c r="E18" i="6"/>
  <c r="J17" i="6"/>
  <c r="I17" i="6"/>
  <c r="G17" i="6"/>
  <c r="E17" i="6"/>
  <c r="J16" i="6"/>
  <c r="I16" i="6"/>
  <c r="G16" i="6"/>
  <c r="E16" i="6"/>
  <c r="J15" i="6"/>
  <c r="I15" i="6"/>
  <c r="G15" i="6"/>
  <c r="E15" i="6"/>
  <c r="J14" i="6"/>
  <c r="I14" i="6"/>
  <c r="G14" i="6"/>
  <c r="E14" i="6"/>
  <c r="J13" i="6"/>
  <c r="I13" i="6"/>
  <c r="G13" i="6"/>
  <c r="E13" i="6"/>
  <c r="J12" i="6"/>
  <c r="I12" i="6"/>
  <c r="G12" i="6"/>
  <c r="E12" i="6"/>
  <c r="J11" i="6"/>
  <c r="I11" i="6"/>
  <c r="G11" i="6"/>
  <c r="E11" i="6"/>
  <c r="J10" i="6"/>
  <c r="I10" i="6"/>
  <c r="G10" i="6"/>
  <c r="E10" i="6"/>
  <c r="J9" i="6"/>
  <c r="I9" i="6"/>
  <c r="G9" i="6"/>
  <c r="E9" i="6"/>
  <c r="L621" i="2"/>
  <c r="I621" i="2"/>
  <c r="E621" i="2"/>
  <c r="L620" i="2"/>
  <c r="H620" i="2"/>
  <c r="I620" i="2" s="1"/>
  <c r="E620" i="2"/>
  <c r="L619" i="2"/>
  <c r="I619" i="2"/>
  <c r="E619" i="2"/>
  <c r="L618" i="2"/>
  <c r="I618" i="2"/>
  <c r="E618" i="2"/>
  <c r="L617" i="2"/>
  <c r="I617" i="2"/>
  <c r="E617" i="2"/>
  <c r="L616" i="2"/>
  <c r="I616" i="2"/>
  <c r="E616" i="2"/>
  <c r="L615" i="2"/>
  <c r="I615" i="2"/>
  <c r="E615" i="2"/>
  <c r="L614" i="2"/>
  <c r="I614" i="2"/>
  <c r="E614" i="2"/>
  <c r="L613" i="2"/>
  <c r="I613" i="2"/>
  <c r="E613" i="2"/>
  <c r="L612" i="2"/>
  <c r="I612" i="2"/>
  <c r="E612" i="2"/>
  <c r="L611" i="2"/>
  <c r="I611" i="2"/>
  <c r="E611" i="2"/>
  <c r="L610" i="2"/>
  <c r="I610" i="2"/>
  <c r="E610" i="2"/>
  <c r="L609" i="2"/>
  <c r="I609" i="2"/>
  <c r="E609" i="2"/>
  <c r="L608" i="2"/>
  <c r="I608" i="2"/>
  <c r="E608" i="2"/>
  <c r="L607" i="2"/>
  <c r="I607" i="2"/>
  <c r="E607" i="2"/>
  <c r="L606" i="2"/>
  <c r="I606" i="2"/>
  <c r="E606" i="2"/>
  <c r="L605" i="2"/>
  <c r="I605" i="2"/>
  <c r="E605" i="2"/>
  <c r="L604" i="2"/>
  <c r="I604" i="2"/>
  <c r="E604" i="2"/>
  <c r="L603" i="2"/>
  <c r="I603" i="2"/>
  <c r="E603" i="2"/>
  <c r="L602" i="2"/>
  <c r="I602" i="2"/>
  <c r="E602" i="2"/>
  <c r="L601" i="2"/>
  <c r="I601" i="2"/>
  <c r="E601" i="2"/>
  <c r="L600" i="2"/>
  <c r="I600" i="2"/>
  <c r="E600" i="2"/>
  <c r="L599" i="2"/>
  <c r="I599" i="2"/>
  <c r="E599" i="2"/>
  <c r="L598" i="2"/>
  <c r="I598" i="2"/>
  <c r="E598" i="2"/>
  <c r="L597" i="2"/>
  <c r="I597" i="2"/>
  <c r="E597" i="2"/>
  <c r="L596" i="2"/>
  <c r="I596" i="2"/>
  <c r="E596" i="2"/>
  <c r="L595" i="2"/>
  <c r="I595" i="2"/>
  <c r="E595" i="2"/>
  <c r="L594" i="2"/>
  <c r="I594" i="2"/>
  <c r="E594" i="2"/>
  <c r="L593" i="2"/>
  <c r="I593" i="2"/>
  <c r="E593" i="2"/>
  <c r="L592" i="2"/>
  <c r="I592" i="2"/>
  <c r="E592" i="2"/>
  <c r="L591" i="2"/>
  <c r="I591" i="2"/>
  <c r="E591" i="2"/>
  <c r="L590" i="2"/>
  <c r="I590" i="2"/>
  <c r="E590" i="2"/>
  <c r="L589" i="2"/>
  <c r="I589" i="2"/>
  <c r="E589" i="2"/>
  <c r="L588" i="2"/>
  <c r="I588" i="2"/>
  <c r="E588" i="2"/>
  <c r="L587" i="2"/>
  <c r="I587" i="2"/>
  <c r="E587" i="2"/>
  <c r="L586" i="2"/>
  <c r="I586" i="2"/>
  <c r="E586" i="2"/>
  <c r="L585" i="2"/>
  <c r="I585" i="2"/>
  <c r="E585" i="2"/>
  <c r="L584" i="2"/>
  <c r="I584" i="2"/>
  <c r="E584" i="2"/>
  <c r="L583" i="2"/>
  <c r="I583" i="2"/>
  <c r="E583" i="2"/>
  <c r="L582" i="2"/>
  <c r="I582" i="2"/>
  <c r="E582" i="2"/>
  <c r="L581" i="2"/>
  <c r="I581" i="2"/>
  <c r="E581" i="2"/>
  <c r="L580" i="2"/>
  <c r="I580" i="2"/>
  <c r="E580" i="2"/>
  <c r="L579" i="2"/>
  <c r="I579" i="2"/>
  <c r="E579" i="2"/>
  <c r="L578" i="2"/>
  <c r="I578" i="2"/>
  <c r="E578" i="2"/>
  <c r="L577" i="2"/>
  <c r="I577" i="2"/>
  <c r="E577" i="2"/>
  <c r="L576" i="2"/>
  <c r="I576" i="2"/>
  <c r="E576" i="2"/>
  <c r="L575" i="2"/>
  <c r="I575" i="2"/>
  <c r="E575" i="2"/>
  <c r="L574" i="2"/>
  <c r="I574" i="2"/>
  <c r="E574" i="2"/>
  <c r="L573" i="2"/>
  <c r="I573" i="2"/>
  <c r="E573" i="2"/>
  <c r="L572" i="2"/>
  <c r="I572" i="2"/>
  <c r="E572" i="2"/>
  <c r="L571" i="2"/>
  <c r="I571" i="2"/>
  <c r="E571" i="2"/>
  <c r="L570" i="2"/>
  <c r="I570" i="2"/>
  <c r="E570" i="2"/>
  <c r="L569" i="2"/>
  <c r="I569" i="2"/>
  <c r="E569" i="2"/>
  <c r="L568" i="2"/>
  <c r="I568" i="2"/>
  <c r="E568" i="2"/>
  <c r="L567" i="2"/>
  <c r="I567" i="2"/>
  <c r="E567" i="2"/>
  <c r="L566" i="2"/>
  <c r="I566" i="2"/>
  <c r="E566" i="2"/>
  <c r="L565" i="2"/>
  <c r="I565" i="2"/>
  <c r="E565" i="2"/>
  <c r="L564" i="2"/>
  <c r="I564" i="2"/>
  <c r="E564" i="2"/>
  <c r="L563" i="2"/>
  <c r="I563" i="2"/>
  <c r="E563" i="2"/>
  <c r="L562" i="2"/>
  <c r="I562" i="2"/>
  <c r="E562" i="2"/>
  <c r="L561" i="2"/>
  <c r="I561" i="2"/>
  <c r="E561" i="2"/>
  <c r="L560" i="2"/>
  <c r="I560" i="2"/>
  <c r="E560" i="2"/>
  <c r="L559" i="2"/>
  <c r="I559" i="2"/>
  <c r="E559" i="2"/>
  <c r="L558" i="2"/>
  <c r="I558" i="2"/>
  <c r="E558" i="2"/>
  <c r="L557" i="2"/>
  <c r="I557" i="2"/>
  <c r="E557" i="2"/>
  <c r="L556" i="2"/>
  <c r="I556" i="2"/>
  <c r="E556" i="2"/>
  <c r="L555" i="2"/>
  <c r="I555" i="2"/>
  <c r="E555" i="2"/>
  <c r="L554" i="2"/>
  <c r="I554" i="2"/>
  <c r="E554" i="2"/>
  <c r="L553" i="2"/>
  <c r="I553" i="2"/>
  <c r="E553" i="2"/>
  <c r="L552" i="2"/>
  <c r="I552" i="2"/>
  <c r="E552" i="2"/>
  <c r="L551" i="2"/>
  <c r="I551" i="2"/>
  <c r="E551" i="2"/>
  <c r="L550" i="2"/>
  <c r="I550" i="2"/>
  <c r="E550" i="2"/>
  <c r="L549" i="2"/>
  <c r="I549" i="2"/>
  <c r="E549" i="2"/>
  <c r="L548" i="2"/>
  <c r="I548" i="2"/>
  <c r="E548" i="2"/>
  <c r="L547" i="2"/>
  <c r="I547" i="2"/>
  <c r="E547" i="2"/>
  <c r="L546" i="2"/>
  <c r="I546" i="2"/>
  <c r="E546" i="2"/>
  <c r="L545" i="2"/>
  <c r="I545" i="2"/>
  <c r="E545" i="2"/>
  <c r="L544" i="2"/>
  <c r="I544" i="2"/>
  <c r="E544" i="2"/>
  <c r="L543" i="2"/>
  <c r="I543" i="2"/>
  <c r="E543" i="2"/>
  <c r="L542" i="2"/>
  <c r="I542" i="2"/>
  <c r="E542" i="2"/>
  <c r="L541" i="2"/>
  <c r="I541" i="2"/>
  <c r="E541" i="2"/>
  <c r="L540" i="2"/>
  <c r="I540" i="2"/>
  <c r="E540" i="2"/>
  <c r="L539" i="2"/>
  <c r="I539" i="2"/>
  <c r="E539" i="2"/>
  <c r="L538" i="2"/>
  <c r="I538" i="2"/>
  <c r="E538" i="2"/>
  <c r="L537" i="2"/>
  <c r="I537" i="2"/>
  <c r="E537" i="2"/>
  <c r="L536" i="2"/>
  <c r="I536" i="2"/>
  <c r="E536" i="2"/>
  <c r="L535" i="2"/>
  <c r="I535" i="2"/>
  <c r="E535" i="2"/>
  <c r="L534" i="2"/>
  <c r="I534" i="2"/>
  <c r="E534" i="2"/>
  <c r="L533" i="2"/>
  <c r="I533" i="2"/>
  <c r="E533" i="2"/>
  <c r="L532" i="2"/>
  <c r="I532" i="2"/>
  <c r="E532" i="2"/>
  <c r="L531" i="2"/>
  <c r="I531" i="2"/>
  <c r="E531" i="2"/>
  <c r="L530" i="2"/>
  <c r="I530" i="2"/>
  <c r="E530" i="2"/>
  <c r="L529" i="2"/>
  <c r="I529" i="2"/>
  <c r="E529" i="2"/>
  <c r="L528" i="2"/>
  <c r="I528" i="2"/>
  <c r="E528" i="2"/>
  <c r="L527" i="2"/>
  <c r="I527" i="2"/>
  <c r="E527" i="2"/>
  <c r="L526" i="2"/>
  <c r="I526" i="2"/>
  <c r="E526" i="2"/>
  <c r="L525" i="2"/>
  <c r="I525" i="2"/>
  <c r="E525" i="2"/>
  <c r="L524" i="2"/>
  <c r="I524" i="2"/>
  <c r="E524" i="2"/>
  <c r="L523" i="2"/>
  <c r="I523" i="2"/>
  <c r="E523" i="2"/>
  <c r="L522" i="2"/>
  <c r="I522" i="2"/>
  <c r="E522" i="2"/>
  <c r="L521" i="2"/>
  <c r="I521" i="2"/>
  <c r="E521" i="2"/>
  <c r="L520" i="2"/>
  <c r="I520" i="2"/>
  <c r="E520" i="2"/>
  <c r="L519" i="2"/>
  <c r="I519" i="2"/>
  <c r="E519" i="2"/>
  <c r="L518" i="2"/>
  <c r="I518" i="2"/>
  <c r="E518" i="2"/>
  <c r="L517" i="2"/>
  <c r="I517" i="2"/>
  <c r="E517" i="2"/>
  <c r="L516" i="2"/>
  <c r="I516" i="2"/>
  <c r="E516" i="2"/>
  <c r="L515" i="2"/>
  <c r="I515" i="2"/>
  <c r="E515" i="2"/>
  <c r="L514" i="2"/>
  <c r="I514" i="2"/>
  <c r="E514" i="2"/>
  <c r="L513" i="2"/>
  <c r="I513" i="2"/>
  <c r="E513" i="2"/>
  <c r="L512" i="2"/>
  <c r="I512" i="2"/>
  <c r="E512" i="2"/>
  <c r="L511" i="2"/>
  <c r="I511" i="2"/>
  <c r="E511" i="2"/>
  <c r="L510" i="2"/>
  <c r="I510" i="2"/>
  <c r="E510" i="2"/>
  <c r="L509" i="2"/>
  <c r="I509" i="2"/>
  <c r="E509" i="2"/>
  <c r="L508" i="2"/>
  <c r="I508" i="2"/>
  <c r="E508" i="2"/>
  <c r="L507" i="2"/>
  <c r="I507" i="2"/>
  <c r="E507" i="2"/>
  <c r="L506" i="2"/>
  <c r="I506" i="2"/>
  <c r="E506" i="2"/>
  <c r="L505" i="2"/>
  <c r="I505" i="2"/>
  <c r="E505" i="2"/>
  <c r="L504" i="2"/>
  <c r="I504" i="2"/>
  <c r="E504" i="2"/>
  <c r="L503" i="2"/>
  <c r="I503" i="2"/>
  <c r="E503" i="2"/>
  <c r="L502" i="2"/>
  <c r="I502" i="2"/>
  <c r="E502" i="2"/>
  <c r="L501" i="2"/>
  <c r="I501" i="2"/>
  <c r="E501" i="2"/>
  <c r="L500" i="2"/>
  <c r="I500" i="2"/>
  <c r="E500" i="2"/>
  <c r="L499" i="2"/>
  <c r="I499" i="2"/>
  <c r="E499" i="2"/>
  <c r="L498" i="2"/>
  <c r="I498" i="2"/>
  <c r="E498" i="2"/>
  <c r="L497" i="2"/>
  <c r="I497" i="2"/>
  <c r="E497" i="2"/>
  <c r="L496" i="2"/>
  <c r="I496" i="2"/>
  <c r="E496" i="2"/>
  <c r="L495" i="2"/>
  <c r="I495" i="2"/>
  <c r="E495" i="2"/>
  <c r="L494" i="2"/>
  <c r="I494" i="2"/>
  <c r="E494" i="2"/>
  <c r="L493" i="2"/>
  <c r="I493" i="2"/>
  <c r="E493" i="2"/>
  <c r="L492" i="2"/>
  <c r="I492" i="2"/>
  <c r="E492" i="2"/>
  <c r="L491" i="2"/>
  <c r="I491" i="2"/>
  <c r="E491" i="2"/>
  <c r="L490" i="2"/>
  <c r="I490" i="2"/>
  <c r="E490" i="2"/>
  <c r="L489" i="2"/>
  <c r="I489" i="2"/>
  <c r="E489" i="2"/>
  <c r="L488" i="2"/>
  <c r="I488" i="2"/>
  <c r="E488" i="2"/>
  <c r="L487" i="2"/>
  <c r="I487" i="2"/>
  <c r="E487" i="2"/>
  <c r="L486" i="2"/>
  <c r="I486" i="2"/>
  <c r="E486" i="2"/>
  <c r="L485" i="2"/>
  <c r="I485" i="2"/>
  <c r="E485" i="2"/>
  <c r="L484" i="2"/>
  <c r="I484" i="2"/>
  <c r="E484" i="2"/>
  <c r="L483" i="2"/>
  <c r="I483" i="2"/>
  <c r="E483" i="2"/>
  <c r="L482" i="2"/>
  <c r="I482" i="2"/>
  <c r="E482" i="2"/>
  <c r="L481" i="2"/>
  <c r="I481" i="2"/>
  <c r="E481" i="2"/>
  <c r="L480" i="2"/>
  <c r="I480" i="2"/>
  <c r="E480" i="2"/>
  <c r="L479" i="2"/>
  <c r="I479" i="2"/>
  <c r="E479" i="2"/>
  <c r="L478" i="2"/>
  <c r="I478" i="2"/>
  <c r="E478" i="2"/>
  <c r="L477" i="2"/>
  <c r="I477" i="2"/>
  <c r="E477" i="2"/>
  <c r="L476" i="2"/>
  <c r="I476" i="2"/>
  <c r="E476" i="2"/>
  <c r="L475" i="2"/>
  <c r="I475" i="2"/>
  <c r="E475" i="2"/>
  <c r="L474" i="2"/>
  <c r="I474" i="2"/>
  <c r="E474" i="2"/>
  <c r="L473" i="2"/>
  <c r="I473" i="2"/>
  <c r="E473" i="2"/>
  <c r="L472" i="2"/>
  <c r="I472" i="2"/>
  <c r="E472" i="2"/>
  <c r="L471" i="2"/>
  <c r="I471" i="2"/>
  <c r="E471" i="2"/>
  <c r="L470" i="2"/>
  <c r="I470" i="2"/>
  <c r="E470" i="2"/>
  <c r="L469" i="2"/>
  <c r="I469" i="2"/>
  <c r="E469" i="2"/>
  <c r="L468" i="2"/>
  <c r="I468" i="2"/>
  <c r="E468" i="2"/>
  <c r="L467" i="2"/>
  <c r="I467" i="2"/>
  <c r="E467" i="2"/>
  <c r="L466" i="2"/>
  <c r="I466" i="2"/>
  <c r="E466" i="2"/>
  <c r="L465" i="2"/>
  <c r="I465" i="2"/>
  <c r="E465" i="2"/>
  <c r="L464" i="2"/>
  <c r="I464" i="2"/>
  <c r="E464" i="2"/>
  <c r="L463" i="2"/>
  <c r="I463" i="2"/>
  <c r="E463" i="2"/>
  <c r="L462" i="2"/>
  <c r="I462" i="2"/>
  <c r="E462" i="2"/>
  <c r="L461" i="2"/>
  <c r="I461" i="2"/>
  <c r="E461" i="2"/>
  <c r="L460" i="2"/>
  <c r="I460" i="2"/>
  <c r="E460" i="2"/>
  <c r="L459" i="2"/>
  <c r="I459" i="2"/>
  <c r="E459" i="2"/>
  <c r="L458" i="2"/>
  <c r="I458" i="2"/>
  <c r="E458" i="2"/>
  <c r="L457" i="2"/>
  <c r="I457" i="2"/>
  <c r="E457" i="2"/>
  <c r="L456" i="2"/>
  <c r="I456" i="2"/>
  <c r="E456" i="2"/>
  <c r="L455" i="2"/>
  <c r="I455" i="2"/>
  <c r="E455" i="2"/>
  <c r="L454" i="2"/>
  <c r="I454" i="2"/>
  <c r="E454" i="2"/>
  <c r="L453" i="2"/>
  <c r="I453" i="2"/>
  <c r="E453" i="2"/>
  <c r="L452" i="2"/>
  <c r="I452" i="2"/>
  <c r="E452" i="2"/>
  <c r="L451" i="2"/>
  <c r="I451" i="2"/>
  <c r="E451" i="2"/>
  <c r="L450" i="2"/>
  <c r="I450" i="2"/>
  <c r="E450" i="2"/>
  <c r="L449" i="2"/>
  <c r="I449" i="2"/>
  <c r="E449" i="2"/>
  <c r="L448" i="2"/>
  <c r="I448" i="2"/>
  <c r="E448" i="2"/>
  <c r="L447" i="2"/>
  <c r="I447" i="2"/>
  <c r="E447" i="2"/>
  <c r="L446" i="2"/>
  <c r="I446" i="2"/>
  <c r="E446" i="2"/>
  <c r="L445" i="2"/>
  <c r="I445" i="2"/>
  <c r="E445" i="2"/>
  <c r="L444" i="2"/>
  <c r="I444" i="2"/>
  <c r="E444" i="2"/>
  <c r="L443" i="2"/>
  <c r="I443" i="2"/>
  <c r="E443" i="2"/>
  <c r="L442" i="2"/>
  <c r="I442" i="2"/>
  <c r="E442" i="2"/>
  <c r="L441" i="2"/>
  <c r="I441" i="2"/>
  <c r="E441" i="2"/>
  <c r="L440" i="2"/>
  <c r="I440" i="2"/>
  <c r="E440" i="2"/>
  <c r="L439" i="2"/>
  <c r="I439" i="2"/>
  <c r="E439" i="2"/>
  <c r="L438" i="2"/>
  <c r="I438" i="2"/>
  <c r="E438" i="2"/>
  <c r="L437" i="2"/>
  <c r="I437" i="2"/>
  <c r="E437" i="2"/>
  <c r="L436" i="2"/>
  <c r="I436" i="2"/>
  <c r="E436" i="2"/>
  <c r="L435" i="2"/>
  <c r="I435" i="2"/>
  <c r="E435" i="2"/>
  <c r="L434" i="2"/>
  <c r="I434" i="2"/>
  <c r="E434" i="2"/>
  <c r="L433" i="2"/>
  <c r="I433" i="2"/>
  <c r="E433" i="2"/>
  <c r="L432" i="2"/>
  <c r="I432" i="2"/>
  <c r="E432" i="2"/>
  <c r="L431" i="2"/>
  <c r="I431" i="2"/>
  <c r="E431" i="2"/>
  <c r="L430" i="2"/>
  <c r="I430" i="2"/>
  <c r="E430" i="2"/>
  <c r="L429" i="2"/>
  <c r="I429" i="2"/>
  <c r="E429" i="2"/>
  <c r="L428" i="2"/>
  <c r="I428" i="2"/>
  <c r="E428" i="2"/>
  <c r="L427" i="2"/>
  <c r="I427" i="2"/>
  <c r="E427" i="2"/>
  <c r="L426" i="2"/>
  <c r="I426" i="2"/>
  <c r="E426" i="2"/>
  <c r="L425" i="2"/>
  <c r="I425" i="2"/>
  <c r="E425" i="2"/>
  <c r="L424" i="2"/>
  <c r="I424" i="2"/>
  <c r="E424" i="2"/>
  <c r="L423" i="2"/>
  <c r="I423" i="2"/>
  <c r="E423" i="2"/>
  <c r="L422" i="2"/>
  <c r="I422" i="2"/>
  <c r="E422" i="2"/>
  <c r="L421" i="2"/>
  <c r="I421" i="2"/>
  <c r="E421" i="2"/>
  <c r="L420" i="2"/>
  <c r="I420" i="2"/>
  <c r="E420" i="2"/>
  <c r="L419" i="2"/>
  <c r="I419" i="2"/>
  <c r="E419" i="2"/>
  <c r="L418" i="2"/>
  <c r="I418" i="2"/>
  <c r="E418" i="2"/>
  <c r="L417" i="2"/>
  <c r="I417" i="2"/>
  <c r="E417" i="2"/>
  <c r="L416" i="2"/>
  <c r="I416" i="2"/>
  <c r="E416" i="2"/>
  <c r="L415" i="2"/>
  <c r="I415" i="2"/>
  <c r="E415" i="2"/>
  <c r="L414" i="2"/>
  <c r="I414" i="2"/>
  <c r="E414" i="2"/>
  <c r="L413" i="2"/>
  <c r="I413" i="2"/>
  <c r="E413" i="2"/>
  <c r="L412" i="2"/>
  <c r="I412" i="2"/>
  <c r="E412" i="2"/>
  <c r="L411" i="2"/>
  <c r="I411" i="2"/>
  <c r="E411" i="2"/>
  <c r="L410" i="2"/>
  <c r="I410" i="2"/>
  <c r="E410" i="2"/>
  <c r="L409" i="2"/>
  <c r="I409" i="2"/>
  <c r="E409" i="2"/>
  <c r="L408" i="2"/>
  <c r="I408" i="2"/>
  <c r="E408" i="2"/>
  <c r="L407" i="2"/>
  <c r="I407" i="2"/>
  <c r="E407" i="2"/>
  <c r="L406" i="2"/>
  <c r="I406" i="2"/>
  <c r="E406" i="2"/>
  <c r="L405" i="2"/>
  <c r="I405" i="2"/>
  <c r="E405" i="2"/>
  <c r="L404" i="2"/>
  <c r="I404" i="2"/>
  <c r="E404" i="2"/>
  <c r="L403" i="2"/>
  <c r="I403" i="2"/>
  <c r="E403" i="2"/>
  <c r="L402" i="2"/>
  <c r="I402" i="2"/>
  <c r="E402" i="2"/>
  <c r="L401" i="2"/>
  <c r="I401" i="2"/>
  <c r="E401" i="2"/>
  <c r="L400" i="2"/>
  <c r="I400" i="2"/>
  <c r="E400" i="2"/>
  <c r="L399" i="2"/>
  <c r="I399" i="2"/>
  <c r="E399" i="2"/>
  <c r="L398" i="2"/>
  <c r="I398" i="2"/>
  <c r="E398" i="2"/>
  <c r="L397" i="2"/>
  <c r="I397" i="2"/>
  <c r="E397" i="2"/>
  <c r="L396" i="2"/>
  <c r="I396" i="2"/>
  <c r="E396" i="2"/>
  <c r="L395" i="2"/>
  <c r="I395" i="2"/>
  <c r="E395" i="2"/>
  <c r="L394" i="2"/>
  <c r="I394" i="2"/>
  <c r="E394" i="2"/>
  <c r="L393" i="2"/>
  <c r="I393" i="2"/>
  <c r="E393" i="2"/>
  <c r="L392" i="2"/>
  <c r="I392" i="2"/>
  <c r="E392" i="2"/>
  <c r="L391" i="2"/>
  <c r="I391" i="2"/>
  <c r="E391" i="2"/>
  <c r="L390" i="2"/>
  <c r="I390" i="2"/>
  <c r="E390" i="2"/>
  <c r="L389" i="2"/>
  <c r="I389" i="2"/>
  <c r="E389" i="2"/>
  <c r="L388" i="2"/>
  <c r="I388" i="2"/>
  <c r="E388" i="2"/>
  <c r="L387" i="2"/>
  <c r="H387" i="2"/>
  <c r="I387" i="2" s="1"/>
  <c r="E387" i="2"/>
  <c r="L386" i="2"/>
  <c r="H386" i="2"/>
  <c r="I386" i="2" s="1"/>
  <c r="E386" i="2"/>
  <c r="L385" i="2"/>
  <c r="I385" i="2"/>
  <c r="E385" i="2"/>
  <c r="L384" i="2"/>
  <c r="I384" i="2"/>
  <c r="E384" i="2"/>
  <c r="L383" i="2"/>
  <c r="I383" i="2"/>
  <c r="E383" i="2"/>
  <c r="L382" i="2"/>
  <c r="I382" i="2"/>
  <c r="E382" i="2"/>
  <c r="L381" i="2"/>
  <c r="I381" i="2"/>
  <c r="E381" i="2"/>
  <c r="L380" i="2"/>
  <c r="I380" i="2"/>
  <c r="E380" i="2"/>
  <c r="L379" i="2"/>
  <c r="I379" i="2"/>
  <c r="E379" i="2"/>
  <c r="L378" i="2"/>
  <c r="I378" i="2"/>
  <c r="E378" i="2"/>
  <c r="L377" i="2"/>
  <c r="I377" i="2"/>
  <c r="E377" i="2"/>
  <c r="L376" i="2"/>
  <c r="I376" i="2"/>
  <c r="E376" i="2"/>
  <c r="L375" i="2"/>
  <c r="I375" i="2"/>
  <c r="E375" i="2"/>
  <c r="L374" i="2"/>
  <c r="I374" i="2"/>
  <c r="E374" i="2"/>
  <c r="L373" i="2"/>
  <c r="I373" i="2"/>
  <c r="E373" i="2"/>
  <c r="L372" i="2"/>
  <c r="I372" i="2"/>
  <c r="E372" i="2"/>
  <c r="L371" i="2"/>
  <c r="I371" i="2"/>
  <c r="E371" i="2"/>
  <c r="L370" i="2"/>
  <c r="I370" i="2"/>
  <c r="E370" i="2"/>
  <c r="L369" i="2"/>
  <c r="I369" i="2"/>
  <c r="E369" i="2"/>
  <c r="L368" i="2"/>
  <c r="I368" i="2"/>
  <c r="E368" i="2"/>
  <c r="L367" i="2"/>
  <c r="I367" i="2"/>
  <c r="E367" i="2"/>
  <c r="L366" i="2"/>
  <c r="I366" i="2"/>
  <c r="E366" i="2"/>
  <c r="L365" i="2"/>
  <c r="I365" i="2"/>
  <c r="E365" i="2"/>
  <c r="L364" i="2"/>
  <c r="I364" i="2"/>
  <c r="E364" i="2"/>
  <c r="L363" i="2"/>
  <c r="I363" i="2"/>
  <c r="E363" i="2"/>
  <c r="L362" i="2"/>
  <c r="I362" i="2"/>
  <c r="E362" i="2"/>
  <c r="L361" i="2"/>
  <c r="I361" i="2"/>
  <c r="E361" i="2"/>
  <c r="L360" i="2"/>
  <c r="I360" i="2"/>
  <c r="E360" i="2"/>
  <c r="L359" i="2"/>
  <c r="I359" i="2"/>
  <c r="E359" i="2"/>
  <c r="L358" i="2"/>
  <c r="I358" i="2"/>
  <c r="E358" i="2"/>
  <c r="L357" i="2"/>
  <c r="I357" i="2"/>
  <c r="E357" i="2"/>
  <c r="L356" i="2"/>
  <c r="I356" i="2"/>
  <c r="E356" i="2"/>
  <c r="L355" i="2"/>
  <c r="I355" i="2"/>
  <c r="E355" i="2"/>
  <c r="L354" i="2"/>
  <c r="I354" i="2"/>
  <c r="E354" i="2"/>
  <c r="L353" i="2"/>
  <c r="I353" i="2"/>
  <c r="E353" i="2"/>
  <c r="L352" i="2"/>
  <c r="I352" i="2"/>
  <c r="E352" i="2"/>
  <c r="L351" i="2"/>
  <c r="I351" i="2"/>
  <c r="E351" i="2"/>
  <c r="L350" i="2"/>
  <c r="I350" i="2"/>
  <c r="E350" i="2"/>
  <c r="L349" i="2"/>
  <c r="I349" i="2"/>
  <c r="E349" i="2"/>
  <c r="L348" i="2"/>
  <c r="I348" i="2"/>
  <c r="E348" i="2"/>
  <c r="L347" i="2"/>
  <c r="I347" i="2"/>
  <c r="E347" i="2"/>
  <c r="L346" i="2"/>
  <c r="I346" i="2"/>
  <c r="E346" i="2"/>
  <c r="L345" i="2"/>
  <c r="I345" i="2"/>
  <c r="E345" i="2"/>
  <c r="L344" i="2"/>
  <c r="I344" i="2"/>
  <c r="E344" i="2"/>
  <c r="L343" i="2"/>
  <c r="I343" i="2"/>
  <c r="E343" i="2"/>
  <c r="L342" i="2"/>
  <c r="I342" i="2"/>
  <c r="E342" i="2"/>
  <c r="L341" i="2"/>
  <c r="I341" i="2"/>
  <c r="E341" i="2"/>
  <c r="L340" i="2"/>
  <c r="I340" i="2"/>
  <c r="E340" i="2"/>
  <c r="L339" i="2"/>
  <c r="I339" i="2"/>
  <c r="E339" i="2"/>
  <c r="L338" i="2"/>
  <c r="I338" i="2"/>
  <c r="E338" i="2"/>
  <c r="L337" i="2"/>
  <c r="I337" i="2"/>
  <c r="E337" i="2"/>
  <c r="L336" i="2"/>
  <c r="I336" i="2"/>
  <c r="E336" i="2"/>
  <c r="L335" i="2"/>
  <c r="I335" i="2"/>
  <c r="E335" i="2"/>
  <c r="L334" i="2"/>
  <c r="I334" i="2"/>
  <c r="E334" i="2"/>
  <c r="L333" i="2"/>
  <c r="I333" i="2"/>
  <c r="E333" i="2"/>
  <c r="L332" i="2"/>
  <c r="I332" i="2"/>
  <c r="E332" i="2"/>
  <c r="L331" i="2"/>
  <c r="I331" i="2"/>
  <c r="E331" i="2"/>
  <c r="L330" i="2"/>
  <c r="I330" i="2"/>
  <c r="E330" i="2"/>
  <c r="L329" i="2"/>
  <c r="I329" i="2"/>
  <c r="E329" i="2"/>
  <c r="L328" i="2"/>
  <c r="I328" i="2"/>
  <c r="E328" i="2"/>
  <c r="L327" i="2"/>
  <c r="I327" i="2"/>
  <c r="E327" i="2"/>
  <c r="L326" i="2"/>
  <c r="I326" i="2"/>
  <c r="E326" i="2"/>
  <c r="L325" i="2"/>
  <c r="I325" i="2"/>
  <c r="E325" i="2"/>
  <c r="L324" i="2"/>
  <c r="I324" i="2"/>
  <c r="E324" i="2"/>
  <c r="L323" i="2"/>
  <c r="I323" i="2"/>
  <c r="E323" i="2"/>
  <c r="L322" i="2"/>
  <c r="I322" i="2"/>
  <c r="E322" i="2"/>
  <c r="L321" i="2"/>
  <c r="I321" i="2"/>
  <c r="E321" i="2"/>
  <c r="L320" i="2"/>
  <c r="I320" i="2"/>
  <c r="E320" i="2"/>
  <c r="L319" i="2"/>
  <c r="I319" i="2"/>
  <c r="E319" i="2"/>
  <c r="L318" i="2"/>
  <c r="I318" i="2"/>
  <c r="E318" i="2"/>
  <c r="L317" i="2"/>
  <c r="I317" i="2"/>
  <c r="E317" i="2"/>
  <c r="L316" i="2"/>
  <c r="I316" i="2"/>
  <c r="E316" i="2"/>
  <c r="L315" i="2"/>
  <c r="I315" i="2"/>
  <c r="E315" i="2"/>
  <c r="L314" i="2"/>
  <c r="I314" i="2"/>
  <c r="E314" i="2"/>
  <c r="L313" i="2"/>
  <c r="I313" i="2"/>
  <c r="E313" i="2"/>
  <c r="L312" i="2"/>
  <c r="I312" i="2"/>
  <c r="E312" i="2"/>
  <c r="L311" i="2"/>
  <c r="I311" i="2"/>
  <c r="E311" i="2"/>
  <c r="L310" i="2"/>
  <c r="I310" i="2"/>
  <c r="E310" i="2"/>
  <c r="L309" i="2"/>
  <c r="I309" i="2"/>
  <c r="E309" i="2"/>
  <c r="L308" i="2"/>
  <c r="I308" i="2"/>
  <c r="E308" i="2"/>
  <c r="L307" i="2"/>
  <c r="I307" i="2"/>
  <c r="E307" i="2"/>
  <c r="L306" i="2"/>
  <c r="I306" i="2"/>
  <c r="E306" i="2"/>
  <c r="L305" i="2"/>
  <c r="I305" i="2"/>
  <c r="E305" i="2"/>
  <c r="L304" i="2"/>
  <c r="I304" i="2"/>
  <c r="E304" i="2"/>
  <c r="L303" i="2"/>
  <c r="I303" i="2"/>
  <c r="E303" i="2"/>
  <c r="L302" i="2"/>
  <c r="I302" i="2"/>
  <c r="E302" i="2"/>
  <c r="L301" i="2"/>
  <c r="I301" i="2"/>
  <c r="E301" i="2"/>
  <c r="L300" i="2"/>
  <c r="I300" i="2"/>
  <c r="E300" i="2"/>
  <c r="L299" i="2"/>
  <c r="I299" i="2"/>
  <c r="E299" i="2"/>
  <c r="L298" i="2"/>
  <c r="I298" i="2"/>
  <c r="E298" i="2"/>
  <c r="L297" i="2"/>
  <c r="I297" i="2"/>
  <c r="E297" i="2"/>
  <c r="L296" i="2"/>
  <c r="I296" i="2"/>
  <c r="E296" i="2"/>
  <c r="L295" i="2"/>
  <c r="I295" i="2"/>
  <c r="E295" i="2"/>
  <c r="L294" i="2"/>
  <c r="I294" i="2"/>
  <c r="E294" i="2"/>
  <c r="L293" i="2"/>
  <c r="I293" i="2"/>
  <c r="E293" i="2"/>
  <c r="L292" i="2"/>
  <c r="I292" i="2"/>
  <c r="E292" i="2"/>
  <c r="L291" i="2"/>
  <c r="I291" i="2"/>
  <c r="E291" i="2"/>
  <c r="L290" i="2"/>
  <c r="I290" i="2"/>
  <c r="E290" i="2"/>
  <c r="L289" i="2"/>
  <c r="I289" i="2"/>
  <c r="E289" i="2"/>
  <c r="L288" i="2"/>
  <c r="I288" i="2"/>
  <c r="E288" i="2"/>
  <c r="L287" i="2"/>
  <c r="I287" i="2"/>
  <c r="E287" i="2"/>
  <c r="L286" i="2"/>
  <c r="I286" i="2"/>
  <c r="E286" i="2"/>
  <c r="L285" i="2"/>
  <c r="I285" i="2"/>
  <c r="E285" i="2"/>
  <c r="L284" i="2"/>
  <c r="I284" i="2"/>
  <c r="E284" i="2"/>
  <c r="L283" i="2"/>
  <c r="I283" i="2"/>
  <c r="E283" i="2"/>
  <c r="L282" i="2"/>
  <c r="I282" i="2"/>
  <c r="E282" i="2"/>
  <c r="L281" i="2"/>
  <c r="I281" i="2"/>
  <c r="E281" i="2"/>
  <c r="L280" i="2"/>
  <c r="I280" i="2"/>
  <c r="E280" i="2"/>
  <c r="L279" i="2"/>
  <c r="I279" i="2"/>
  <c r="E279" i="2"/>
  <c r="L278" i="2"/>
  <c r="I278" i="2"/>
  <c r="E278" i="2"/>
  <c r="L277" i="2"/>
  <c r="I277" i="2"/>
  <c r="E277" i="2"/>
  <c r="L276" i="2"/>
  <c r="I276" i="2"/>
  <c r="E276" i="2"/>
  <c r="L275" i="2"/>
  <c r="I275" i="2"/>
  <c r="E275" i="2"/>
  <c r="L274" i="2"/>
  <c r="I274" i="2"/>
  <c r="E274" i="2"/>
  <c r="L273" i="2"/>
  <c r="I273" i="2"/>
  <c r="E273" i="2"/>
  <c r="L272" i="2"/>
  <c r="I272" i="2"/>
  <c r="E272" i="2"/>
  <c r="L271" i="2"/>
  <c r="I271" i="2"/>
  <c r="E271" i="2"/>
  <c r="L270" i="2"/>
  <c r="I270" i="2"/>
  <c r="E270" i="2"/>
  <c r="L269" i="2"/>
  <c r="I269" i="2"/>
  <c r="E269" i="2"/>
  <c r="L268" i="2"/>
  <c r="I268" i="2"/>
  <c r="E268" i="2"/>
  <c r="L267" i="2"/>
  <c r="I267" i="2"/>
  <c r="E267" i="2"/>
  <c r="L266" i="2"/>
  <c r="I266" i="2"/>
  <c r="E266" i="2"/>
  <c r="L265" i="2"/>
  <c r="I265" i="2"/>
  <c r="E265" i="2"/>
  <c r="L264" i="2"/>
  <c r="I264" i="2"/>
  <c r="E264" i="2"/>
  <c r="L263" i="2"/>
  <c r="I263" i="2"/>
  <c r="E263" i="2"/>
  <c r="L262" i="2"/>
  <c r="I262" i="2"/>
  <c r="E262" i="2"/>
  <c r="L261" i="2"/>
  <c r="I261" i="2"/>
  <c r="E261" i="2"/>
  <c r="L260" i="2"/>
  <c r="I260" i="2"/>
  <c r="E260" i="2"/>
  <c r="L259" i="2"/>
  <c r="I259" i="2"/>
  <c r="E259" i="2"/>
  <c r="L258" i="2"/>
  <c r="I258" i="2"/>
  <c r="E258" i="2"/>
  <c r="L257" i="2"/>
  <c r="I257" i="2"/>
  <c r="E257" i="2"/>
  <c r="L256" i="2"/>
  <c r="I256" i="2"/>
  <c r="E256" i="2"/>
  <c r="L255" i="2"/>
  <c r="I255" i="2"/>
  <c r="E255" i="2"/>
  <c r="L254" i="2"/>
  <c r="I254" i="2"/>
  <c r="E254" i="2"/>
  <c r="L253" i="2"/>
  <c r="I253" i="2"/>
  <c r="E253" i="2"/>
  <c r="L252" i="2"/>
  <c r="I252" i="2"/>
  <c r="E252" i="2"/>
  <c r="L251" i="2"/>
  <c r="I251" i="2"/>
  <c r="E251" i="2"/>
  <c r="L250" i="2"/>
  <c r="I250" i="2"/>
  <c r="E250" i="2"/>
  <c r="L249" i="2"/>
  <c r="I249" i="2"/>
  <c r="E249" i="2"/>
  <c r="L248" i="2"/>
  <c r="I248" i="2"/>
  <c r="E248" i="2"/>
  <c r="L247" i="2"/>
  <c r="I247" i="2"/>
  <c r="E247" i="2"/>
  <c r="L246" i="2"/>
  <c r="I246" i="2"/>
  <c r="E246" i="2"/>
  <c r="L245" i="2"/>
  <c r="I245" i="2"/>
  <c r="E245" i="2"/>
  <c r="L244" i="2"/>
  <c r="I244" i="2"/>
  <c r="E244" i="2"/>
  <c r="L243" i="2"/>
  <c r="I243" i="2"/>
  <c r="E243" i="2"/>
  <c r="L242" i="2"/>
  <c r="I242" i="2"/>
  <c r="E242" i="2"/>
  <c r="L241" i="2"/>
  <c r="I241" i="2"/>
  <c r="E241" i="2"/>
  <c r="L240" i="2"/>
  <c r="I240" i="2"/>
  <c r="E240" i="2"/>
  <c r="L239" i="2"/>
  <c r="I239" i="2"/>
  <c r="E239" i="2"/>
  <c r="L238" i="2"/>
  <c r="I238" i="2"/>
  <c r="E238" i="2"/>
  <c r="L237" i="2"/>
  <c r="I237" i="2"/>
  <c r="E237" i="2"/>
  <c r="L236" i="2"/>
  <c r="I236" i="2"/>
  <c r="E236" i="2"/>
  <c r="L235" i="2"/>
  <c r="I235" i="2"/>
  <c r="E235" i="2"/>
  <c r="L234" i="2"/>
  <c r="I234" i="2"/>
  <c r="E234" i="2"/>
  <c r="L233" i="2"/>
  <c r="I233" i="2"/>
  <c r="E233" i="2"/>
  <c r="L232" i="2"/>
  <c r="I232" i="2"/>
  <c r="E232" i="2"/>
  <c r="L231" i="2"/>
  <c r="I231" i="2"/>
  <c r="E231" i="2"/>
  <c r="L230" i="2"/>
  <c r="I230" i="2"/>
  <c r="E230" i="2"/>
  <c r="L229" i="2"/>
  <c r="I229" i="2"/>
  <c r="E229" i="2"/>
  <c r="L228" i="2"/>
  <c r="I228" i="2"/>
  <c r="E228" i="2"/>
  <c r="L227" i="2"/>
  <c r="I227" i="2"/>
  <c r="E227" i="2"/>
  <c r="L226" i="2"/>
  <c r="I226" i="2"/>
  <c r="E226" i="2"/>
  <c r="L225" i="2"/>
  <c r="I225" i="2"/>
  <c r="E225" i="2"/>
  <c r="L224" i="2"/>
  <c r="I224" i="2"/>
  <c r="E224" i="2"/>
  <c r="L223" i="2"/>
  <c r="I223" i="2"/>
  <c r="E223" i="2"/>
  <c r="L222" i="2"/>
  <c r="I222" i="2"/>
  <c r="E222" i="2"/>
  <c r="L221" i="2"/>
  <c r="I221" i="2"/>
  <c r="E221" i="2"/>
  <c r="L220" i="2"/>
  <c r="I220" i="2"/>
  <c r="E220" i="2"/>
  <c r="L219" i="2"/>
  <c r="I219" i="2"/>
  <c r="E219" i="2"/>
  <c r="L218" i="2"/>
  <c r="I218" i="2"/>
  <c r="E218" i="2"/>
  <c r="L217" i="2"/>
  <c r="I217" i="2"/>
  <c r="E217" i="2"/>
  <c r="L216" i="2"/>
  <c r="I216" i="2"/>
  <c r="E216" i="2"/>
  <c r="L215" i="2"/>
  <c r="I215" i="2"/>
  <c r="E215" i="2"/>
  <c r="L214" i="2"/>
  <c r="I214" i="2"/>
  <c r="E214" i="2"/>
  <c r="L213" i="2"/>
  <c r="I213" i="2"/>
  <c r="E213" i="2"/>
  <c r="L212" i="2"/>
  <c r="I212" i="2"/>
  <c r="E212" i="2"/>
  <c r="L211" i="2"/>
  <c r="I211" i="2"/>
  <c r="E211" i="2"/>
  <c r="L210" i="2"/>
  <c r="I210" i="2"/>
  <c r="E210" i="2"/>
  <c r="L209" i="2"/>
  <c r="I209" i="2"/>
  <c r="E209" i="2"/>
  <c r="L208" i="2"/>
  <c r="I208" i="2"/>
  <c r="E208" i="2"/>
  <c r="L207" i="2"/>
  <c r="I207" i="2"/>
  <c r="E207" i="2"/>
  <c r="L206" i="2"/>
  <c r="I206" i="2"/>
  <c r="E206" i="2"/>
  <c r="L205" i="2"/>
  <c r="I205" i="2"/>
  <c r="E205" i="2"/>
  <c r="L204" i="2"/>
  <c r="I204" i="2"/>
  <c r="E204" i="2"/>
  <c r="L203" i="2"/>
  <c r="I203" i="2"/>
  <c r="E203" i="2"/>
  <c r="L202" i="2"/>
  <c r="I202" i="2"/>
  <c r="E202" i="2"/>
  <c r="L201" i="2"/>
  <c r="I201" i="2"/>
  <c r="E201" i="2"/>
  <c r="L200" i="2"/>
  <c r="I200" i="2"/>
  <c r="E200" i="2"/>
  <c r="L199" i="2"/>
  <c r="I199" i="2"/>
  <c r="E199" i="2"/>
  <c r="L198" i="2"/>
  <c r="I198" i="2"/>
  <c r="E198" i="2"/>
  <c r="L197" i="2"/>
  <c r="I197" i="2"/>
  <c r="E197" i="2"/>
  <c r="L196" i="2"/>
  <c r="I196" i="2"/>
  <c r="E196" i="2"/>
  <c r="L195" i="2"/>
  <c r="I195" i="2"/>
  <c r="E195" i="2"/>
  <c r="L194" i="2"/>
  <c r="I194" i="2"/>
  <c r="E194" i="2"/>
  <c r="L193" i="2"/>
  <c r="I193" i="2"/>
  <c r="E193" i="2"/>
  <c r="L192" i="2"/>
  <c r="I192" i="2"/>
  <c r="E192" i="2"/>
  <c r="L191" i="2"/>
  <c r="I191" i="2"/>
  <c r="E191" i="2"/>
  <c r="L190" i="2"/>
  <c r="E190" i="2"/>
  <c r="L189" i="2"/>
  <c r="I189" i="2"/>
  <c r="E189" i="2"/>
  <c r="L188" i="2"/>
  <c r="I188" i="2"/>
  <c r="E188" i="2"/>
  <c r="L187" i="2"/>
  <c r="I187" i="2"/>
  <c r="E187" i="2"/>
  <c r="L186" i="2"/>
  <c r="I186" i="2"/>
  <c r="E186" i="2"/>
  <c r="L185" i="2"/>
  <c r="I185" i="2"/>
  <c r="E185" i="2"/>
  <c r="L184" i="2"/>
  <c r="I184" i="2"/>
  <c r="E184" i="2"/>
  <c r="L183" i="2"/>
  <c r="I183" i="2"/>
  <c r="E183" i="2"/>
  <c r="L182" i="2"/>
  <c r="I182" i="2"/>
  <c r="E182" i="2"/>
  <c r="L181" i="2"/>
  <c r="I181" i="2"/>
  <c r="E181" i="2"/>
  <c r="L180" i="2"/>
  <c r="I180" i="2"/>
  <c r="E180" i="2"/>
  <c r="L179" i="2"/>
  <c r="I179" i="2"/>
  <c r="E179" i="2"/>
  <c r="L178" i="2"/>
  <c r="I178" i="2"/>
  <c r="E178" i="2"/>
  <c r="L177" i="2"/>
  <c r="I177" i="2"/>
  <c r="E177" i="2"/>
  <c r="L176" i="2"/>
  <c r="I176" i="2"/>
  <c r="E176" i="2"/>
  <c r="L175" i="2"/>
  <c r="I175" i="2"/>
  <c r="E175" i="2"/>
  <c r="L174" i="2"/>
  <c r="I174" i="2"/>
  <c r="E174" i="2"/>
  <c r="L173" i="2"/>
  <c r="I173" i="2"/>
  <c r="E173" i="2"/>
  <c r="L172" i="2"/>
  <c r="I172" i="2"/>
  <c r="E172" i="2"/>
  <c r="L171" i="2"/>
  <c r="I171" i="2"/>
  <c r="E171" i="2"/>
  <c r="L170" i="2"/>
  <c r="I170" i="2"/>
  <c r="E170" i="2"/>
  <c r="L169" i="2"/>
  <c r="I169" i="2"/>
  <c r="E169" i="2"/>
  <c r="L168" i="2"/>
  <c r="I168" i="2"/>
  <c r="E168" i="2"/>
  <c r="L167" i="2"/>
  <c r="I167" i="2"/>
  <c r="E167" i="2"/>
  <c r="L166" i="2"/>
  <c r="I166" i="2"/>
  <c r="E166" i="2"/>
  <c r="L165" i="2"/>
  <c r="I165" i="2"/>
  <c r="E165" i="2"/>
  <c r="L164" i="2"/>
  <c r="I164" i="2"/>
  <c r="E164" i="2"/>
  <c r="L163" i="2"/>
  <c r="I163" i="2"/>
  <c r="E163" i="2"/>
  <c r="L162" i="2"/>
  <c r="I162" i="2"/>
  <c r="E162" i="2"/>
  <c r="L161" i="2"/>
  <c r="I161" i="2"/>
  <c r="E161" i="2"/>
  <c r="L160" i="2"/>
  <c r="I160" i="2"/>
  <c r="E160" i="2"/>
  <c r="L159" i="2"/>
  <c r="I159" i="2"/>
  <c r="E159" i="2"/>
  <c r="L158" i="2"/>
  <c r="I158" i="2"/>
  <c r="E158" i="2"/>
  <c r="L157" i="2"/>
  <c r="I157" i="2"/>
  <c r="E157" i="2"/>
  <c r="L156" i="2"/>
  <c r="I156" i="2"/>
  <c r="E156" i="2"/>
  <c r="L155" i="2"/>
  <c r="I155" i="2"/>
  <c r="E155" i="2"/>
  <c r="L154" i="2"/>
  <c r="I154" i="2"/>
  <c r="E154" i="2"/>
  <c r="L153" i="2"/>
  <c r="I153" i="2"/>
  <c r="E153" i="2"/>
  <c r="L152" i="2"/>
  <c r="I152" i="2"/>
  <c r="E152" i="2"/>
  <c r="L151" i="2"/>
  <c r="I151" i="2"/>
  <c r="E151" i="2"/>
  <c r="L150" i="2"/>
  <c r="I150" i="2"/>
  <c r="E150" i="2"/>
  <c r="L149" i="2"/>
  <c r="I149" i="2"/>
  <c r="E149" i="2"/>
  <c r="L148" i="2"/>
  <c r="I148" i="2"/>
  <c r="E148" i="2"/>
  <c r="L147" i="2"/>
  <c r="I147" i="2"/>
  <c r="E147" i="2"/>
  <c r="L146" i="2"/>
  <c r="I146" i="2"/>
  <c r="E146" i="2"/>
  <c r="L145" i="2"/>
  <c r="I145" i="2"/>
  <c r="E145" i="2"/>
  <c r="L144" i="2"/>
  <c r="I144" i="2"/>
  <c r="E144" i="2"/>
  <c r="L143" i="2"/>
  <c r="I143" i="2"/>
  <c r="N10" i="4" s="1" a="1"/>
  <c r="N10" i="4" s="1"/>
  <c r="E143" i="2"/>
  <c r="L142" i="2"/>
  <c r="I142" i="2"/>
  <c r="E142" i="2"/>
  <c r="L141" i="2"/>
  <c r="I141" i="2"/>
  <c r="E141" i="2"/>
  <c r="L140" i="2"/>
  <c r="I140" i="2"/>
  <c r="E140" i="2"/>
  <c r="L139" i="2"/>
  <c r="I139" i="2"/>
  <c r="E139" i="2"/>
  <c r="L138" i="2"/>
  <c r="I138" i="2"/>
  <c r="E138" i="2"/>
  <c r="L137" i="2"/>
  <c r="I137" i="2"/>
  <c r="E137" i="2"/>
  <c r="L136" i="2"/>
  <c r="I136" i="2"/>
  <c r="E136" i="2"/>
  <c r="L135" i="2"/>
  <c r="I135" i="2"/>
  <c r="E135" i="2"/>
  <c r="L134" i="2"/>
  <c r="I134" i="2"/>
  <c r="E134" i="2"/>
  <c r="L133" i="2"/>
  <c r="I133" i="2"/>
  <c r="E133" i="2"/>
  <c r="L132" i="2"/>
  <c r="I132" i="2"/>
  <c r="E132" i="2"/>
  <c r="L131" i="2"/>
  <c r="I131" i="2"/>
  <c r="E131" i="2"/>
  <c r="L130" i="2"/>
  <c r="I130" i="2"/>
  <c r="E130" i="2"/>
  <c r="L129" i="2"/>
  <c r="I129" i="2"/>
  <c r="E129" i="2"/>
  <c r="L128" i="2"/>
  <c r="I128" i="2"/>
  <c r="E128" i="2"/>
  <c r="L127" i="2"/>
  <c r="I127" i="2"/>
  <c r="E127" i="2"/>
  <c r="L126" i="2"/>
  <c r="I126" i="2"/>
  <c r="E126" i="2"/>
  <c r="L125" i="2"/>
  <c r="I125" i="2"/>
  <c r="E125" i="2"/>
  <c r="L124" i="2"/>
  <c r="I124" i="2"/>
  <c r="E124" i="2"/>
  <c r="L123" i="2"/>
  <c r="I123" i="2"/>
  <c r="E123" i="2"/>
  <c r="L122" i="2"/>
  <c r="I122" i="2"/>
  <c r="E122" i="2"/>
  <c r="L121" i="2"/>
  <c r="I121" i="2"/>
  <c r="E121" i="2"/>
  <c r="L120" i="2"/>
  <c r="I120" i="2"/>
  <c r="E120" i="2"/>
  <c r="L119" i="2"/>
  <c r="I119" i="2"/>
  <c r="E119" i="2"/>
  <c r="L118" i="2"/>
  <c r="I118" i="2"/>
  <c r="E118" i="2"/>
  <c r="L117" i="2"/>
  <c r="I117" i="2"/>
  <c r="E117" i="2"/>
  <c r="L116" i="2"/>
  <c r="I116" i="2"/>
  <c r="E116" i="2"/>
  <c r="L115" i="2"/>
  <c r="I115" i="2"/>
  <c r="E115" i="2"/>
  <c r="L114" i="2"/>
  <c r="I114" i="2"/>
  <c r="E114" i="2"/>
  <c r="L113" i="2"/>
  <c r="I113" i="2"/>
  <c r="E113" i="2"/>
  <c r="L112" i="2"/>
  <c r="I112" i="2"/>
  <c r="E112" i="2"/>
  <c r="L111" i="2"/>
  <c r="I111" i="2"/>
  <c r="E111" i="2"/>
  <c r="L110" i="2"/>
  <c r="I110" i="2"/>
  <c r="E110" i="2"/>
  <c r="L109" i="2"/>
  <c r="I109" i="2"/>
  <c r="E109" i="2"/>
  <c r="L108" i="2"/>
  <c r="I108" i="2"/>
  <c r="E108" i="2"/>
  <c r="L107" i="2"/>
  <c r="I107" i="2"/>
  <c r="E107" i="2"/>
  <c r="L106" i="2"/>
  <c r="I106" i="2"/>
  <c r="E106" i="2"/>
  <c r="L105" i="2"/>
  <c r="I105" i="2"/>
  <c r="E105" i="2"/>
  <c r="L104" i="2"/>
  <c r="I104" i="2"/>
  <c r="E104" i="2"/>
  <c r="L103" i="2"/>
  <c r="I103" i="2"/>
  <c r="E103" i="2"/>
  <c r="L102" i="2"/>
  <c r="I102" i="2"/>
  <c r="E102" i="2"/>
  <c r="L101" i="2"/>
  <c r="I101" i="2"/>
  <c r="E101" i="2"/>
  <c r="L100" i="2"/>
  <c r="I100" i="2"/>
  <c r="E100" i="2"/>
  <c r="L99" i="2"/>
  <c r="I99" i="2"/>
  <c r="E99" i="2"/>
  <c r="L98" i="2"/>
  <c r="I98" i="2"/>
  <c r="E98" i="2"/>
  <c r="L97" i="2"/>
  <c r="I97" i="2"/>
  <c r="E97" i="2"/>
  <c r="L96" i="2"/>
  <c r="I96" i="2"/>
  <c r="E96" i="2"/>
  <c r="L95" i="2"/>
  <c r="I95" i="2"/>
  <c r="E95" i="2"/>
  <c r="L94" i="2"/>
  <c r="I94" i="2"/>
  <c r="E94" i="2"/>
  <c r="L93" i="2"/>
  <c r="I93" i="2"/>
  <c r="E93" i="2"/>
  <c r="L92" i="2"/>
  <c r="I92" i="2"/>
  <c r="E92" i="2"/>
  <c r="L91" i="2"/>
  <c r="I91" i="2"/>
  <c r="E91" i="2"/>
  <c r="L90" i="2"/>
  <c r="I90" i="2"/>
  <c r="E90" i="2"/>
  <c r="L89" i="2"/>
  <c r="I89" i="2"/>
  <c r="E89" i="2"/>
  <c r="L88" i="2"/>
  <c r="I88" i="2"/>
  <c r="E88" i="2"/>
  <c r="L87" i="2"/>
  <c r="I87" i="2"/>
  <c r="E87" i="2"/>
  <c r="L86" i="2"/>
  <c r="I86" i="2"/>
  <c r="E86" i="2"/>
  <c r="L85" i="2"/>
  <c r="I85" i="2"/>
  <c r="E85" i="2"/>
  <c r="L84" i="2"/>
  <c r="I84" i="2"/>
  <c r="E84" i="2"/>
  <c r="L83" i="2"/>
  <c r="I83" i="2"/>
  <c r="E83" i="2"/>
  <c r="L82" i="2"/>
  <c r="I82" i="2"/>
  <c r="E82" i="2"/>
  <c r="L81" i="2"/>
  <c r="I81" i="2"/>
  <c r="E81" i="2"/>
  <c r="L80" i="2"/>
  <c r="I80" i="2"/>
  <c r="E80" i="2"/>
  <c r="L79" i="2"/>
  <c r="I79" i="2"/>
  <c r="E79" i="2"/>
  <c r="L78" i="2"/>
  <c r="I78" i="2"/>
  <c r="E78" i="2"/>
  <c r="L77" i="2"/>
  <c r="I77" i="2"/>
  <c r="E77" i="2"/>
  <c r="L76" i="2"/>
  <c r="I76" i="2"/>
  <c r="E76" i="2"/>
  <c r="L75" i="2"/>
  <c r="I75" i="2"/>
  <c r="E75" i="2"/>
  <c r="L74" i="2"/>
  <c r="I74" i="2"/>
  <c r="E74" i="2"/>
  <c r="L73" i="2"/>
  <c r="I73" i="2"/>
  <c r="E73" i="2"/>
  <c r="L72" i="2"/>
  <c r="I72" i="2"/>
  <c r="E72" i="2"/>
  <c r="L71" i="2"/>
  <c r="I71" i="2"/>
  <c r="E71" i="2"/>
  <c r="L70" i="2"/>
  <c r="I70" i="2"/>
  <c r="E70" i="2"/>
  <c r="L69" i="2"/>
  <c r="I69" i="2"/>
  <c r="E69" i="2"/>
  <c r="L68" i="2"/>
  <c r="I68" i="2"/>
  <c r="E68" i="2"/>
  <c r="L67" i="2"/>
  <c r="I67" i="2"/>
  <c r="E67" i="2"/>
  <c r="L66" i="2"/>
  <c r="I66" i="2"/>
  <c r="E66" i="2"/>
  <c r="L65" i="2"/>
  <c r="I65" i="2"/>
  <c r="E65" i="2"/>
  <c r="L64" i="2"/>
  <c r="I64" i="2"/>
  <c r="E64" i="2"/>
  <c r="L63" i="2"/>
  <c r="I63" i="2"/>
  <c r="E63" i="2"/>
  <c r="L62" i="2"/>
  <c r="I62" i="2"/>
  <c r="E62" i="2"/>
  <c r="L61" i="2"/>
  <c r="I61" i="2"/>
  <c r="E61" i="2"/>
  <c r="L60" i="2"/>
  <c r="I60" i="2"/>
  <c r="E60" i="2"/>
  <c r="L59" i="2"/>
  <c r="I59" i="2"/>
  <c r="E59" i="2"/>
  <c r="L58" i="2"/>
  <c r="I58" i="2"/>
  <c r="E58" i="2"/>
  <c r="L57" i="2"/>
  <c r="I57" i="2"/>
  <c r="E57" i="2"/>
  <c r="L56" i="2"/>
  <c r="I56" i="2"/>
  <c r="E56" i="2"/>
  <c r="L55" i="2"/>
  <c r="I55" i="2"/>
  <c r="E55" i="2"/>
  <c r="L54" i="2"/>
  <c r="I54" i="2"/>
  <c r="E54" i="2"/>
  <c r="L53" i="2"/>
  <c r="I53" i="2"/>
  <c r="E53" i="2"/>
  <c r="L52" i="2"/>
  <c r="I52" i="2"/>
  <c r="E52" i="2"/>
  <c r="L51" i="2"/>
  <c r="I51" i="2"/>
  <c r="E51" i="2"/>
  <c r="L50" i="2"/>
  <c r="I50" i="2"/>
  <c r="E50" i="2"/>
  <c r="L49" i="2"/>
  <c r="I49" i="2"/>
  <c r="E49" i="2"/>
  <c r="L48" i="2"/>
  <c r="I48" i="2"/>
  <c r="E48" i="2"/>
  <c r="L47" i="2"/>
  <c r="I47" i="2"/>
  <c r="E47" i="2"/>
  <c r="L46" i="2"/>
  <c r="I46" i="2"/>
  <c r="E46" i="2"/>
  <c r="L45" i="2"/>
  <c r="I45" i="2"/>
  <c r="E45" i="2"/>
  <c r="L44" i="2"/>
  <c r="I44" i="2"/>
  <c r="E44" i="2"/>
  <c r="L43" i="2"/>
  <c r="I43" i="2"/>
  <c r="E43" i="2"/>
  <c r="L42" i="2"/>
  <c r="I42" i="2"/>
  <c r="E42" i="2"/>
  <c r="L41" i="2"/>
  <c r="I41" i="2"/>
  <c r="E41" i="2"/>
  <c r="L40" i="2"/>
  <c r="I40" i="2"/>
  <c r="E40" i="2"/>
  <c r="L39" i="2"/>
  <c r="I39" i="2"/>
  <c r="E39" i="2"/>
  <c r="L38" i="2"/>
  <c r="I38" i="2"/>
  <c r="E38" i="2"/>
  <c r="L37" i="2"/>
  <c r="I37" i="2"/>
  <c r="E37" i="2"/>
  <c r="L36" i="2"/>
  <c r="I36" i="2"/>
  <c r="E36" i="2"/>
  <c r="L35" i="2"/>
  <c r="I35" i="2"/>
  <c r="E35" i="2"/>
  <c r="L34" i="2"/>
  <c r="I34" i="2"/>
  <c r="E34" i="2"/>
  <c r="L33" i="2"/>
  <c r="I33" i="2"/>
  <c r="E33" i="2"/>
  <c r="L32" i="2"/>
  <c r="I32" i="2"/>
  <c r="E32" i="2"/>
  <c r="L31" i="2"/>
  <c r="I31" i="2"/>
  <c r="E31" i="2"/>
  <c r="L30" i="2"/>
  <c r="I30" i="2"/>
  <c r="E30" i="2"/>
  <c r="L29" i="2"/>
  <c r="I29" i="2"/>
  <c r="E29" i="2"/>
  <c r="L28" i="2"/>
  <c r="I28" i="2"/>
  <c r="E28" i="2"/>
  <c r="L27" i="2"/>
  <c r="I27" i="2"/>
  <c r="E27" i="2"/>
  <c r="L26" i="2"/>
  <c r="I26" i="2"/>
  <c r="E26" i="2"/>
  <c r="L25" i="2"/>
  <c r="I25" i="2"/>
  <c r="E25" i="2"/>
  <c r="L24" i="2"/>
  <c r="I24" i="2"/>
  <c r="E24" i="2"/>
  <c r="L23" i="2"/>
  <c r="I23" i="2"/>
  <c r="E23" i="2"/>
  <c r="L22" i="2"/>
  <c r="I22" i="2"/>
  <c r="E22" i="2"/>
  <c r="L21" i="2"/>
  <c r="I21" i="2"/>
  <c r="E21" i="2"/>
  <c r="L20" i="2"/>
  <c r="I20" i="2"/>
  <c r="E20" i="2"/>
  <c r="L19" i="2"/>
  <c r="I19" i="2"/>
  <c r="E19" i="2"/>
  <c r="L18" i="2"/>
  <c r="I18" i="2"/>
  <c r="E18" i="2"/>
  <c r="L17" i="2"/>
  <c r="I17" i="2"/>
  <c r="E17" i="2"/>
  <c r="L16" i="2"/>
  <c r="I16" i="2"/>
  <c r="E16" i="2"/>
  <c r="L15" i="2"/>
  <c r="I15" i="2"/>
  <c r="E15" i="2"/>
  <c r="L14" i="2"/>
  <c r="I14" i="2"/>
  <c r="E14" i="2"/>
  <c r="L13" i="2"/>
  <c r="I13" i="2"/>
  <c r="E13" i="2"/>
  <c r="L12" i="2"/>
  <c r="I12" i="2"/>
  <c r="E12" i="2"/>
  <c r="L11" i="2"/>
  <c r="I11" i="2"/>
  <c r="E11" i="2"/>
  <c r="L10" i="2"/>
  <c r="I10" i="2"/>
  <c r="E10" i="2"/>
  <c r="Z12" i="1" s="1"/>
  <c r="L9" i="2"/>
  <c r="E9" i="2"/>
  <c r="D28" i="7"/>
  <c r="C28" i="7"/>
  <c r="C15" i="7"/>
  <c r="B15" i="7"/>
  <c r="N10" i="7"/>
  <c r="W9" i="7"/>
  <c r="M9" i="7"/>
  <c r="N9" i="7" s="1"/>
  <c r="N8" i="7"/>
  <c r="N7" i="7"/>
  <c r="N6" i="7"/>
  <c r="N5" i="7"/>
  <c r="N4" i="7"/>
  <c r="M3" i="7"/>
  <c r="N3" i="7" s="1"/>
  <c r="AF2" i="7" a="1"/>
  <c r="AF2" i="7" s="1"/>
  <c r="AI1" i="7"/>
  <c r="AJ1" i="7" s="1"/>
  <c r="AH1" i="7"/>
  <c r="AC5" i="4"/>
  <c r="Z5" i="4" a="1"/>
  <c r="Z5" i="4" s="1"/>
  <c r="Y5" i="4" a="1"/>
  <c r="Y5" i="4" s="1"/>
  <c r="R5" i="4"/>
  <c r="X2" i="4"/>
  <c r="E1" i="4"/>
  <c r="D1" i="4"/>
  <c r="B1" i="4" a="1"/>
  <c r="B1" i="4" s="1"/>
  <c r="C82" i="3"/>
  <c r="C81" i="3"/>
  <c r="C80" i="3"/>
  <c r="F77" i="3"/>
  <c r="E77" i="3"/>
  <c r="F76" i="3"/>
  <c r="E76" i="3"/>
  <c r="F75" i="3"/>
  <c r="E75" i="3"/>
  <c r="F74" i="3"/>
  <c r="E74" i="3"/>
  <c r="E73" i="3"/>
  <c r="F73" i="3" s="1"/>
  <c r="F72" i="3"/>
  <c r="E72" i="3"/>
  <c r="F71" i="3"/>
  <c r="E71" i="3"/>
  <c r="F70" i="3"/>
  <c r="E70" i="3"/>
  <c r="E69" i="3"/>
  <c r="F69" i="3" s="1"/>
  <c r="F68" i="3"/>
  <c r="E68" i="3"/>
  <c r="E67" i="3"/>
  <c r="F67" i="3" s="1"/>
  <c r="F66" i="3"/>
  <c r="E66" i="3"/>
  <c r="E65" i="3"/>
  <c r="F65" i="3" s="1"/>
  <c r="F64" i="3"/>
  <c r="E64" i="3"/>
  <c r="F63" i="3"/>
  <c r="E63" i="3"/>
  <c r="F62" i="3"/>
  <c r="E62" i="3"/>
  <c r="E61" i="3"/>
  <c r="F61" i="3" s="1"/>
  <c r="E60" i="3"/>
  <c r="F60" i="3" s="1"/>
  <c r="F59" i="3"/>
  <c r="E59" i="3"/>
  <c r="E58" i="3"/>
  <c r="F58" i="3" s="1"/>
  <c r="F46" i="3" a="1"/>
  <c r="F46" i="3" s="1"/>
  <c r="F45" i="3" a="1"/>
  <c r="F45" i="3" s="1"/>
  <c r="F44" i="3" a="1"/>
  <c r="F44" i="3" s="1"/>
  <c r="F43" i="3" a="1"/>
  <c r="F43" i="3" s="1"/>
  <c r="F42" i="3" a="1"/>
  <c r="F42" i="3"/>
  <c r="F41" i="3" a="1"/>
  <c r="F41" i="3" s="1"/>
  <c r="F40" i="3" a="1"/>
  <c r="F40" i="3" s="1"/>
  <c r="F39" i="3" a="1"/>
  <c r="F39" i="3" s="1"/>
  <c r="F38" i="3" a="1"/>
  <c r="F38" i="3" s="1"/>
  <c r="F37" i="3" a="1"/>
  <c r="F37" i="3" s="1"/>
  <c r="F36" i="3" a="1"/>
  <c r="F36" i="3" s="1"/>
  <c r="F35" i="3" a="1"/>
  <c r="F35" i="3"/>
  <c r="F34" i="3" a="1"/>
  <c r="F34" i="3" s="1"/>
  <c r="F33" i="3" a="1"/>
  <c r="F33" i="3" s="1"/>
  <c r="F32" i="3" a="1"/>
  <c r="F32" i="3" s="1"/>
  <c r="F31" i="3" a="1"/>
  <c r="F31" i="3"/>
  <c r="F30" i="3" a="1"/>
  <c r="F30" i="3" s="1"/>
  <c r="F29" i="3" a="1"/>
  <c r="F29" i="3"/>
  <c r="F28" i="3" a="1"/>
  <c r="F28" i="3" s="1"/>
  <c r="F27" i="3" a="1"/>
  <c r="F27" i="3"/>
  <c r="F26" i="3" a="1"/>
  <c r="F26" i="3" s="1"/>
  <c r="F25" i="3" a="1"/>
  <c r="F25" i="3" s="1"/>
  <c r="F24" i="3" a="1"/>
  <c r="F24" i="3" s="1"/>
  <c r="F23" i="3" a="1"/>
  <c r="F23" i="3" s="1"/>
  <c r="F22" i="3" a="1"/>
  <c r="F22" i="3" s="1"/>
  <c r="F21" i="3" a="1"/>
  <c r="F21" i="3"/>
  <c r="F20" i="3" a="1"/>
  <c r="F20" i="3" s="1"/>
  <c r="F19" i="3" a="1"/>
  <c r="F19" i="3"/>
  <c r="F18" i="3" a="1"/>
  <c r="F18" i="3" s="1"/>
  <c r="AI17" i="9" s="1"/>
  <c r="F17" i="3" a="1"/>
  <c r="F17" i="3" s="1"/>
  <c r="F16" i="3" a="1"/>
  <c r="F16" i="3" s="1"/>
  <c r="F15" i="3" a="1"/>
  <c r="F15" i="3" s="1"/>
  <c r="F14" i="3" a="1"/>
  <c r="F14" i="3" s="1"/>
  <c r="F13" i="3" a="1"/>
  <c r="F13" i="3"/>
  <c r="C70" i="1"/>
  <c r="C69" i="1"/>
  <c r="C68" i="1"/>
  <c r="C67" i="1"/>
  <c r="E66" i="1"/>
  <c r="C66" i="1"/>
  <c r="E65" i="1"/>
  <c r="C65" i="1"/>
  <c r="E64" i="1"/>
  <c r="C64" i="1"/>
  <c r="J54" i="1"/>
  <c r="I54" i="1"/>
  <c r="F54" i="1"/>
  <c r="E54" i="1" a="1"/>
  <c r="E54" i="1" s="1"/>
  <c r="C54" i="1"/>
  <c r="H54" i="1" s="1"/>
  <c r="J53" i="1"/>
  <c r="I53" i="1"/>
  <c r="F53" i="1"/>
  <c r="E53" i="1" a="1"/>
  <c r="E53" i="1" s="1"/>
  <c r="C53" i="1"/>
  <c r="H53" i="1" s="1"/>
  <c r="J52" i="1"/>
  <c r="I52" i="1"/>
  <c r="F52" i="1"/>
  <c r="E52" i="1" a="1"/>
  <c r="E52" i="1" s="1"/>
  <c r="C52" i="1"/>
  <c r="H52" i="1" s="1"/>
  <c r="J51" i="1"/>
  <c r="I51" i="1"/>
  <c r="F51" i="1"/>
  <c r="E51" i="1" a="1"/>
  <c r="E51" i="1" s="1"/>
  <c r="C51" i="1"/>
  <c r="H51" i="1" s="1"/>
  <c r="J50" i="1"/>
  <c r="I50" i="1"/>
  <c r="F50" i="1"/>
  <c r="E50" i="1" a="1"/>
  <c r="E50" i="1" s="1"/>
  <c r="C50" i="1"/>
  <c r="H50" i="1" s="1"/>
  <c r="J49" i="1"/>
  <c r="I49" i="1"/>
  <c r="F49" i="1"/>
  <c r="E49" i="1" a="1"/>
  <c r="E49" i="1" s="1"/>
  <c r="C49" i="1"/>
  <c r="H49" i="1" s="1"/>
  <c r="J48" i="1"/>
  <c r="I48" i="1"/>
  <c r="C48" i="1"/>
  <c r="C47" i="1"/>
  <c r="C46" i="1"/>
  <c r="J45" i="1"/>
  <c r="I45" i="1"/>
  <c r="C45" i="1"/>
  <c r="J44" i="1"/>
  <c r="I44" i="1"/>
  <c r="C44" i="1"/>
  <c r="J43" i="1"/>
  <c r="I43" i="1"/>
  <c r="C43" i="1"/>
  <c r="J42" i="1"/>
  <c r="I42" i="1"/>
  <c r="C42" i="1"/>
  <c r="C41" i="1"/>
  <c r="J40" i="1"/>
  <c r="I40" i="1"/>
  <c r="C40" i="1"/>
  <c r="J39" i="1"/>
  <c r="I39" i="1"/>
  <c r="C39" i="1"/>
  <c r="C38" i="1"/>
  <c r="C37" i="1"/>
  <c r="J36" i="1"/>
  <c r="I36" i="1"/>
  <c r="C36" i="1"/>
  <c r="C35" i="1"/>
  <c r="J11" i="1"/>
  <c r="I11" i="1"/>
  <c r="AF4" i="1" a="1"/>
  <c r="AF4" i="1"/>
  <c r="I2" i="1"/>
  <c r="H62" i="9"/>
  <c r="E62" i="9"/>
  <c r="B62" i="9"/>
  <c r="AK32" i="9"/>
  <c r="AK31" i="9"/>
  <c r="AK30" i="9"/>
  <c r="AK29" i="9"/>
  <c r="AK28" i="9"/>
  <c r="AK27" i="9"/>
  <c r="AK26" i="9"/>
  <c r="AK25" i="9"/>
  <c r="AK24" i="9"/>
  <c r="AK23" i="9"/>
  <c r="AK22" i="9"/>
  <c r="AK21" i="9"/>
  <c r="AK20" i="9"/>
  <c r="AK19" i="9"/>
  <c r="AK18" i="9"/>
  <c r="AK17" i="9"/>
  <c r="AK16" i="9"/>
  <c r="AK15" i="9"/>
  <c r="AK14" i="9"/>
  <c r="AK13" i="9"/>
  <c r="R7" i="9"/>
  <c r="M3" i="9"/>
  <c r="L294" i="6"/>
  <c r="L230" i="6"/>
  <c r="L166" i="6"/>
  <c r="L102" i="6"/>
  <c r="L38" i="6"/>
  <c r="L303" i="6"/>
  <c r="L242" i="6"/>
  <c r="L178" i="6"/>
  <c r="L114" i="6"/>
  <c r="L50" i="6"/>
  <c r="L285" i="6"/>
  <c r="L221" i="6"/>
  <c r="L157" i="6"/>
  <c r="L93" i="6"/>
  <c r="L29" i="6"/>
  <c r="L272" i="6"/>
  <c r="L208" i="6"/>
  <c r="L144" i="6"/>
  <c r="L80" i="6"/>
  <c r="L16" i="6"/>
  <c r="L180" i="6"/>
  <c r="L52" i="6"/>
  <c r="L283" i="6"/>
  <c r="L155" i="6"/>
  <c r="L27" i="6"/>
  <c r="M564" i="2"/>
  <c r="M531" i="2"/>
  <c r="M515" i="2"/>
  <c r="M499" i="2"/>
  <c r="M483" i="2"/>
  <c r="M467" i="2"/>
  <c r="M451" i="2"/>
  <c r="M435" i="2"/>
  <c r="M419" i="2"/>
  <c r="M403" i="2"/>
  <c r="M387" i="2"/>
  <c r="L169" i="6"/>
  <c r="L41" i="6"/>
  <c r="L279" i="6"/>
  <c r="L151" i="6"/>
  <c r="L23" i="6"/>
  <c r="L211" i="6"/>
  <c r="M607" i="2"/>
  <c r="M362" i="2"/>
  <c r="M298" i="2"/>
  <c r="L177" i="6"/>
  <c r="M592" i="2"/>
  <c r="M364" i="2"/>
  <c r="M300" i="2"/>
  <c r="L175" i="6"/>
  <c r="M577" i="2"/>
  <c r="M341" i="2"/>
  <c r="M277" i="2"/>
  <c r="L131" i="6"/>
  <c r="M377" i="2"/>
  <c r="M313" i="2"/>
  <c r="L193" i="6"/>
  <c r="M418" i="2"/>
  <c r="M217" i="2"/>
  <c r="M89" i="2"/>
  <c r="M574" i="2"/>
  <c r="M484" i="2"/>
  <c r="M398" i="2"/>
  <c r="M203" i="2"/>
  <c r="L220" i="6"/>
  <c r="M528" i="2"/>
  <c r="M358" i="2"/>
  <c r="M294" i="2"/>
  <c r="M189" i="2"/>
  <c r="L204" i="6"/>
  <c r="M508" i="2"/>
  <c r="M360" i="2"/>
  <c r="M239" i="2"/>
  <c r="M111" i="2"/>
  <c r="M588" i="2"/>
  <c r="M365" i="2"/>
  <c r="M225" i="2"/>
  <c r="M161" i="2"/>
  <c r="M97" i="2"/>
  <c r="M611" i="2"/>
  <c r="M510" i="2"/>
  <c r="M372" i="2"/>
  <c r="M195" i="2"/>
  <c r="L289" i="6"/>
  <c r="M567" i="2"/>
  <c r="M374" i="2"/>
  <c r="M310" i="2"/>
  <c r="M213" i="2"/>
  <c r="M85" i="2"/>
  <c r="M544" i="2"/>
  <c r="M408" i="2"/>
  <c r="M263" i="2"/>
  <c r="M199" i="2"/>
  <c r="M135" i="2"/>
  <c r="M248" i="2"/>
  <c r="M45" i="2"/>
  <c r="M130" i="2"/>
  <c r="M42" i="2"/>
  <c r="M210" i="2"/>
  <c r="M23" i="2"/>
  <c r="M156" i="2"/>
  <c r="M92" i="2"/>
  <c r="M28" i="2"/>
  <c r="M260" i="2"/>
  <c r="M196" i="2"/>
  <c r="M17" i="2"/>
  <c r="M134" i="2"/>
  <c r="M70" i="2"/>
  <c r="M534" i="2"/>
  <c r="M406" i="2"/>
  <c r="M214" i="2"/>
  <c r="M43" i="2"/>
  <c r="M136" i="2"/>
  <c r="M40" i="2"/>
  <c r="L286" i="6"/>
  <c r="L222" i="6"/>
  <c r="L158" i="6"/>
  <c r="L94" i="6"/>
  <c r="L238" i="6"/>
  <c r="L142" i="6"/>
  <c r="L62" i="6"/>
  <c r="L292" i="6"/>
  <c r="L250" i="6"/>
  <c r="L170" i="6"/>
  <c r="L98" i="6"/>
  <c r="L26" i="6"/>
  <c r="L253" i="6"/>
  <c r="L181" i="6"/>
  <c r="L109" i="6"/>
  <c r="L37" i="6"/>
  <c r="L264" i="6"/>
  <c r="L192" i="6"/>
  <c r="L120" i="6"/>
  <c r="L48" i="6"/>
  <c r="L228" i="6"/>
  <c r="L84" i="6"/>
  <c r="M546" i="2"/>
  <c r="L139" i="6"/>
  <c r="M612" i="2"/>
  <c r="M541" i="2"/>
  <c r="M523" i="2"/>
  <c r="M505" i="2"/>
  <c r="M487" i="2"/>
  <c r="M469" i="2"/>
  <c r="M449" i="2"/>
  <c r="M431" i="2"/>
  <c r="M413" i="2"/>
  <c r="M395" i="2"/>
  <c r="L217" i="6"/>
  <c r="L73" i="6"/>
  <c r="M550" i="2"/>
  <c r="L135" i="6"/>
  <c r="M600" i="2"/>
  <c r="L115" i="6"/>
  <c r="M543" i="2"/>
  <c r="M321" i="2"/>
  <c r="L241" i="6"/>
  <c r="M604" i="2"/>
  <c r="M355" i="2"/>
  <c r="M284" i="2"/>
  <c r="L79" i="6"/>
  <c r="M373" i="2"/>
  <c r="M302" i="2"/>
  <c r="L195" i="6"/>
  <c r="M559" i="2"/>
  <c r="M306" i="2"/>
  <c r="L65" i="6"/>
  <c r="M349" i="2"/>
  <c r="M153" i="2"/>
  <c r="M617" i="2"/>
  <c r="M506" i="2"/>
  <c r="M410" i="2"/>
  <c r="M187" i="2"/>
  <c r="L92" i="6"/>
  <c r="M432" i="2"/>
  <c r="M326" i="2"/>
  <c r="M237" i="2"/>
  <c r="M93" i="2"/>
  <c r="M520" i="2"/>
  <c r="M343" i="2"/>
  <c r="M207" i="2"/>
  <c r="L295" i="6"/>
  <c r="M498" i="2"/>
  <c r="M250" i="2"/>
  <c r="M177" i="2"/>
  <c r="M106" i="2"/>
  <c r="M606" i="2"/>
  <c r="M478" i="2"/>
  <c r="M276" i="2"/>
  <c r="M131" i="2"/>
  <c r="M618" i="2"/>
  <c r="M384" i="2"/>
  <c r="M315" i="2"/>
  <c r="M197" i="2"/>
  <c r="L172" i="6"/>
  <c r="M504" i="2"/>
  <c r="M327" i="2"/>
  <c r="M224" i="2"/>
  <c r="M151" i="2"/>
  <c r="M80" i="2"/>
  <c r="M37" i="2"/>
  <c r="M98" i="2"/>
  <c r="M18" i="2"/>
  <c r="M55" i="2"/>
  <c r="M180" i="2"/>
  <c r="M108" i="2"/>
  <c r="M36" i="2"/>
  <c r="M252" i="2"/>
  <c r="M65" i="2"/>
  <c r="M174" i="2"/>
  <c r="M102" i="2"/>
  <c r="M30" i="2"/>
  <c r="M438" i="2"/>
  <c r="M222" i="2"/>
  <c r="M35" i="2"/>
  <c r="M104" i="2"/>
  <c r="M16" i="2"/>
  <c r="L299" i="6"/>
  <c r="L214" i="6"/>
  <c r="L134" i="6"/>
  <c r="L54" i="6"/>
  <c r="L284" i="6"/>
  <c r="L234" i="6"/>
  <c r="L162" i="6"/>
  <c r="L90" i="6"/>
  <c r="L18" i="6"/>
  <c r="L245" i="6"/>
  <c r="L173" i="6"/>
  <c r="L101" i="6"/>
  <c r="L21" i="6"/>
  <c r="L256" i="6"/>
  <c r="L184" i="6"/>
  <c r="L112" i="6"/>
  <c r="L40" i="6"/>
  <c r="L212" i="6"/>
  <c r="L68" i="6"/>
  <c r="L267" i="6"/>
  <c r="L123" i="6"/>
  <c r="M605" i="2"/>
  <c r="M539" i="2"/>
  <c r="M521" i="2"/>
  <c r="M503" i="2"/>
  <c r="M485" i="2"/>
  <c r="M465" i="2"/>
  <c r="M447" i="2"/>
  <c r="M429" i="2"/>
  <c r="M411" i="2"/>
  <c r="M393" i="2"/>
  <c r="L201" i="6"/>
  <c r="L57" i="6"/>
  <c r="L263" i="6"/>
  <c r="L119" i="6"/>
  <c r="M584" i="2"/>
  <c r="L83" i="6"/>
  <c r="M385" i="2"/>
  <c r="M314" i="2"/>
  <c r="L209" i="6"/>
  <c r="M572" i="2"/>
  <c r="M348" i="2"/>
  <c r="M275" i="2"/>
  <c r="L47" i="6"/>
  <c r="M366" i="2"/>
  <c r="M293" i="2"/>
  <c r="L163" i="6"/>
  <c r="M370" i="2"/>
  <c r="M297" i="2"/>
  <c r="M597" i="2"/>
  <c r="M317" i="2"/>
  <c r="M137" i="2"/>
  <c r="M602" i="2"/>
  <c r="M494" i="2"/>
  <c r="M388" i="2"/>
  <c r="M171" i="2"/>
  <c r="L28" i="6"/>
  <c r="M400" i="2"/>
  <c r="M319" i="2"/>
  <c r="M221" i="2"/>
  <c r="L268" i="6"/>
  <c r="M488" i="2"/>
  <c r="M328" i="2"/>
  <c r="M191" i="2"/>
  <c r="L225" i="6"/>
  <c r="M466" i="2"/>
  <c r="M241" i="2"/>
  <c r="M170" i="2"/>
  <c r="M90" i="2"/>
  <c r="M593" i="2"/>
  <c r="M458" i="2"/>
  <c r="M259" i="2"/>
  <c r="M115" i="2"/>
  <c r="M595" i="2"/>
  <c r="M379" i="2"/>
  <c r="M303" i="2"/>
  <c r="M181" i="2"/>
  <c r="L108" i="6"/>
  <c r="M492" i="2"/>
  <c r="M312" i="2"/>
  <c r="M215" i="2"/>
  <c r="M144" i="2"/>
  <c r="M232" i="2"/>
  <c r="M29" i="2"/>
  <c r="M82" i="2"/>
  <c r="M10" i="2"/>
  <c r="M47" i="2"/>
  <c r="M172" i="2"/>
  <c r="M100" i="2"/>
  <c r="M20" i="2"/>
  <c r="M244" i="2"/>
  <c r="M57" i="2"/>
  <c r="M166" i="2"/>
  <c r="M94" i="2"/>
  <c r="M22" i="2"/>
  <c r="M422" i="2"/>
  <c r="M206" i="2"/>
  <c r="M27" i="2"/>
  <c r="M88" i="2"/>
  <c r="L302" i="6"/>
  <c r="L206" i="6"/>
  <c r="L126" i="6"/>
  <c r="L46" i="6"/>
  <c r="L298" i="6"/>
  <c r="L226" i="6"/>
  <c r="L154" i="6"/>
  <c r="L82" i="6"/>
  <c r="L10" i="6"/>
  <c r="L237" i="6"/>
  <c r="L165" i="6"/>
  <c r="L85" i="6"/>
  <c r="L13" i="6"/>
  <c r="L248" i="6"/>
  <c r="L176" i="6"/>
  <c r="L104" i="6"/>
  <c r="L32" i="6"/>
  <c r="L196" i="6"/>
  <c r="L36" i="6"/>
  <c r="L251" i="6"/>
  <c r="L107" i="6"/>
  <c r="M596" i="2"/>
  <c r="M537" i="2"/>
  <c r="M519" i="2"/>
  <c r="M501" i="2"/>
  <c r="M481" i="2"/>
  <c r="M463" i="2"/>
  <c r="M445" i="2"/>
  <c r="M427" i="2"/>
  <c r="M409" i="2"/>
  <c r="M391" i="2"/>
  <c r="L185" i="6"/>
  <c r="L25" i="6"/>
  <c r="L247" i="6"/>
  <c r="L103" i="6"/>
  <c r="M568" i="2"/>
  <c r="L51" i="6"/>
  <c r="M378" i="2"/>
  <c r="M305" i="2"/>
  <c r="L145" i="6"/>
  <c r="M560" i="2"/>
  <c r="M339" i="2"/>
  <c r="M268" i="2"/>
  <c r="L15" i="6"/>
  <c r="M357" i="2"/>
  <c r="M286" i="2"/>
  <c r="L99" i="6"/>
  <c r="M361" i="2"/>
  <c r="M290" i="2"/>
  <c r="M556" i="2"/>
  <c r="M285" i="2"/>
  <c r="M121" i="2"/>
  <c r="L278" i="6"/>
  <c r="L174" i="6"/>
  <c r="L22" i="6"/>
  <c r="L258" i="6"/>
  <c r="L130" i="6"/>
  <c r="L301" i="6"/>
  <c r="L197" i="6"/>
  <c r="L69" i="6"/>
  <c r="L280" i="6"/>
  <c r="L152" i="6"/>
  <c r="L24" i="6"/>
  <c r="L116" i="6"/>
  <c r="L219" i="6"/>
  <c r="L11" i="6"/>
  <c r="M529" i="2"/>
  <c r="M497" i="2"/>
  <c r="M473" i="2"/>
  <c r="M441" i="2"/>
  <c r="M415" i="2"/>
  <c r="L265" i="6"/>
  <c r="L9" i="6"/>
  <c r="L183" i="6"/>
  <c r="L275" i="6"/>
  <c r="M555" i="2"/>
  <c r="M273" i="2"/>
  <c r="M428" i="2"/>
  <c r="M307" i="2"/>
  <c r="M601" i="2"/>
  <c r="M309" i="2"/>
  <c r="M603" i="2"/>
  <c r="M281" i="2"/>
  <c r="M386" i="2"/>
  <c r="L255" i="6"/>
  <c r="M526" i="2"/>
  <c r="M356" i="2"/>
  <c r="M123" i="2"/>
  <c r="M496" i="2"/>
  <c r="M304" i="2"/>
  <c r="M157" i="2"/>
  <c r="M576" i="2"/>
  <c r="M311" i="2"/>
  <c r="M143" i="2"/>
  <c r="M565" i="2"/>
  <c r="M234" i="2"/>
  <c r="M138" i="2"/>
  <c r="L95" i="6"/>
  <c r="M446" i="2"/>
  <c r="M211" i="2"/>
  <c r="L124" i="6"/>
  <c r="M367" i="2"/>
  <c r="M278" i="2"/>
  <c r="M101" i="2"/>
  <c r="M472" i="2"/>
  <c r="M256" i="2"/>
  <c r="M167" i="2"/>
  <c r="M216" i="2"/>
  <c r="M178" i="2"/>
  <c r="M34" i="2"/>
  <c r="M39" i="2"/>
  <c r="M140" i="2"/>
  <c r="M52" i="2"/>
  <c r="M236" i="2"/>
  <c r="M33" i="2"/>
  <c r="M118" i="2"/>
  <c r="M14" i="2"/>
  <c r="M254" i="2"/>
  <c r="M59" i="2"/>
  <c r="M72" i="2"/>
  <c r="L236" i="6"/>
  <c r="M247" i="2"/>
  <c r="M162" i="2"/>
  <c r="M31" i="2"/>
  <c r="M44" i="2"/>
  <c r="M25" i="2"/>
  <c r="M518" i="2"/>
  <c r="M246" i="2"/>
  <c r="M64" i="2"/>
  <c r="L106" i="6"/>
  <c r="L232" i="6"/>
  <c r="L20" i="6"/>
  <c r="M580" i="2"/>
  <c r="L233" i="6"/>
  <c r="L179" i="6"/>
  <c r="M353" i="2"/>
  <c r="L273" i="6"/>
  <c r="M261" i="2"/>
  <c r="M571" i="2"/>
  <c r="M265" i="2"/>
  <c r="M249" i="2"/>
  <c r="L127" i="6"/>
  <c r="M474" i="2"/>
  <c r="M292" i="2"/>
  <c r="M383" i="2"/>
  <c r="M125" i="2"/>
  <c r="M279" i="2"/>
  <c r="M434" i="2"/>
  <c r="M122" i="2"/>
  <c r="M585" i="2"/>
  <c r="M163" i="2"/>
  <c r="M347" i="2"/>
  <c r="L44" i="6"/>
  <c r="L153" i="6"/>
  <c r="M346" i="2"/>
  <c r="L113" i="6"/>
  <c r="M380" i="2"/>
  <c r="M382" i="2"/>
  <c r="L297" i="6"/>
  <c r="M354" i="2"/>
  <c r="L257" i="6"/>
  <c r="M233" i="2"/>
  <c r="L63" i="6"/>
  <c r="M462" i="2"/>
  <c r="M251" i="2"/>
  <c r="L156" i="6"/>
  <c r="M368" i="2"/>
  <c r="L270" i="6"/>
  <c r="L150" i="6"/>
  <c r="L14" i="6"/>
  <c r="L218" i="6"/>
  <c r="L122" i="6"/>
  <c r="L293" i="6"/>
  <c r="L189" i="6"/>
  <c r="L61" i="6"/>
  <c r="L240" i="6"/>
  <c r="L136" i="6"/>
  <c r="L287" i="6"/>
  <c r="L100" i="6"/>
  <c r="L203" i="6"/>
  <c r="M589" i="2"/>
  <c r="M527" i="2"/>
  <c r="M495" i="2"/>
  <c r="M471" i="2"/>
  <c r="M439" i="2"/>
  <c r="M407" i="2"/>
  <c r="L249" i="6"/>
  <c r="M614" i="2"/>
  <c r="L167" i="6"/>
  <c r="L243" i="6"/>
  <c r="M369" i="2"/>
  <c r="M266" i="2"/>
  <c r="M412" i="2"/>
  <c r="M291" i="2"/>
  <c r="M569" i="2"/>
  <c r="M270" i="2"/>
  <c r="M591" i="2"/>
  <c r="M274" i="2"/>
  <c r="M381" i="2"/>
  <c r="L191" i="6"/>
  <c r="M516" i="2"/>
  <c r="M324" i="2"/>
  <c r="M107" i="2"/>
  <c r="M464" i="2"/>
  <c r="M299" i="2"/>
  <c r="M141" i="2"/>
  <c r="M540" i="2"/>
  <c r="M296" i="2"/>
  <c r="M127" i="2"/>
  <c r="M530" i="2"/>
  <c r="M218" i="2"/>
  <c r="M129" i="2"/>
  <c r="L31" i="6"/>
  <c r="M426" i="2"/>
  <c r="M179" i="2"/>
  <c r="L60" i="6"/>
  <c r="M352" i="2"/>
  <c r="M271" i="2"/>
  <c r="M460" i="2"/>
  <c r="M160" i="2"/>
  <c r="M200" i="2"/>
  <c r="M26" i="2"/>
  <c r="M132" i="2"/>
  <c r="M228" i="2"/>
  <c r="M110" i="2"/>
  <c r="M51" i="2"/>
  <c r="L262" i="6"/>
  <c r="L118" i="6"/>
  <c r="L305" i="6"/>
  <c r="L210" i="6"/>
  <c r="L277" i="6"/>
  <c r="L149" i="6"/>
  <c r="L53" i="6"/>
  <c r="L128" i="6"/>
  <c r="L276" i="6"/>
  <c r="L187" i="6"/>
  <c r="M525" i="2"/>
  <c r="M493" i="2"/>
  <c r="M461" i="2"/>
  <c r="M437" i="2"/>
  <c r="M405" i="2"/>
  <c r="M598" i="2"/>
  <c r="L87" i="6"/>
  <c r="M396" i="2"/>
  <c r="L271" i="6"/>
  <c r="M545" i="2"/>
  <c r="M91" i="2"/>
  <c r="M287" i="2"/>
  <c r="M476" i="2"/>
  <c r="M95" i="2"/>
  <c r="M209" i="2"/>
  <c r="M414" i="2"/>
  <c r="M590" i="2"/>
  <c r="M245" i="2"/>
  <c r="M440" i="2"/>
  <c r="M240" i="2"/>
  <c r="M128" i="2"/>
  <c r="M77" i="2"/>
  <c r="M146" i="2"/>
  <c r="M258" i="2"/>
  <c r="M15" i="2"/>
  <c r="M124" i="2"/>
  <c r="M12" i="2"/>
  <c r="M220" i="2"/>
  <c r="M9" i="2"/>
  <c r="M86" i="2"/>
  <c r="M502" i="2"/>
  <c r="M238" i="2"/>
  <c r="M19" i="2"/>
  <c r="M56" i="2"/>
  <c r="M573" i="2"/>
  <c r="M517" i="2"/>
  <c r="M491" i="2"/>
  <c r="M459" i="2"/>
  <c r="M433" i="2"/>
  <c r="M401" i="2"/>
  <c r="M582" i="2"/>
  <c r="L71" i="6"/>
  <c r="M272" i="2"/>
  <c r="M109" i="2"/>
  <c r="M456" i="2"/>
  <c r="M264" i="2"/>
  <c r="M79" i="2"/>
  <c r="M402" i="2"/>
  <c r="M202" i="2"/>
  <c r="M113" i="2"/>
  <c r="M394" i="2"/>
  <c r="M147" i="2"/>
  <c r="M554" i="2"/>
  <c r="M229" i="2"/>
  <c r="M376" i="2"/>
  <c r="L254" i="6"/>
  <c r="L110" i="6"/>
  <c r="L300" i="6"/>
  <c r="L202" i="6"/>
  <c r="L74" i="6"/>
  <c r="L269" i="6"/>
  <c r="L141" i="6"/>
  <c r="L45" i="6"/>
  <c r="L224" i="6"/>
  <c r="L96" i="6"/>
  <c r="L260" i="6"/>
  <c r="M610" i="2"/>
  <c r="L171" i="6"/>
  <c r="L147" i="6"/>
  <c r="L239" i="6"/>
  <c r="M570" i="2"/>
  <c r="M342" i="2"/>
  <c r="M613" i="2"/>
  <c r="M231" i="2"/>
  <c r="L246" i="6"/>
  <c r="L86" i="6"/>
  <c r="L290" i="6"/>
  <c r="L194" i="6"/>
  <c r="L66" i="6"/>
  <c r="L261" i="6"/>
  <c r="L133" i="6"/>
  <c r="M620" i="2"/>
  <c r="L216" i="6"/>
  <c r="L88" i="6"/>
  <c r="L244" i="6"/>
  <c r="M594" i="2"/>
  <c r="L91" i="6"/>
  <c r="M557" i="2"/>
  <c r="M513" i="2"/>
  <c r="M489" i="2"/>
  <c r="M457" i="2"/>
  <c r="M425" i="2"/>
  <c r="M399" i="2"/>
  <c r="L137" i="6"/>
  <c r="M566" i="2"/>
  <c r="L55" i="6"/>
  <c r="L19" i="6"/>
  <c r="L198" i="6"/>
  <c r="L78" i="6"/>
  <c r="L190" i="6"/>
  <c r="L70" i="6"/>
  <c r="L274" i="6"/>
  <c r="L146" i="6"/>
  <c r="L42" i="6"/>
  <c r="L213" i="6"/>
  <c r="L117" i="6"/>
  <c r="L296" i="6"/>
  <c r="L168" i="6"/>
  <c r="L64" i="6"/>
  <c r="L148" i="6"/>
  <c r="M562" i="2"/>
  <c r="L59" i="6"/>
  <c r="M535" i="2"/>
  <c r="M509" i="2"/>
  <c r="M477" i="2"/>
  <c r="M453" i="2"/>
  <c r="M421" i="2"/>
  <c r="M389" i="2"/>
  <c r="L105" i="6"/>
  <c r="L215" i="6"/>
  <c r="M616" i="2"/>
  <c r="L58" i="6"/>
  <c r="L200" i="6"/>
  <c r="L75" i="6"/>
  <c r="M455" i="2"/>
  <c r="L231" i="6"/>
  <c r="M330" i="2"/>
  <c r="M332" i="2"/>
  <c r="M334" i="2"/>
  <c r="M338" i="2"/>
  <c r="M185" i="2"/>
  <c r="M442" i="2"/>
  <c r="M586" i="2"/>
  <c r="M253" i="2"/>
  <c r="M424" i="2"/>
  <c r="L97" i="6"/>
  <c r="M186" i="2"/>
  <c r="M542" i="2"/>
  <c r="M83" i="2"/>
  <c r="M320" i="2"/>
  <c r="M549" i="2"/>
  <c r="M192" i="2"/>
  <c r="M69" i="2"/>
  <c r="M58" i="2"/>
  <c r="M551" i="2"/>
  <c r="M60" i="2"/>
  <c r="M73" i="2"/>
  <c r="M78" i="2"/>
  <c r="M390" i="2"/>
  <c r="M184" i="2"/>
  <c r="L34" i="6"/>
  <c r="L160" i="6"/>
  <c r="L43" i="6"/>
  <c r="M443" i="2"/>
  <c r="L199" i="6"/>
  <c r="M289" i="2"/>
  <c r="M323" i="2"/>
  <c r="M325" i="2"/>
  <c r="M329" i="2"/>
  <c r="M430" i="2"/>
  <c r="M563" i="2"/>
  <c r="M205" i="2"/>
  <c r="M392" i="2"/>
  <c r="L33" i="6"/>
  <c r="M522" i="2"/>
  <c r="M288" i="2"/>
  <c r="M536" i="2"/>
  <c r="M61" i="2"/>
  <c r="M50" i="2"/>
  <c r="M532" i="2"/>
  <c r="M62" i="2"/>
  <c r="M168" i="2"/>
  <c r="L56" i="6"/>
  <c r="L207" i="6"/>
  <c r="M235" i="2"/>
  <c r="L140" i="6"/>
  <c r="M81" i="2"/>
  <c r="M512" i="2"/>
  <c r="M359" i="2"/>
  <c r="M226" i="2"/>
  <c r="M468" i="2"/>
  <c r="M46" i="2"/>
  <c r="L164" i="6"/>
  <c r="M514" i="2"/>
  <c r="M219" i="2"/>
  <c r="L76" i="6"/>
  <c r="L291" i="6"/>
  <c r="M149" i="2"/>
  <c r="M13" i="2"/>
  <c r="M116" i="2"/>
  <c r="M158" i="2"/>
  <c r="M190" i="2"/>
  <c r="L281" i="6"/>
  <c r="L111" i="6"/>
  <c r="L67" i="6"/>
  <c r="M553" i="2"/>
  <c r="M336" i="2"/>
  <c r="M269" i="2"/>
  <c r="M448" i="2"/>
  <c r="M295" i="2"/>
  <c r="M114" i="2"/>
  <c r="M84" i="2"/>
  <c r="M486" i="2"/>
  <c r="M32" i="2"/>
  <c r="M479" i="2"/>
  <c r="M621" i="2"/>
  <c r="L35" i="6"/>
  <c r="M331" i="2"/>
  <c r="M117" i="2"/>
  <c r="M76" i="2"/>
  <c r="M67" i="2"/>
  <c r="M169" i="2"/>
  <c r="M154" i="2"/>
  <c r="L252" i="6"/>
  <c r="M183" i="2"/>
  <c r="M188" i="2"/>
  <c r="M49" i="2"/>
  <c r="M262" i="2"/>
  <c r="L205" i="6"/>
  <c r="M533" i="2"/>
  <c r="L81" i="6"/>
  <c r="M579" i="2"/>
  <c r="L125" i="6"/>
  <c r="L121" i="6"/>
  <c r="M450" i="2"/>
  <c r="M581" i="2"/>
  <c r="M227" i="2"/>
  <c r="M74" i="2"/>
  <c r="M142" i="2"/>
  <c r="M24" i="2"/>
  <c r="L182" i="6"/>
  <c r="L229" i="6"/>
  <c r="L72" i="6"/>
  <c r="M548" i="2"/>
  <c r="M423" i="2"/>
  <c r="L39" i="6"/>
  <c r="M282" i="2"/>
  <c r="M316" i="2"/>
  <c r="M318" i="2"/>
  <c r="M322" i="2"/>
  <c r="M105" i="2"/>
  <c r="M420" i="2"/>
  <c r="M558" i="2"/>
  <c r="M173" i="2"/>
  <c r="M375" i="2"/>
  <c r="M583" i="2"/>
  <c r="M145" i="2"/>
  <c r="M490" i="2"/>
  <c r="L188" i="6"/>
  <c r="M283" i="2"/>
  <c r="M524" i="2"/>
  <c r="M176" i="2"/>
  <c r="M53" i="2"/>
  <c r="M242" i="2"/>
  <c r="M164" i="2"/>
  <c r="M500" i="2"/>
  <c r="M41" i="2"/>
  <c r="M54" i="2"/>
  <c r="M230" i="2"/>
  <c r="M152" i="2"/>
  <c r="L30" i="6"/>
  <c r="L129" i="6"/>
  <c r="M363" i="2"/>
  <c r="M255" i="2"/>
  <c r="M333" i="2"/>
  <c r="M340" i="2"/>
  <c r="M165" i="2"/>
  <c r="M119" i="2"/>
  <c r="M148" i="2"/>
  <c r="M182" i="2"/>
  <c r="M120" i="2"/>
  <c r="L282" i="6"/>
  <c r="L49" i="6"/>
  <c r="L227" i="6"/>
  <c r="M561" i="2"/>
  <c r="M351" i="2"/>
  <c r="M223" i="2"/>
  <c r="M301" i="2"/>
  <c r="M308" i="2"/>
  <c r="M480" i="2"/>
  <c r="M344" i="2"/>
  <c r="M112" i="2"/>
  <c r="M194" i="2"/>
  <c r="M436" i="2"/>
  <c r="M38" i="2"/>
  <c r="M48" i="2"/>
  <c r="M587" i="2"/>
  <c r="L17" i="6"/>
  <c r="M482" i="2"/>
  <c r="M155" i="2"/>
  <c r="L12" i="6"/>
  <c r="L223" i="6"/>
  <c r="M243" i="2"/>
  <c r="M133" i="2"/>
  <c r="M103" i="2"/>
  <c r="M71" i="2"/>
  <c r="M150" i="2"/>
  <c r="M75" i="2"/>
  <c r="M578" i="2"/>
  <c r="M575" i="2"/>
  <c r="M609" i="2"/>
  <c r="M139" i="2"/>
  <c r="M159" i="2"/>
  <c r="M416" i="2"/>
  <c r="M63" i="2"/>
  <c r="M470" i="2"/>
  <c r="M417" i="2"/>
  <c r="L304" i="6"/>
  <c r="M538" i="2"/>
  <c r="M257" i="2"/>
  <c r="M96" i="2"/>
  <c r="M212" i="2"/>
  <c r="M397" i="2"/>
  <c r="L266" i="6"/>
  <c r="L77" i="6"/>
  <c r="L132" i="6"/>
  <c r="M507" i="2"/>
  <c r="M175" i="2"/>
  <c r="M404" i="2"/>
  <c r="L159" i="6"/>
  <c r="L186" i="6"/>
  <c r="M280" i="2"/>
  <c r="L138" i="6"/>
  <c r="L288" i="6"/>
  <c r="L235" i="6"/>
  <c r="M475" i="2"/>
  <c r="L89" i="6"/>
  <c r="M337" i="2"/>
  <c r="M371" i="2"/>
  <c r="M350" i="2"/>
  <c r="M345" i="2"/>
  <c r="M201" i="2"/>
  <c r="M452" i="2"/>
  <c r="M599" i="2"/>
  <c r="M267" i="2"/>
  <c r="M444" i="2"/>
  <c r="L161" i="6"/>
  <c r="M193" i="2"/>
  <c r="M547" i="2"/>
  <c r="M99" i="2"/>
  <c r="M335" i="2"/>
  <c r="M608" i="2"/>
  <c r="M208" i="2"/>
  <c r="M87" i="2"/>
  <c r="M66" i="2"/>
  <c r="M615" i="2"/>
  <c r="M68" i="2"/>
  <c r="M204" i="2"/>
  <c r="M126" i="2"/>
  <c r="M454" i="2"/>
  <c r="M11" i="2"/>
  <c r="M552" i="2"/>
  <c r="L259" i="6"/>
  <c r="M21" i="2"/>
  <c r="M198" i="2"/>
  <c r="M511" i="2"/>
  <c r="M619" i="2"/>
  <c r="L143" i="6"/>
  <c r="G32" i="9" l="1"/>
  <c r="AH17" i="9"/>
  <c r="C32" i="9" s="1"/>
  <c r="AI16" i="9"/>
  <c r="G31" i="9" s="1"/>
  <c r="AI13" i="9"/>
  <c r="AI14" i="9"/>
  <c r="AI15" i="9"/>
  <c r="AA5" i="4"/>
  <c r="AB5" i="4" s="1"/>
  <c r="AA7" i="1"/>
  <c r="AB14" i="1"/>
  <c r="Z13" i="1"/>
  <c r="AB16" i="1"/>
  <c r="AB6" i="1"/>
  <c r="AA12" i="1"/>
  <c r="AB7" i="1"/>
  <c r="Z10" i="1"/>
  <c r="AA17" i="1"/>
  <c r="AA10" i="1"/>
  <c r="AB9" i="1"/>
  <c r="AB11" i="1"/>
  <c r="AA14" i="1"/>
  <c r="Z17" i="1"/>
  <c r="AB17" i="1"/>
  <c r="Z8" i="1"/>
  <c r="Z18" i="1"/>
  <c r="Z15" i="1"/>
  <c r="AA15" i="1"/>
  <c r="AA8" i="1"/>
  <c r="AB15" i="1"/>
  <c r="AA18" i="1"/>
  <c r="AB5" i="1"/>
  <c r="AB8" i="1"/>
  <c r="AA13" i="1"/>
  <c r="Z16" i="1"/>
  <c r="AB18" i="1"/>
  <c r="AB10" i="1"/>
  <c r="AC10" i="1" s="1"/>
  <c r="AD10" i="1" s="1"/>
  <c r="AB12" i="1"/>
  <c r="AC12" i="1" s="1"/>
  <c r="AD12" i="1" s="1"/>
  <c r="Z5" i="1"/>
  <c r="Z6" i="1"/>
  <c r="Z9" i="1"/>
  <c r="Z11" i="1"/>
  <c r="AB13" i="1"/>
  <c r="AA16" i="1"/>
  <c r="AA6" i="1"/>
  <c r="AA9" i="1"/>
  <c r="AA11" i="1"/>
  <c r="Z14" i="1"/>
  <c r="AC14" i="1" s="1"/>
  <c r="AD14" i="1" s="1"/>
  <c r="G34" i="4"/>
  <c r="F31" i="4"/>
  <c r="H28" i="4"/>
  <c r="D27" i="4"/>
  <c r="J35" i="4"/>
  <c r="D33" i="4"/>
  <c r="I32" i="4"/>
  <c r="H29" i="4"/>
  <c r="J27" i="4"/>
  <c r="AC209" i="4" a="1"/>
  <c r="AC209" i="4" s="1"/>
  <c r="AB209" i="4" a="1"/>
  <c r="AB209" i="4" s="1"/>
  <c r="AE209" i="4" a="1"/>
  <c r="AE209" i="4" s="1"/>
  <c r="AD209" i="4" a="1"/>
  <c r="AD209" i="4" s="1"/>
  <c r="X209" i="4" a="1"/>
  <c r="X209" i="4" s="1"/>
  <c r="Z209" i="4" a="1"/>
  <c r="Z209" i="4" s="1"/>
  <c r="AE208" i="4" a="1"/>
  <c r="AE208" i="4" s="1"/>
  <c r="X208" i="4" a="1"/>
  <c r="X208" i="4" s="1"/>
  <c r="AD207" i="4" a="1"/>
  <c r="AD207" i="4" s="1"/>
  <c r="AC206" i="4" a="1"/>
  <c r="AC206" i="4" s="1"/>
  <c r="AB205" i="4" a="1"/>
  <c r="AB205" i="4" s="1"/>
  <c r="AA203" i="4" a="1"/>
  <c r="AA203" i="4" s="1"/>
  <c r="Z202" i="4" a="1"/>
  <c r="Z202" i="4" s="1"/>
  <c r="Y201" i="4" a="1"/>
  <c r="Y201" i="4" s="1"/>
  <c r="AE200" i="4" a="1"/>
  <c r="AE200" i="4" s="1"/>
  <c r="X200" i="4" a="1"/>
  <c r="X200" i="4" s="1"/>
  <c r="AD199" i="4" a="1"/>
  <c r="AD199" i="4" s="1"/>
  <c r="AC198" i="4" a="1"/>
  <c r="AC198" i="4" s="1"/>
  <c r="AC197" i="4" a="1"/>
  <c r="AC197" i="4" s="1"/>
  <c r="AD196" i="4" a="1"/>
  <c r="AD196" i="4" s="1"/>
  <c r="Y196" i="4" a="1"/>
  <c r="Y196" i="4" s="1"/>
  <c r="Z195" i="4" a="1"/>
  <c r="Z195" i="4" s="1"/>
  <c r="AC193" i="4" a="1"/>
  <c r="AC193" i="4" s="1"/>
  <c r="AD192" i="4" a="1"/>
  <c r="AD192" i="4" s="1"/>
  <c r="Y192" i="4" a="1"/>
  <c r="Y192" i="4" s="1"/>
  <c r="Z191" i="4" a="1"/>
  <c r="Z191" i="4" s="1"/>
  <c r="AB190" i="4" a="1"/>
  <c r="AB190" i="4" s="1"/>
  <c r="AE189" i="4" a="1"/>
  <c r="AE189" i="4" s="1"/>
  <c r="Y188" i="4" a="1"/>
  <c r="Y188" i="4" s="1"/>
  <c r="Y209" i="4" a="1"/>
  <c r="Y209" i="4" s="1"/>
  <c r="AD208" i="4" a="1"/>
  <c r="AD208" i="4" s="1"/>
  <c r="AC207" i="4" a="1"/>
  <c r="AC207" i="4" s="1"/>
  <c r="AB206" i="4" a="1"/>
  <c r="AB206" i="4" s="1"/>
  <c r="AA204" i="4" a="1"/>
  <c r="AA204" i="4" s="1"/>
  <c r="Z203" i="4" a="1"/>
  <c r="Z203" i="4" s="1"/>
  <c r="Y202" i="4" a="1"/>
  <c r="Y202" i="4" s="1"/>
  <c r="AE201" i="4" a="1"/>
  <c r="AE201" i="4" s="1"/>
  <c r="X201" i="4" a="1"/>
  <c r="X201" i="4" s="1"/>
  <c r="AD200" i="4" a="1"/>
  <c r="AD200" i="4" s="1"/>
  <c r="AC199" i="4" a="1"/>
  <c r="AC199" i="4" s="1"/>
  <c r="AB198" i="4" a="1"/>
  <c r="AB198" i="4" s="1"/>
  <c r="AB197" i="4" a="1"/>
  <c r="AB197" i="4" s="1"/>
  <c r="X196" i="4" a="1"/>
  <c r="X196" i="4" s="1"/>
  <c r="AC208" i="4" a="1"/>
  <c r="AC208" i="4" s="1"/>
  <c r="AB207" i="4" a="1"/>
  <c r="AB207" i="4" s="1"/>
  <c r="AA205" i="4" a="1"/>
  <c r="AA205" i="4" s="1"/>
  <c r="Z204" i="4" a="1"/>
  <c r="Z204" i="4" s="1"/>
  <c r="Y203" i="4" a="1"/>
  <c r="Y203" i="4" s="1"/>
  <c r="AE202" i="4" a="1"/>
  <c r="AE202" i="4" s="1"/>
  <c r="X202" i="4" a="1"/>
  <c r="X202" i="4" s="1"/>
  <c r="AD201" i="4" a="1"/>
  <c r="AD201" i="4" s="1"/>
  <c r="AC200" i="4" a="1"/>
  <c r="AC200" i="4" s="1"/>
  <c r="AB199" i="4" a="1"/>
  <c r="AB199" i="4" s="1"/>
  <c r="AC196" i="4" a="1"/>
  <c r="AC196" i="4" s="1"/>
  <c r="AD195" i="4" a="1"/>
  <c r="AD195" i="4" s="1"/>
  <c r="Y195" i="4" a="1"/>
  <c r="Y195" i="4" s="1"/>
  <c r="Z194" i="4" a="1"/>
  <c r="Z194" i="4" s="1"/>
  <c r="AC192" i="4" a="1"/>
  <c r="AC192" i="4" s="1"/>
  <c r="AD191" i="4" a="1"/>
  <c r="AD191" i="4" s="1"/>
  <c r="Y191" i="4" a="1"/>
  <c r="Y191" i="4" s="1"/>
  <c r="AA190" i="4" a="1"/>
  <c r="AA190" i="4" s="1"/>
  <c r="AD189" i="4" a="1"/>
  <c r="AD189" i="4" s="1"/>
  <c r="AB188" i="4" a="1"/>
  <c r="AB188" i="4" s="1"/>
  <c r="AB208" i="4" a="1"/>
  <c r="AB208" i="4" s="1"/>
  <c r="AA206" i="4" a="1"/>
  <c r="AA206" i="4" s="1"/>
  <c r="Z205" i="4" a="1"/>
  <c r="Z205" i="4" s="1"/>
  <c r="Y204" i="4" a="1"/>
  <c r="Y204" i="4" s="1"/>
  <c r="AE203" i="4" a="1"/>
  <c r="AE203" i="4" s="1"/>
  <c r="X203" i="4" a="1"/>
  <c r="X203" i="4" s="1"/>
  <c r="AD202" i="4" a="1"/>
  <c r="AD202" i="4" s="1"/>
  <c r="AC201" i="4" a="1"/>
  <c r="AC201" i="4" s="1"/>
  <c r="AA207" i="4" a="1"/>
  <c r="AA207" i="4" s="1"/>
  <c r="Z206" i="4" a="1"/>
  <c r="Z206" i="4" s="1"/>
  <c r="Y205" i="4" a="1"/>
  <c r="Y205" i="4" s="1"/>
  <c r="AE204" i="4" a="1"/>
  <c r="AE204" i="4" s="1"/>
  <c r="X204" i="4" a="1"/>
  <c r="X204" i="4" s="1"/>
  <c r="AD203" i="4" a="1"/>
  <c r="AD203" i="4" s="1"/>
  <c r="AC202" i="4" a="1"/>
  <c r="AC202" i="4" s="1"/>
  <c r="AB201" i="4" a="1"/>
  <c r="AB201" i="4" s="1"/>
  <c r="AA199" i="4" a="1"/>
  <c r="AA199" i="4" s="1"/>
  <c r="Z198" i="4" a="1"/>
  <c r="Z198" i="4" s="1"/>
  <c r="Z197" i="4" a="1"/>
  <c r="Z197" i="4" s="1"/>
  <c r="AC195" i="4" a="1"/>
  <c r="AC195" i="4" s="1"/>
  <c r="AD194" i="4" a="1"/>
  <c r="AD194" i="4" s="1"/>
  <c r="Y194" i="4" a="1"/>
  <c r="Y194" i="4" s="1"/>
  <c r="Z193" i="4" a="1"/>
  <c r="Z193" i="4" s="1"/>
  <c r="AC191" i="4" a="1"/>
  <c r="AC191" i="4" s="1"/>
  <c r="Z190" i="4" a="1"/>
  <c r="Z190" i="4" s="1"/>
  <c r="AC189" i="4" a="1"/>
  <c r="AC189" i="4" s="1"/>
  <c r="X189" i="4" a="1"/>
  <c r="X189" i="4" s="1"/>
  <c r="AA188" i="4" a="1"/>
  <c r="AA188" i="4" s="1"/>
  <c r="AA208" i="4" a="1"/>
  <c r="AA208" i="4" s="1"/>
  <c r="Z207" i="4" a="1"/>
  <c r="Z207" i="4" s="1"/>
  <c r="Y206" i="4" a="1"/>
  <c r="Y206" i="4" s="1"/>
  <c r="AE205" i="4" a="1"/>
  <c r="AE205" i="4" s="1"/>
  <c r="X205" i="4" a="1"/>
  <c r="X205" i="4" s="1"/>
  <c r="AD204" i="4" a="1"/>
  <c r="AD204" i="4" s="1"/>
  <c r="AC203" i="4" a="1"/>
  <c r="AC203" i="4" s="1"/>
  <c r="AB202" i="4" a="1"/>
  <c r="AB202" i="4" s="1"/>
  <c r="AA200" i="4" a="1"/>
  <c r="AA200" i="4" s="1"/>
  <c r="Z199" i="4" a="1"/>
  <c r="Z199" i="4" s="1"/>
  <c r="Y198" i="4" a="1"/>
  <c r="Y198" i="4" s="1"/>
  <c r="AE197" i="4" a="1"/>
  <c r="AE197" i="4" s="1"/>
  <c r="AA196" i="4" a="1"/>
  <c r="AA196" i="4" s="1"/>
  <c r="AB195" i="4" a="1"/>
  <c r="AB195" i="4" s="1"/>
  <c r="X194" i="4" a="1"/>
  <c r="X194" i="4" s="1"/>
  <c r="Z208" i="4" a="1"/>
  <c r="Z208" i="4" s="1"/>
  <c r="Y207" i="4" a="1"/>
  <c r="Y207" i="4" s="1"/>
  <c r="AE206" i="4" a="1"/>
  <c r="AE206" i="4" s="1"/>
  <c r="X206" i="4" a="1"/>
  <c r="X206" i="4" s="1"/>
  <c r="AD205" i="4" a="1"/>
  <c r="AD205" i="4" s="1"/>
  <c r="AC204" i="4" a="1"/>
  <c r="AC204" i="4" s="1"/>
  <c r="AB203" i="4" a="1"/>
  <c r="AB203" i="4" s="1"/>
  <c r="AA201" i="4" a="1"/>
  <c r="AA201" i="4" s="1"/>
  <c r="Z200" i="4" a="1"/>
  <c r="Z200" i="4" s="1"/>
  <c r="Y199" i="4" a="1"/>
  <c r="Y199" i="4" s="1"/>
  <c r="AE198" i="4" a="1"/>
  <c r="AE198" i="4" s="1"/>
  <c r="X198" i="4" a="1"/>
  <c r="X198" i="4" s="1"/>
  <c r="AD197" i="4" a="1"/>
  <c r="AD197" i="4" s="1"/>
  <c r="Y197" i="4" a="1"/>
  <c r="Y197" i="4" s="1"/>
  <c r="Z196" i="4" a="1"/>
  <c r="Z196" i="4" s="1"/>
  <c r="AC194" i="4" a="1"/>
  <c r="AC194" i="4" s="1"/>
  <c r="AD193" i="4" a="1"/>
  <c r="AD193" i="4" s="1"/>
  <c r="Y193" i="4" a="1"/>
  <c r="Y193" i="4" s="1"/>
  <c r="Z192" i="4" a="1"/>
  <c r="Z192" i="4" s="1"/>
  <c r="Y190" i="4" a="1"/>
  <c r="Y190" i="4" s="1"/>
  <c r="Z188" i="4" a="1"/>
  <c r="Z188" i="4" s="1"/>
  <c r="AA209" i="4" a="1"/>
  <c r="AA209" i="4" s="1"/>
  <c r="Y208" i="4" a="1"/>
  <c r="Y208" i="4" s="1"/>
  <c r="AE207" i="4" a="1"/>
  <c r="AE207" i="4" s="1"/>
  <c r="X207" i="4" a="1"/>
  <c r="X207" i="4" s="1"/>
  <c r="AD206" i="4" a="1"/>
  <c r="AD206" i="4" s="1"/>
  <c r="AC205" i="4" a="1"/>
  <c r="AC205" i="4" s="1"/>
  <c r="AB204" i="4" a="1"/>
  <c r="AB204" i="4" s="1"/>
  <c r="AE193" i="4" a="1"/>
  <c r="AE193" i="4" s="1"/>
  <c r="AB189" i="4" a="1"/>
  <c r="AB189" i="4" s="1"/>
  <c r="AE188" i="4" a="1"/>
  <c r="AE188" i="4" s="1"/>
  <c r="AB187" i="4" a="1"/>
  <c r="AB187" i="4" s="1"/>
  <c r="AA186" i="4" a="1"/>
  <c r="AA186" i="4" s="1"/>
  <c r="Z185" i="4" a="1"/>
  <c r="Z185" i="4" s="1"/>
  <c r="Y184" i="4" a="1"/>
  <c r="Y184" i="4" s="1"/>
  <c r="AE183" i="4" a="1"/>
  <c r="AE183" i="4" s="1"/>
  <c r="AD182" i="4" a="1"/>
  <c r="AD182" i="4" s="1"/>
  <c r="X182" i="4" a="1"/>
  <c r="X182" i="4" s="1"/>
  <c r="AC181" i="4" a="1"/>
  <c r="AC181" i="4" s="1"/>
  <c r="AB179" i="4" a="1"/>
  <c r="AB179" i="4" s="1"/>
  <c r="AA178" i="4" a="1"/>
  <c r="AA178" i="4" s="1"/>
  <c r="Z177" i="4" a="1"/>
  <c r="Z177" i="4" s="1"/>
  <c r="Y176" i="4" a="1"/>
  <c r="Y176" i="4" s="1"/>
  <c r="AE175" i="4" a="1"/>
  <c r="AE175" i="4" s="1"/>
  <c r="AD174" i="4" a="1"/>
  <c r="AD174" i="4" s="1"/>
  <c r="X174" i="4" a="1"/>
  <c r="X174" i="4" s="1"/>
  <c r="AC173" i="4" a="1"/>
  <c r="AC173" i="4" s="1"/>
  <c r="AC172" i="4" a="1"/>
  <c r="AC172" i="4" s="1"/>
  <c r="X172" i="4" a="1"/>
  <c r="X172" i="4" s="1"/>
  <c r="AD171" i="4" a="1"/>
  <c r="AD171" i="4" s="1"/>
  <c r="Y171" i="4" a="1"/>
  <c r="Y171" i="4" s="1"/>
  <c r="Z170" i="4" a="1"/>
  <c r="Z170" i="4" s="1"/>
  <c r="AB169" i="4" a="1"/>
  <c r="AB169" i="4" s="1"/>
  <c r="AC168" i="4" a="1"/>
  <c r="AC168" i="4" s="1"/>
  <c r="X168" i="4" a="1"/>
  <c r="X168" i="4" s="1"/>
  <c r="AD167" i="4" a="1"/>
  <c r="AD167" i="4" s="1"/>
  <c r="Y167" i="4" a="1"/>
  <c r="Y167" i="4" s="1"/>
  <c r="Z166" i="4" a="1"/>
  <c r="Z166" i="4" s="1"/>
  <c r="AB165" i="4" a="1"/>
  <c r="AB165" i="4" s="1"/>
  <c r="AC164" i="4" a="1"/>
  <c r="AC164" i="4" s="1"/>
  <c r="AA202" i="4" a="1"/>
  <c r="AA202" i="4" s="1"/>
  <c r="AE199" i="4" a="1"/>
  <c r="AE199" i="4" s="1"/>
  <c r="AE194" i="4" a="1"/>
  <c r="AE194" i="4" s="1"/>
  <c r="AE192" i="4" a="1"/>
  <c r="AE192" i="4" s="1"/>
  <c r="X190" i="4" a="1"/>
  <c r="X190" i="4" s="1"/>
  <c r="AA189" i="4" a="1"/>
  <c r="AA189" i="4" s="1"/>
  <c r="AD188" i="4" a="1"/>
  <c r="AD188" i="4" s="1"/>
  <c r="AA187" i="4" a="1"/>
  <c r="AA187" i="4" s="1"/>
  <c r="Z186" i="4" a="1"/>
  <c r="Z186" i="4" s="1"/>
  <c r="Y185" i="4" a="1"/>
  <c r="Y185" i="4" s="1"/>
  <c r="AE184" i="4" a="1"/>
  <c r="AE184" i="4" s="1"/>
  <c r="AD183" i="4" a="1"/>
  <c r="AD183" i="4" s="1"/>
  <c r="X183" i="4" a="1"/>
  <c r="X183" i="4" s="1"/>
  <c r="AC182" i="4" a="1"/>
  <c r="AC182" i="4" s="1"/>
  <c r="AB180" i="4" a="1"/>
  <c r="AB180" i="4" s="1"/>
  <c r="AA179" i="4" a="1"/>
  <c r="AA179" i="4" s="1"/>
  <c r="Z178" i="4" a="1"/>
  <c r="Z178" i="4" s="1"/>
  <c r="Y177" i="4" a="1"/>
  <c r="Y177" i="4" s="1"/>
  <c r="AE176" i="4" a="1"/>
  <c r="AE176" i="4" s="1"/>
  <c r="AD175" i="4" a="1"/>
  <c r="AD175" i="4" s="1"/>
  <c r="X175" i="4" a="1"/>
  <c r="X175" i="4" s="1"/>
  <c r="AC174" i="4" a="1"/>
  <c r="AC174" i="4" s="1"/>
  <c r="AE170" i="4" a="1"/>
  <c r="AE170" i="4" s="1"/>
  <c r="AA169" i="4" a="1"/>
  <c r="AA169" i="4" s="1"/>
  <c r="AE166" i="4" a="1"/>
  <c r="AE166" i="4" s="1"/>
  <c r="AA165" i="4" a="1"/>
  <c r="AA165" i="4" s="1"/>
  <c r="AE162" i="4" a="1"/>
  <c r="AE162" i="4" s="1"/>
  <c r="AA161" i="4" a="1"/>
  <c r="AA161" i="4" s="1"/>
  <c r="AE158" i="4" a="1"/>
  <c r="AE158" i="4" s="1"/>
  <c r="AA157" i="4" a="1"/>
  <c r="AA157" i="4" s="1"/>
  <c r="AE154" i="4" a="1"/>
  <c r="AE154" i="4" s="1"/>
  <c r="AA197" i="4" a="1"/>
  <c r="AA197" i="4" s="1"/>
  <c r="AE195" i="4" a="1"/>
  <c r="AE195" i="4" s="1"/>
  <c r="AB194" i="4" a="1"/>
  <c r="AB194" i="4" s="1"/>
  <c r="AB193" i="4" a="1"/>
  <c r="AB193" i="4" s="1"/>
  <c r="AE191" i="4" a="1"/>
  <c r="AE191" i="4" s="1"/>
  <c r="Z189" i="4" a="1"/>
  <c r="Z189" i="4" s="1"/>
  <c r="AC188" i="4" a="1"/>
  <c r="AC188" i="4" s="1"/>
  <c r="Z187" i="4" a="1"/>
  <c r="Z187" i="4" s="1"/>
  <c r="Y186" i="4" a="1"/>
  <c r="Y186" i="4" s="1"/>
  <c r="AE185" i="4" a="1"/>
  <c r="AE185" i="4" s="1"/>
  <c r="AD184" i="4" a="1"/>
  <c r="AD184" i="4" s="1"/>
  <c r="X184" i="4" a="1"/>
  <c r="X184" i="4" s="1"/>
  <c r="AC183" i="4" a="1"/>
  <c r="AC183" i="4" s="1"/>
  <c r="AB181" i="4" a="1"/>
  <c r="AB181" i="4" s="1"/>
  <c r="AA180" i="4" a="1"/>
  <c r="AA180" i="4" s="1"/>
  <c r="Z179" i="4" a="1"/>
  <c r="Z179" i="4" s="1"/>
  <c r="Y178" i="4" a="1"/>
  <c r="Y178" i="4" s="1"/>
  <c r="AE177" i="4" a="1"/>
  <c r="AE177" i="4" s="1"/>
  <c r="AD176" i="4" a="1"/>
  <c r="AD176" i="4" s="1"/>
  <c r="X176" i="4" a="1"/>
  <c r="X176" i="4" s="1"/>
  <c r="AC175" i="4" a="1"/>
  <c r="AC175" i="4" s="1"/>
  <c r="AB173" i="4" a="1"/>
  <c r="AB173" i="4" s="1"/>
  <c r="AB172" i="4" a="1"/>
  <c r="AB172" i="4" s="1"/>
  <c r="AC171" i="4" a="1"/>
  <c r="AC171" i="4" s="1"/>
  <c r="X171" i="4" a="1"/>
  <c r="X171" i="4" s="1"/>
  <c r="AD170" i="4" a="1"/>
  <c r="AD170" i="4" s="1"/>
  <c r="Y170" i="4" a="1"/>
  <c r="Y170" i="4" s="1"/>
  <c r="Z169" i="4" a="1"/>
  <c r="Z169" i="4" s="1"/>
  <c r="AB168" i="4" a="1"/>
  <c r="AB168" i="4" s="1"/>
  <c r="AC167" i="4" a="1"/>
  <c r="AC167" i="4" s="1"/>
  <c r="X167" i="4" a="1"/>
  <c r="X167" i="4" s="1"/>
  <c r="AD166" i="4" a="1"/>
  <c r="AD166" i="4" s="1"/>
  <c r="Z201" i="4" a="1"/>
  <c r="Z201" i="4" s="1"/>
  <c r="X199" i="4" a="1"/>
  <c r="X199" i="4" s="1"/>
  <c r="X197" i="4" a="1"/>
  <c r="X197" i="4" s="1"/>
  <c r="AA194" i="4" a="1"/>
  <c r="AA194" i="4" s="1"/>
  <c r="AA193" i="4" a="1"/>
  <c r="AA193" i="4" s="1"/>
  <c r="AB192" i="4" a="1"/>
  <c r="AB192" i="4" s="1"/>
  <c r="AE190" i="4" a="1"/>
  <c r="AE190" i="4" s="1"/>
  <c r="Y189" i="4" a="1"/>
  <c r="Y189" i="4" s="1"/>
  <c r="Y187" i="4" a="1"/>
  <c r="Y187" i="4" s="1"/>
  <c r="AE186" i="4" a="1"/>
  <c r="AE186" i="4" s="1"/>
  <c r="AD185" i="4" a="1"/>
  <c r="AD185" i="4" s="1"/>
  <c r="X185" i="4" a="1"/>
  <c r="X185" i="4" s="1"/>
  <c r="AC184" i="4" a="1"/>
  <c r="AC184" i="4" s="1"/>
  <c r="AB182" i="4" a="1"/>
  <c r="AB182" i="4" s="1"/>
  <c r="AA181" i="4" a="1"/>
  <c r="AA181" i="4" s="1"/>
  <c r="Z180" i="4" a="1"/>
  <c r="Z180" i="4" s="1"/>
  <c r="Y179" i="4" a="1"/>
  <c r="Y179" i="4" s="1"/>
  <c r="AE178" i="4" a="1"/>
  <c r="AE178" i="4" s="1"/>
  <c r="AD177" i="4" a="1"/>
  <c r="AD177" i="4" s="1"/>
  <c r="X177" i="4" a="1"/>
  <c r="X177" i="4" s="1"/>
  <c r="AC176" i="4" a="1"/>
  <c r="AC176" i="4" s="1"/>
  <c r="AB174" i="4" a="1"/>
  <c r="AB174" i="4" s="1"/>
  <c r="AA173" i="4" a="1"/>
  <c r="AA173" i="4" s="1"/>
  <c r="AA172" i="4" a="1"/>
  <c r="AA172" i="4" s="1"/>
  <c r="AE169" i="4" a="1"/>
  <c r="AE169" i="4" s="1"/>
  <c r="AA168" i="4" a="1"/>
  <c r="AA168" i="4" s="1"/>
  <c r="AE165" i="4" a="1"/>
  <c r="AE165" i="4" s="1"/>
  <c r="AA164" i="4" a="1"/>
  <c r="AA164" i="4" s="1"/>
  <c r="AE161" i="4" a="1"/>
  <c r="AE161" i="4" s="1"/>
  <c r="AA160" i="4" a="1"/>
  <c r="AA160" i="4" s="1"/>
  <c r="AE157" i="4" a="1"/>
  <c r="AE157" i="4" s="1"/>
  <c r="AA156" i="4" a="1"/>
  <c r="AA156" i="4" s="1"/>
  <c r="AA195" i="4" a="1"/>
  <c r="AA195" i="4" s="1"/>
  <c r="AA192" i="4" a="1"/>
  <c r="AA192" i="4" s="1"/>
  <c r="AB191" i="4" a="1"/>
  <c r="AB191" i="4" s="1"/>
  <c r="AD190" i="4" a="1"/>
  <c r="AD190" i="4" s="1"/>
  <c r="AE187" i="4" a="1"/>
  <c r="AE187" i="4" s="1"/>
  <c r="AD186" i="4" a="1"/>
  <c r="AD186" i="4" s="1"/>
  <c r="X186" i="4" a="1"/>
  <c r="X186" i="4" s="1"/>
  <c r="AC185" i="4" a="1"/>
  <c r="AC185" i="4" s="1"/>
  <c r="AB183" i="4" a="1"/>
  <c r="AB183" i="4" s="1"/>
  <c r="AA182" i="4" a="1"/>
  <c r="AA182" i="4" s="1"/>
  <c r="Z181" i="4" a="1"/>
  <c r="Z181" i="4" s="1"/>
  <c r="Y180" i="4" a="1"/>
  <c r="Y180" i="4" s="1"/>
  <c r="AE179" i="4" a="1"/>
  <c r="AE179" i="4" s="1"/>
  <c r="AD178" i="4" a="1"/>
  <c r="AD178" i="4" s="1"/>
  <c r="X178" i="4" a="1"/>
  <c r="X178" i="4" s="1"/>
  <c r="AC177" i="4" a="1"/>
  <c r="AC177" i="4" s="1"/>
  <c r="AB175" i="4" a="1"/>
  <c r="AB175" i="4" s="1"/>
  <c r="AA174" i="4" a="1"/>
  <c r="AA174" i="4" s="1"/>
  <c r="Z173" i="4" a="1"/>
  <c r="Z173" i="4" s="1"/>
  <c r="Z172" i="4" a="1"/>
  <c r="Z172" i="4" s="1"/>
  <c r="AB171" i="4" a="1"/>
  <c r="AB171" i="4" s="1"/>
  <c r="AC170" i="4" a="1"/>
  <c r="AC170" i="4" s="1"/>
  <c r="X170" i="4" a="1"/>
  <c r="X170" i="4" s="1"/>
  <c r="AD169" i="4" a="1"/>
  <c r="AD169" i="4" s="1"/>
  <c r="Y169" i="4" a="1"/>
  <c r="Y169" i="4" s="1"/>
  <c r="Z168" i="4" a="1"/>
  <c r="Z168" i="4" s="1"/>
  <c r="AB167" i="4" a="1"/>
  <c r="AB167" i="4" s="1"/>
  <c r="AC166" i="4" a="1"/>
  <c r="AC166" i="4" s="1"/>
  <c r="X166" i="4" a="1"/>
  <c r="X166" i="4" s="1"/>
  <c r="AD165" i="4" a="1"/>
  <c r="AD165" i="4" s="1"/>
  <c r="Y165" i="4" a="1"/>
  <c r="Y165" i="4" s="1"/>
  <c r="Z164" i="4" a="1"/>
  <c r="Z164" i="4" s="1"/>
  <c r="AD198" i="4" a="1"/>
  <c r="AD198" i="4" s="1"/>
  <c r="AE196" i="4" a="1"/>
  <c r="AE196" i="4" s="1"/>
  <c r="X193" i="4" a="1"/>
  <c r="X193" i="4" s="1"/>
  <c r="AA191" i="4" a="1"/>
  <c r="AA191" i="4" s="1"/>
  <c r="AC190" i="4" a="1"/>
  <c r="AC190" i="4" s="1"/>
  <c r="AD187" i="4" a="1"/>
  <c r="AD187" i="4" s="1"/>
  <c r="X187" i="4" a="1"/>
  <c r="X187" i="4" s="1"/>
  <c r="AC186" i="4" a="1"/>
  <c r="AC186" i="4" s="1"/>
  <c r="AB184" i="4" a="1"/>
  <c r="AB184" i="4" s="1"/>
  <c r="AA183" i="4" a="1"/>
  <c r="AA183" i="4" s="1"/>
  <c r="Z182" i="4" a="1"/>
  <c r="Z182" i="4" s="1"/>
  <c r="Y181" i="4" a="1"/>
  <c r="Y181" i="4" s="1"/>
  <c r="AE180" i="4" a="1"/>
  <c r="AE180" i="4" s="1"/>
  <c r="AD179" i="4" a="1"/>
  <c r="AD179" i="4" s="1"/>
  <c r="X179" i="4" a="1"/>
  <c r="X179" i="4" s="1"/>
  <c r="AC178" i="4" a="1"/>
  <c r="AC178" i="4" s="1"/>
  <c r="AB176" i="4" a="1"/>
  <c r="AB176" i="4" s="1"/>
  <c r="AA175" i="4" a="1"/>
  <c r="AA175" i="4" s="1"/>
  <c r="Z174" i="4" a="1"/>
  <c r="Z174" i="4" s="1"/>
  <c r="Y173" i="4" a="1"/>
  <c r="Y173" i="4" s="1"/>
  <c r="AE172" i="4" a="1"/>
  <c r="AE172" i="4" s="1"/>
  <c r="AA171" i="4" a="1"/>
  <c r="AA171" i="4" s="1"/>
  <c r="AE168" i="4" a="1"/>
  <c r="AE168" i="4" s="1"/>
  <c r="AA167" i="4" a="1"/>
  <c r="AA167" i="4" s="1"/>
  <c r="AE164" i="4" a="1"/>
  <c r="AE164" i="4" s="1"/>
  <c r="AA163" i="4" a="1"/>
  <c r="AA163" i="4" s="1"/>
  <c r="AE160" i="4" a="1"/>
  <c r="AE160" i="4" s="1"/>
  <c r="AA159" i="4" a="1"/>
  <c r="AA159" i="4" s="1"/>
  <c r="AE156" i="4" a="1"/>
  <c r="AE156" i="4" s="1"/>
  <c r="AA155" i="4" a="1"/>
  <c r="AA155" i="4" s="1"/>
  <c r="AB200" i="4" a="1"/>
  <c r="AB200" i="4" s="1"/>
  <c r="AA198" i="4" a="1"/>
  <c r="AA198" i="4" s="1"/>
  <c r="AB196" i="4" a="1"/>
  <c r="AB196" i="4" s="1"/>
  <c r="X195" i="4" a="1"/>
  <c r="X195" i="4" s="1"/>
  <c r="X192" i="4" a="1"/>
  <c r="X192" i="4" s="1"/>
  <c r="X188" i="4" a="1"/>
  <c r="X188" i="4" s="1"/>
  <c r="AC187" i="4" a="1"/>
  <c r="AC187" i="4" s="1"/>
  <c r="AB185" i="4" a="1"/>
  <c r="AB185" i="4" s="1"/>
  <c r="AA184" i="4" a="1"/>
  <c r="AA184" i="4" s="1"/>
  <c r="Z183" i="4" a="1"/>
  <c r="Z183" i="4" s="1"/>
  <c r="Y182" i="4" a="1"/>
  <c r="Y182" i="4" s="1"/>
  <c r="AE181" i="4" a="1"/>
  <c r="AE181" i="4" s="1"/>
  <c r="AD180" i="4" a="1"/>
  <c r="AD180" i="4" s="1"/>
  <c r="X180" i="4" a="1"/>
  <c r="X180" i="4" s="1"/>
  <c r="AC179" i="4" a="1"/>
  <c r="AC179" i="4" s="1"/>
  <c r="AB177" i="4" a="1"/>
  <c r="AB177" i="4" s="1"/>
  <c r="AA176" i="4" a="1"/>
  <c r="AA176" i="4" s="1"/>
  <c r="Z175" i="4" a="1"/>
  <c r="Z175" i="4" s="1"/>
  <c r="Y174" i="4" a="1"/>
  <c r="Y174" i="4" s="1"/>
  <c r="AE173" i="4" a="1"/>
  <c r="AE173" i="4" s="1"/>
  <c r="AD172" i="4" a="1"/>
  <c r="AD172" i="4" s="1"/>
  <c r="Y172" i="4" a="1"/>
  <c r="Y172" i="4" s="1"/>
  <c r="Z171" i="4" a="1"/>
  <c r="Z171" i="4" s="1"/>
  <c r="AB170" i="4" a="1"/>
  <c r="AB170" i="4" s="1"/>
  <c r="AC169" i="4" a="1"/>
  <c r="AC169" i="4" s="1"/>
  <c r="X169" i="4" a="1"/>
  <c r="X169" i="4" s="1"/>
  <c r="AD168" i="4" a="1"/>
  <c r="AD168" i="4" s="1"/>
  <c r="Y168" i="4" a="1"/>
  <c r="Y168" i="4" s="1"/>
  <c r="Z167" i="4" a="1"/>
  <c r="Z167" i="4" s="1"/>
  <c r="AB166" i="4" a="1"/>
  <c r="AB166" i="4" s="1"/>
  <c r="AC165" i="4" a="1"/>
  <c r="AC165" i="4" s="1"/>
  <c r="Y200" i="4" a="1"/>
  <c r="Y200" i="4" s="1"/>
  <c r="X191" i="4" a="1"/>
  <c r="X191" i="4" s="1"/>
  <c r="AB186" i="4" a="1"/>
  <c r="AB186" i="4" s="1"/>
  <c r="AA185" i="4" a="1"/>
  <c r="AA185" i="4" s="1"/>
  <c r="Z184" i="4" a="1"/>
  <c r="Z184" i="4" s="1"/>
  <c r="Y183" i="4" a="1"/>
  <c r="Y183" i="4" s="1"/>
  <c r="AE182" i="4" a="1"/>
  <c r="AE182" i="4" s="1"/>
  <c r="AD181" i="4" a="1"/>
  <c r="AD181" i="4" s="1"/>
  <c r="X181" i="4" a="1"/>
  <c r="X181" i="4" s="1"/>
  <c r="AC180" i="4" a="1"/>
  <c r="AC180" i="4" s="1"/>
  <c r="AB178" i="4" a="1"/>
  <c r="AB178" i="4" s="1"/>
  <c r="AA177" i="4" a="1"/>
  <c r="AA177" i="4" s="1"/>
  <c r="Z176" i="4" a="1"/>
  <c r="Z176" i="4" s="1"/>
  <c r="Y175" i="4" a="1"/>
  <c r="Y175" i="4" s="1"/>
  <c r="AE174" i="4" a="1"/>
  <c r="AE174" i="4" s="1"/>
  <c r="AD173" i="4" a="1"/>
  <c r="AD173" i="4" s="1"/>
  <c r="X173" i="4" a="1"/>
  <c r="X173" i="4" s="1"/>
  <c r="AE171" i="4" a="1"/>
  <c r="AE171" i="4" s="1"/>
  <c r="AA170" i="4" a="1"/>
  <c r="AA170" i="4" s="1"/>
  <c r="AE167" i="4" a="1"/>
  <c r="AE167" i="4" s="1"/>
  <c r="AA166" i="4" a="1"/>
  <c r="AA166" i="4" s="1"/>
  <c r="AE163" i="4" a="1"/>
  <c r="AE163" i="4" s="1"/>
  <c r="AA162" i="4" a="1"/>
  <c r="AA162" i="4" s="1"/>
  <c r="AE159" i="4" a="1"/>
  <c r="AE159" i="4" s="1"/>
  <c r="AA158" i="4" a="1"/>
  <c r="AA158" i="4" s="1"/>
  <c r="AE155" i="4" a="1"/>
  <c r="AE155" i="4" s="1"/>
  <c r="AA154" i="4" a="1"/>
  <c r="AA154" i="4" s="1"/>
  <c r="AE151" i="4" a="1"/>
  <c r="AE151" i="4" s="1"/>
  <c r="AA150" i="4" a="1"/>
  <c r="AA150" i="4" s="1"/>
  <c r="AC149" i="4" a="1"/>
  <c r="AC149" i="4" s="1"/>
  <c r="Z165" i="4" a="1"/>
  <c r="Z165" i="4" s="1"/>
  <c r="X162" i="4" a="1"/>
  <c r="X162" i="4" s="1"/>
  <c r="Y161" i="4" a="1"/>
  <c r="Y161" i="4" s="1"/>
  <c r="Z160" i="4" a="1"/>
  <c r="Z160" i="4" s="1"/>
  <c r="AB159" i="4" a="1"/>
  <c r="AB159" i="4" s="1"/>
  <c r="AC158" i="4" a="1"/>
  <c r="AC158" i="4" s="1"/>
  <c r="AD157" i="4" a="1"/>
  <c r="AD157" i="4" s="1"/>
  <c r="Y155" i="4" a="1"/>
  <c r="Y155" i="4" s="1"/>
  <c r="AC154" i="4" a="1"/>
  <c r="AC154" i="4" s="1"/>
  <c r="Z153" i="4" a="1"/>
  <c r="Z153" i="4" s="1"/>
  <c r="Y151" i="4" a="1"/>
  <c r="Y151" i="4" s="1"/>
  <c r="AE150" i="4" a="1"/>
  <c r="AE150" i="4" s="1"/>
  <c r="Y150" i="4" a="1"/>
  <c r="Y150" i="4" s="1"/>
  <c r="AE149" i="4" a="1"/>
  <c r="AE149" i="4" s="1"/>
  <c r="Z149" i="4" a="1"/>
  <c r="Z149" i="4" s="1"/>
  <c r="AC148" i="4" a="1"/>
  <c r="AC148" i="4" s="1"/>
  <c r="AA147" i="4" a="1"/>
  <c r="AA147" i="4" s="1"/>
  <c r="X165" i="4" a="1"/>
  <c r="X165" i="4" s="1"/>
  <c r="X161" i="4" a="1"/>
  <c r="X161" i="4" s="1"/>
  <c r="Y160" i="4" a="1"/>
  <c r="Y160" i="4" s="1"/>
  <c r="Z159" i="4" a="1"/>
  <c r="Z159" i="4" s="1"/>
  <c r="AB158" i="4" a="1"/>
  <c r="AB158" i="4" s="1"/>
  <c r="AC157" i="4" a="1"/>
  <c r="AC157" i="4" s="1"/>
  <c r="AD156" i="4" a="1"/>
  <c r="AD156" i="4" s="1"/>
  <c r="X155" i="4" a="1"/>
  <c r="X155" i="4" s="1"/>
  <c r="AB154" i="4" a="1"/>
  <c r="AB154" i="4" s="1"/>
  <c r="AE152" i="4" a="1"/>
  <c r="AE152" i="4" s="1"/>
  <c r="Y152" i="4" a="1"/>
  <c r="Y152" i="4" s="1"/>
  <c r="AD151" i="4" a="1"/>
  <c r="AD151" i="4" s="1"/>
  <c r="AD150" i="4" a="1"/>
  <c r="AD150" i="4" s="1"/>
  <c r="X148" i="4" a="1"/>
  <c r="X148" i="4" s="1"/>
  <c r="AE147" i="4" a="1"/>
  <c r="AE147" i="4" s="1"/>
  <c r="AD163" i="4" a="1"/>
  <c r="AD163" i="4" s="1"/>
  <c r="X160" i="4" a="1"/>
  <c r="X160" i="4" s="1"/>
  <c r="Y159" i="4" a="1"/>
  <c r="Y159" i="4" s="1"/>
  <c r="Z158" i="4" a="1"/>
  <c r="Z158" i="4" s="1"/>
  <c r="AB157" i="4" a="1"/>
  <c r="AB157" i="4" s="1"/>
  <c r="AC156" i="4" a="1"/>
  <c r="AC156" i="4" s="1"/>
  <c r="Z154" i="4" a="1"/>
  <c r="Z154" i="4" s="1"/>
  <c r="Y153" i="4" a="1"/>
  <c r="Y153" i="4" s="1"/>
  <c r="AD152" i="4" a="1"/>
  <c r="AD152" i="4" s="1"/>
  <c r="X152" i="4" a="1"/>
  <c r="X152" i="4" s="1"/>
  <c r="X151" i="4" a="1"/>
  <c r="X151" i="4" s="1"/>
  <c r="X150" i="4" a="1"/>
  <c r="X150" i="4" s="1"/>
  <c r="AD149" i="4" a="1"/>
  <c r="AD149" i="4" s="1"/>
  <c r="Y149" i="4" a="1"/>
  <c r="Y149" i="4" s="1"/>
  <c r="AB148" i="4" a="1"/>
  <c r="AB148" i="4" s="1"/>
  <c r="Z147" i="4" a="1"/>
  <c r="Z147" i="4" s="1"/>
  <c r="AC146" i="4" a="1"/>
  <c r="AC146" i="4" s="1"/>
  <c r="AD164" i="4" a="1"/>
  <c r="AD164" i="4" s="1"/>
  <c r="AC163" i="4" a="1"/>
  <c r="AC163" i="4" s="1"/>
  <c r="AD162" i="4" a="1"/>
  <c r="AD162" i="4" s="1"/>
  <c r="X159" i="4" a="1"/>
  <c r="X159" i="4" s="1"/>
  <c r="Y158" i="4" a="1"/>
  <c r="Y158" i="4" s="1"/>
  <c r="Z157" i="4" a="1"/>
  <c r="Z157" i="4" s="1"/>
  <c r="AB156" i="4" a="1"/>
  <c r="AB156" i="4" s="1"/>
  <c r="AD155" i="4" a="1"/>
  <c r="AD155" i="4" s="1"/>
  <c r="AB164" i="4" a="1"/>
  <c r="AB164" i="4" s="1"/>
  <c r="AB163" i="4" a="1"/>
  <c r="AB163" i="4" s="1"/>
  <c r="AC162" i="4" a="1"/>
  <c r="AC162" i="4" s="1"/>
  <c r="AD161" i="4" a="1"/>
  <c r="AD161" i="4" s="1"/>
  <c r="X158" i="4" a="1"/>
  <c r="X158" i="4" s="1"/>
  <c r="Y157" i="4" a="1"/>
  <c r="Y157" i="4" s="1"/>
  <c r="Z156" i="4" a="1"/>
  <c r="Z156" i="4" s="1"/>
  <c r="Y164" i="4" a="1"/>
  <c r="Y164" i="4" s="1"/>
  <c r="Z163" i="4" a="1"/>
  <c r="Z163" i="4" s="1"/>
  <c r="AB162" i="4" a="1"/>
  <c r="AB162" i="4" s="1"/>
  <c r="AC161" i="4" a="1"/>
  <c r="AC161" i="4" s="1"/>
  <c r="AD160" i="4" a="1"/>
  <c r="AD160" i="4" s="1"/>
  <c r="X157" i="4" a="1"/>
  <c r="X157" i="4" s="1"/>
  <c r="Y156" i="4" a="1"/>
  <c r="Y156" i="4" s="1"/>
  <c r="AC153" i="4" a="1"/>
  <c r="AC153" i="4" s="1"/>
  <c r="AB152" i="4" a="1"/>
  <c r="AB152" i="4" s="1"/>
  <c r="AB151" i="4" a="1"/>
  <c r="AB151" i="4" s="1"/>
  <c r="AB150" i="4" a="1"/>
  <c r="AB150" i="4" s="1"/>
  <c r="AB149" i="4" a="1"/>
  <c r="AB149" i="4" s="1"/>
  <c r="Z148" i="4" a="1"/>
  <c r="Z148" i="4" s="1"/>
  <c r="AC147" i="4" a="1"/>
  <c r="AC147" i="4" s="1"/>
  <c r="Y166" i="4" a="1"/>
  <c r="Y166" i="4" s="1"/>
  <c r="X164" i="4" a="1"/>
  <c r="X164" i="4" s="1"/>
  <c r="Y163" i="4" a="1"/>
  <c r="Y163" i="4" s="1"/>
  <c r="Z162" i="4" a="1"/>
  <c r="Z162" i="4" s="1"/>
  <c r="AB161" i="4" a="1"/>
  <c r="AB161" i="4" s="1"/>
  <c r="AC160" i="4" a="1"/>
  <c r="AC160" i="4" s="1"/>
  <c r="AD159" i="4" a="1"/>
  <c r="AD159" i="4" s="1"/>
  <c r="X163" i="4" a="1"/>
  <c r="X163" i="4" s="1"/>
  <c r="Y162" i="4" a="1"/>
  <c r="Y162" i="4" s="1"/>
  <c r="Z161" i="4" a="1"/>
  <c r="Z161" i="4" s="1"/>
  <c r="AB160" i="4" a="1"/>
  <c r="AB160" i="4" s="1"/>
  <c r="AC159" i="4" a="1"/>
  <c r="AC159" i="4" s="1"/>
  <c r="AD158" i="4" a="1"/>
  <c r="AD158" i="4" s="1"/>
  <c r="AD153" i="4" a="1"/>
  <c r="AD153" i="4" s="1"/>
  <c r="AE148" i="4" a="1"/>
  <c r="AE148" i="4" s="1"/>
  <c r="Y147" i="4" a="1"/>
  <c r="Y147" i="4" s="1"/>
  <c r="AD146" i="4" a="1"/>
  <c r="AD146" i="4" s="1"/>
  <c r="X146" i="4" a="1"/>
  <c r="X146" i="4" s="1"/>
  <c r="Y145" i="4" a="1"/>
  <c r="Y145" i="4" s="1"/>
  <c r="AB143" i="4" a="1"/>
  <c r="AB143" i="4" s="1"/>
  <c r="AC142" i="4" a="1"/>
  <c r="AC142" i="4" s="1"/>
  <c r="X142" i="4" a="1"/>
  <c r="X142" i="4" s="1"/>
  <c r="Y141" i="4" a="1"/>
  <c r="Y141" i="4" s="1"/>
  <c r="AB139" i="4" a="1"/>
  <c r="AB139" i="4" s="1"/>
  <c r="AC138" i="4" a="1"/>
  <c r="AC138" i="4" s="1"/>
  <c r="X138" i="4" a="1"/>
  <c r="X138" i="4" s="1"/>
  <c r="Y137" i="4" a="1"/>
  <c r="Y137" i="4" s="1"/>
  <c r="AB135" i="4" a="1"/>
  <c r="AB135" i="4" s="1"/>
  <c r="AC134" i="4" a="1"/>
  <c r="AC134" i="4" s="1"/>
  <c r="X134" i="4" a="1"/>
  <c r="X134" i="4" s="1"/>
  <c r="Y133" i="4" a="1"/>
  <c r="Y133" i="4" s="1"/>
  <c r="AB131" i="4" a="1"/>
  <c r="AB131" i="4" s="1"/>
  <c r="AC130" i="4" a="1"/>
  <c r="AC130" i="4" s="1"/>
  <c r="X130" i="4" a="1"/>
  <c r="X130" i="4" s="1"/>
  <c r="Y129" i="4" a="1"/>
  <c r="Y129" i="4" s="1"/>
  <c r="AC127" i="4" a="1"/>
  <c r="AC127" i="4" s="1"/>
  <c r="Y127" i="4" a="1"/>
  <c r="Y127" i="4" s="1"/>
  <c r="AC126" i="4" a="1"/>
  <c r="AC126" i="4" s="1"/>
  <c r="Y126" i="4" a="1"/>
  <c r="Y126" i="4" s="1"/>
  <c r="AC125" i="4" a="1"/>
  <c r="AC125" i="4" s="1"/>
  <c r="Y125" i="4" a="1"/>
  <c r="Y125" i="4" s="1"/>
  <c r="AD154" i="4" a="1"/>
  <c r="AD154" i="4" s="1"/>
  <c r="AB153" i="4" a="1"/>
  <c r="AB153" i="4" s="1"/>
  <c r="AA152" i="4" a="1"/>
  <c r="AA152" i="4" s="1"/>
  <c r="AA151" i="4" a="1"/>
  <c r="AA151" i="4" s="1"/>
  <c r="Z150" i="4" a="1"/>
  <c r="Z150" i="4" s="1"/>
  <c r="AA149" i="4" a="1"/>
  <c r="AA149" i="4" s="1"/>
  <c r="AD148" i="4" a="1"/>
  <c r="AD148" i="4" s="1"/>
  <c r="X147" i="4" a="1"/>
  <c r="X147" i="4" s="1"/>
  <c r="AD145" i="4" a="1"/>
  <c r="AD145" i="4" s="1"/>
  <c r="AE144" i="4" a="1"/>
  <c r="AE144" i="4" s="1"/>
  <c r="Z144" i="4" a="1"/>
  <c r="Z144" i="4" s="1"/>
  <c r="AA143" i="4" a="1"/>
  <c r="AA143" i="4" s="1"/>
  <c r="AD141" i="4" a="1"/>
  <c r="AD141" i="4" s="1"/>
  <c r="AE140" i="4" a="1"/>
  <c r="AE140" i="4" s="1"/>
  <c r="Z140" i="4" a="1"/>
  <c r="Z140" i="4" s="1"/>
  <c r="AA139" i="4" a="1"/>
  <c r="AA139" i="4" s="1"/>
  <c r="AD137" i="4" a="1"/>
  <c r="AD137" i="4" s="1"/>
  <c r="AE136" i="4" a="1"/>
  <c r="AE136" i="4" s="1"/>
  <c r="Z136" i="4" a="1"/>
  <c r="Z136" i="4" s="1"/>
  <c r="AA135" i="4" a="1"/>
  <c r="AA135" i="4" s="1"/>
  <c r="AD133" i="4" a="1"/>
  <c r="AD133" i="4" s="1"/>
  <c r="AE132" i="4" a="1"/>
  <c r="AE132" i="4" s="1"/>
  <c r="Z132" i="4" a="1"/>
  <c r="Z132" i="4" s="1"/>
  <c r="AA131" i="4" a="1"/>
  <c r="AA131" i="4" s="1"/>
  <c r="AD129" i="4" a="1"/>
  <c r="AD129" i="4" s="1"/>
  <c r="AE128" i="4" a="1"/>
  <c r="AE128" i="4" s="1"/>
  <c r="Z128" i="4" a="1"/>
  <c r="Z128" i="4" s="1"/>
  <c r="X156" i="4" a="1"/>
  <c r="X156" i="4" s="1"/>
  <c r="AA153" i="4" a="1"/>
  <c r="AA153" i="4" s="1"/>
  <c r="Z152" i="4" a="1"/>
  <c r="Z152" i="4" s="1"/>
  <c r="Z151" i="4" a="1"/>
  <c r="Z151" i="4" s="1"/>
  <c r="AB146" i="4" a="1"/>
  <c r="AB146" i="4" s="1"/>
  <c r="AC145" i="4" a="1"/>
  <c r="AC145" i="4" s="1"/>
  <c r="X145" i="4" a="1"/>
  <c r="X145" i="4" s="1"/>
  <c r="Y144" i="4" a="1"/>
  <c r="Y144" i="4" s="1"/>
  <c r="AB142" i="4" a="1"/>
  <c r="AB142" i="4" s="1"/>
  <c r="AC141" i="4" a="1"/>
  <c r="AC141" i="4" s="1"/>
  <c r="X141" i="4" a="1"/>
  <c r="X141" i="4" s="1"/>
  <c r="Y140" i="4" a="1"/>
  <c r="Y140" i="4" s="1"/>
  <c r="AB138" i="4" a="1"/>
  <c r="AB138" i="4" s="1"/>
  <c r="AC137" i="4" a="1"/>
  <c r="AC137" i="4" s="1"/>
  <c r="X137" i="4" a="1"/>
  <c r="X137" i="4" s="1"/>
  <c r="Y136" i="4" a="1"/>
  <c r="Y136" i="4" s="1"/>
  <c r="AB134" i="4" a="1"/>
  <c r="AB134" i="4" s="1"/>
  <c r="AC133" i="4" a="1"/>
  <c r="AC133" i="4" s="1"/>
  <c r="X133" i="4" a="1"/>
  <c r="X133" i="4" s="1"/>
  <c r="Y132" i="4" a="1"/>
  <c r="Y132" i="4" s="1"/>
  <c r="AB130" i="4" a="1"/>
  <c r="AB130" i="4" s="1"/>
  <c r="AC129" i="4" a="1"/>
  <c r="AC129" i="4" s="1"/>
  <c r="X129" i="4" a="1"/>
  <c r="X129" i="4" s="1"/>
  <c r="Y128" i="4" a="1"/>
  <c r="Y128" i="4" s="1"/>
  <c r="AB127" i="4" a="1"/>
  <c r="AB127" i="4" s="1"/>
  <c r="X127" i="4" a="1"/>
  <c r="X127" i="4" s="1"/>
  <c r="X153" i="4" a="1"/>
  <c r="X153" i="4" s="1"/>
  <c r="AA148" i="4" a="1"/>
  <c r="AA148" i="4" s="1"/>
  <c r="AD147" i="4" a="1"/>
  <c r="AD147" i="4" s="1"/>
  <c r="AA146" i="4" a="1"/>
  <c r="AA146" i="4" s="1"/>
  <c r="AD144" i="4" a="1"/>
  <c r="AD144" i="4" s="1"/>
  <c r="AE143" i="4" a="1"/>
  <c r="AE143" i="4" s="1"/>
  <c r="Z143" i="4" a="1"/>
  <c r="Z143" i="4" s="1"/>
  <c r="AA142" i="4" a="1"/>
  <c r="AA142" i="4" s="1"/>
  <c r="AD140" i="4" a="1"/>
  <c r="AD140" i="4" s="1"/>
  <c r="AE139" i="4" a="1"/>
  <c r="AE139" i="4" s="1"/>
  <c r="Z139" i="4" a="1"/>
  <c r="Z139" i="4" s="1"/>
  <c r="AA138" i="4" a="1"/>
  <c r="AA138" i="4" s="1"/>
  <c r="AD136" i="4" a="1"/>
  <c r="AD136" i="4" s="1"/>
  <c r="AE135" i="4" a="1"/>
  <c r="AE135" i="4" s="1"/>
  <c r="Z135" i="4" a="1"/>
  <c r="Z135" i="4" s="1"/>
  <c r="AA134" i="4" a="1"/>
  <c r="AA134" i="4" s="1"/>
  <c r="AD132" i="4" a="1"/>
  <c r="AD132" i="4" s="1"/>
  <c r="AE131" i="4" a="1"/>
  <c r="AE131" i="4" s="1"/>
  <c r="Z131" i="4" a="1"/>
  <c r="Z131" i="4" s="1"/>
  <c r="AC155" i="4" a="1"/>
  <c r="AC155" i="4" s="1"/>
  <c r="Y154" i="4" a="1"/>
  <c r="Y154" i="4" s="1"/>
  <c r="X149" i="4" a="1"/>
  <c r="X149" i="4" s="1"/>
  <c r="AB145" i="4" a="1"/>
  <c r="AB145" i="4" s="1"/>
  <c r="AC144" i="4" a="1"/>
  <c r="AC144" i="4" s="1"/>
  <c r="X144" i="4" a="1"/>
  <c r="X144" i="4" s="1"/>
  <c r="Y143" i="4" a="1"/>
  <c r="Y143" i="4" s="1"/>
  <c r="AB141" i="4" a="1"/>
  <c r="AB141" i="4" s="1"/>
  <c r="AC140" i="4" a="1"/>
  <c r="AC140" i="4" s="1"/>
  <c r="X140" i="4" a="1"/>
  <c r="X140" i="4" s="1"/>
  <c r="Y139" i="4" a="1"/>
  <c r="Y139" i="4" s="1"/>
  <c r="AB137" i="4" a="1"/>
  <c r="AB137" i="4" s="1"/>
  <c r="AC136" i="4" a="1"/>
  <c r="AC136" i="4" s="1"/>
  <c r="X136" i="4" a="1"/>
  <c r="X136" i="4" s="1"/>
  <c r="Y135" i="4" a="1"/>
  <c r="Y135" i="4" s="1"/>
  <c r="AB133" i="4" a="1"/>
  <c r="AB133" i="4" s="1"/>
  <c r="AC132" i="4" a="1"/>
  <c r="AC132" i="4" s="1"/>
  <c r="X132" i="4" a="1"/>
  <c r="X132" i="4" s="1"/>
  <c r="AB155" i="4" a="1"/>
  <c r="AB155" i="4" s="1"/>
  <c r="X154" i="4" a="1"/>
  <c r="X154" i="4" s="1"/>
  <c r="Z146" i="4" a="1"/>
  <c r="Z146" i="4" s="1"/>
  <c r="AA145" i="4" a="1"/>
  <c r="AA145" i="4" s="1"/>
  <c r="AD143" i="4" a="1"/>
  <c r="AD143" i="4" s="1"/>
  <c r="AE142" i="4" a="1"/>
  <c r="AE142" i="4" s="1"/>
  <c r="Z142" i="4" a="1"/>
  <c r="Z142" i="4" s="1"/>
  <c r="AA141" i="4" a="1"/>
  <c r="AA141" i="4" s="1"/>
  <c r="AD139" i="4" a="1"/>
  <c r="AD139" i="4" s="1"/>
  <c r="AE138" i="4" a="1"/>
  <c r="AE138" i="4" s="1"/>
  <c r="Z138" i="4" a="1"/>
  <c r="Z138" i="4" s="1"/>
  <c r="AA137" i="4" a="1"/>
  <c r="AA137" i="4" s="1"/>
  <c r="AD135" i="4" a="1"/>
  <c r="AD135" i="4" s="1"/>
  <c r="AE134" i="4" a="1"/>
  <c r="AE134" i="4" s="1"/>
  <c r="Z134" i="4" a="1"/>
  <c r="Z134" i="4" s="1"/>
  <c r="AA133" i="4" a="1"/>
  <c r="AA133" i="4" s="1"/>
  <c r="AD131" i="4" a="1"/>
  <c r="AD131" i="4" s="1"/>
  <c r="AE130" i="4" a="1"/>
  <c r="AE130" i="4" s="1"/>
  <c r="Z130" i="4" a="1"/>
  <c r="Z130" i="4" s="1"/>
  <c r="Z155" i="4" a="1"/>
  <c r="Z155" i="4" s="1"/>
  <c r="Y148" i="4" a="1"/>
  <c r="Y148" i="4" s="1"/>
  <c r="AB147" i="4" a="1"/>
  <c r="AB147" i="4" s="1"/>
  <c r="AE146" i="4" a="1"/>
  <c r="AE146" i="4" s="1"/>
  <c r="Y146" i="4" a="1"/>
  <c r="Y146" i="4" s="1"/>
  <c r="AB144" i="4" a="1"/>
  <c r="AB144" i="4" s="1"/>
  <c r="AC143" i="4" a="1"/>
  <c r="AC143" i="4" s="1"/>
  <c r="X143" i="4" a="1"/>
  <c r="X143" i="4" s="1"/>
  <c r="Y142" i="4" a="1"/>
  <c r="Y142" i="4" s="1"/>
  <c r="AB140" i="4" a="1"/>
  <c r="AB140" i="4" s="1"/>
  <c r="AC139" i="4" a="1"/>
  <c r="AC139" i="4" s="1"/>
  <c r="X139" i="4" a="1"/>
  <c r="X139" i="4" s="1"/>
  <c r="Y138" i="4" a="1"/>
  <c r="Y138" i="4" s="1"/>
  <c r="AB136" i="4" a="1"/>
  <c r="AB136" i="4" s="1"/>
  <c r="AC135" i="4" a="1"/>
  <c r="AC135" i="4" s="1"/>
  <c r="X135" i="4" a="1"/>
  <c r="X135" i="4" s="1"/>
  <c r="Y134" i="4" a="1"/>
  <c r="Y134" i="4" s="1"/>
  <c r="AB132" i="4" a="1"/>
  <c r="AB132" i="4" s="1"/>
  <c r="AE153" i="4" a="1"/>
  <c r="AE153" i="4" s="1"/>
  <c r="AC152" i="4" a="1"/>
  <c r="AC152" i="4" s="1"/>
  <c r="AC151" i="4" a="1"/>
  <c r="AC151" i="4" s="1"/>
  <c r="AC150" i="4" a="1"/>
  <c r="AC150" i="4" s="1"/>
  <c r="AE145" i="4" a="1"/>
  <c r="AE145" i="4" s="1"/>
  <c r="Z145" i="4" a="1"/>
  <c r="Z145" i="4" s="1"/>
  <c r="AA144" i="4" a="1"/>
  <c r="AA144" i="4" s="1"/>
  <c r="AD142" i="4" a="1"/>
  <c r="AD142" i="4" s="1"/>
  <c r="AE141" i="4" a="1"/>
  <c r="AE141" i="4" s="1"/>
  <c r="Z141" i="4" a="1"/>
  <c r="Z141" i="4" s="1"/>
  <c r="AA140" i="4" a="1"/>
  <c r="AA140" i="4" s="1"/>
  <c r="AD138" i="4" a="1"/>
  <c r="AD138" i="4" s="1"/>
  <c r="AE137" i="4" a="1"/>
  <c r="AE137" i="4" s="1"/>
  <c r="Z137" i="4" a="1"/>
  <c r="Z137" i="4" s="1"/>
  <c r="AA136" i="4" a="1"/>
  <c r="AA136" i="4" s="1"/>
  <c r="AD134" i="4" a="1"/>
  <c r="AD134" i="4" s="1"/>
  <c r="AE133" i="4" a="1"/>
  <c r="AE133" i="4" s="1"/>
  <c r="Z133" i="4" a="1"/>
  <c r="Z133" i="4" s="1"/>
  <c r="AA132" i="4" a="1"/>
  <c r="AA132" i="4" s="1"/>
  <c r="AD130" i="4" a="1"/>
  <c r="AD130" i="4" s="1"/>
  <c r="AE129" i="4" a="1"/>
  <c r="AE129" i="4" s="1"/>
  <c r="Z129" i="4" a="1"/>
  <c r="Z129" i="4" s="1"/>
  <c r="AA128" i="4" a="1"/>
  <c r="AA128" i="4" s="1"/>
  <c r="AC131" i="4" a="1"/>
  <c r="AC131" i="4" s="1"/>
  <c r="Y130" i="4" a="1"/>
  <c r="Y130" i="4" s="1"/>
  <c r="AD127" i="4" a="1"/>
  <c r="AD127" i="4" s="1"/>
  <c r="AD126" i="4" a="1"/>
  <c r="AD126" i="4" s="1"/>
  <c r="X126" i="4" a="1"/>
  <c r="X126" i="4" s="1"/>
  <c r="AE125" i="4" a="1"/>
  <c r="AE125" i="4" s="1"/>
  <c r="Z125" i="4" a="1"/>
  <c r="Z125" i="4" s="1"/>
  <c r="AB124" i="4" a="1"/>
  <c r="AB124" i="4" s="1"/>
  <c r="AE123" i="4" a="1"/>
  <c r="AE123" i="4" s="1"/>
  <c r="AC122" i="4" a="1"/>
  <c r="AC122" i="4" s="1"/>
  <c r="Z120" i="4" a="1"/>
  <c r="Z120" i="4" s="1"/>
  <c r="X119" i="4" a="1"/>
  <c r="X119" i="4" s="1"/>
  <c r="AA118" i="4" a="1"/>
  <c r="AA118" i="4" s="1"/>
  <c r="AD117" i="4" a="1"/>
  <c r="AD117" i="4" s="1"/>
  <c r="Y117" i="4" a="1"/>
  <c r="Y117" i="4" s="1"/>
  <c r="AB116" i="4" a="1"/>
  <c r="AB116" i="4" s="1"/>
  <c r="AE115" i="4" a="1"/>
  <c r="AE115" i="4" s="1"/>
  <c r="AC114" i="4" a="1"/>
  <c r="AC114" i="4" s="1"/>
  <c r="Z112" i="4" a="1"/>
  <c r="Z112" i="4" s="1"/>
  <c r="X111" i="4" a="1"/>
  <c r="X111" i="4" s="1"/>
  <c r="AA110" i="4" a="1"/>
  <c r="AA110" i="4" s="1"/>
  <c r="AD109" i="4" a="1"/>
  <c r="AD109" i="4" s="1"/>
  <c r="Y109" i="4" a="1"/>
  <c r="Y109" i="4" s="1"/>
  <c r="AB108" i="4" a="1"/>
  <c r="AB108" i="4" s="1"/>
  <c r="AE107" i="4" a="1"/>
  <c r="AE107" i="4" s="1"/>
  <c r="AC106" i="4" a="1"/>
  <c r="AC106" i="4" s="1"/>
  <c r="Z104" i="4" a="1"/>
  <c r="Z104" i="4" s="1"/>
  <c r="X103" i="4" a="1"/>
  <c r="X103" i="4" s="1"/>
  <c r="AA102" i="4" a="1"/>
  <c r="AA102" i="4" s="1"/>
  <c r="AD101" i="4" a="1"/>
  <c r="AD101" i="4" s="1"/>
  <c r="Y101" i="4" a="1"/>
  <c r="Y101" i="4" s="1"/>
  <c r="AB100" i="4" a="1"/>
  <c r="AB100" i="4" s="1"/>
  <c r="AE99" i="4" a="1"/>
  <c r="AE99" i="4" s="1"/>
  <c r="AC98" i="4" a="1"/>
  <c r="AC98" i="4" s="1"/>
  <c r="Y131" i="4" a="1"/>
  <c r="Y131" i="4" s="1"/>
  <c r="X128" i="4" a="1"/>
  <c r="X128" i="4" s="1"/>
  <c r="Z123" i="4" a="1"/>
  <c r="Z123" i="4" s="1"/>
  <c r="X122" i="4" a="1"/>
  <c r="X122" i="4" s="1"/>
  <c r="AA121" i="4" a="1"/>
  <c r="AA121" i="4" s="1"/>
  <c r="AD120" i="4" a="1"/>
  <c r="AD120" i="4" s="1"/>
  <c r="Y120" i="4" a="1"/>
  <c r="Y120" i="4" s="1"/>
  <c r="AB119" i="4" a="1"/>
  <c r="AB119" i="4" s="1"/>
  <c r="AE118" i="4" a="1"/>
  <c r="AE118" i="4" s="1"/>
  <c r="AC117" i="4" a="1"/>
  <c r="AC117" i="4" s="1"/>
  <c r="Z115" i="4" a="1"/>
  <c r="Z115" i="4" s="1"/>
  <c r="X114" i="4" a="1"/>
  <c r="X114" i="4" s="1"/>
  <c r="AA113" i="4" a="1"/>
  <c r="AA113" i="4" s="1"/>
  <c r="AD112" i="4" a="1"/>
  <c r="AD112" i="4" s="1"/>
  <c r="Y112" i="4" a="1"/>
  <c r="Y112" i="4" s="1"/>
  <c r="AB111" i="4" a="1"/>
  <c r="AB111" i="4" s="1"/>
  <c r="AE110" i="4" a="1"/>
  <c r="AE110" i="4" s="1"/>
  <c r="AC109" i="4" a="1"/>
  <c r="AC109" i="4" s="1"/>
  <c r="Z107" i="4" a="1"/>
  <c r="Z107" i="4" s="1"/>
  <c r="X106" i="4" a="1"/>
  <c r="X106" i="4" s="1"/>
  <c r="AA105" i="4" a="1"/>
  <c r="AA105" i="4" s="1"/>
  <c r="AD104" i="4" a="1"/>
  <c r="AD104" i="4" s="1"/>
  <c r="Y104" i="4" a="1"/>
  <c r="Y104" i="4" s="1"/>
  <c r="AB103" i="4" a="1"/>
  <c r="AB103" i="4" s="1"/>
  <c r="AE102" i="4" a="1"/>
  <c r="AE102" i="4" s="1"/>
  <c r="AC101" i="4" a="1"/>
  <c r="AC101" i="4" s="1"/>
  <c r="Z99" i="4" a="1"/>
  <c r="Z99" i="4" s="1"/>
  <c r="X98" i="4" a="1"/>
  <c r="X98" i="4" s="1"/>
  <c r="AA97" i="4" a="1"/>
  <c r="AA97" i="4" s="1"/>
  <c r="AD96" i="4" a="1"/>
  <c r="AD96" i="4" s="1"/>
  <c r="Y96" i="4" a="1"/>
  <c r="Y96" i="4" s="1"/>
  <c r="AB95" i="4" a="1"/>
  <c r="AB95" i="4" s="1"/>
  <c r="AE94" i="4" a="1"/>
  <c r="AE94" i="4" s="1"/>
  <c r="AC93" i="4" a="1"/>
  <c r="AC93" i="4" s="1"/>
  <c r="X131" i="4" a="1"/>
  <c r="X131" i="4" s="1"/>
  <c r="AB126" i="4" a="1"/>
  <c r="AB126" i="4" s="1"/>
  <c r="AD125" i="4" a="1"/>
  <c r="AD125" i="4" s="1"/>
  <c r="X125" i="4" a="1"/>
  <c r="X125" i="4" s="1"/>
  <c r="AA124" i="4" a="1"/>
  <c r="AA124" i="4" s="1"/>
  <c r="AD123" i="4" a="1"/>
  <c r="AD123" i="4" s="1"/>
  <c r="Y123" i="4" a="1"/>
  <c r="Y123" i="4" s="1"/>
  <c r="AB122" i="4" a="1"/>
  <c r="AB122" i="4" s="1"/>
  <c r="AE121" i="4" a="1"/>
  <c r="AE121" i="4" s="1"/>
  <c r="AC120" i="4" a="1"/>
  <c r="AC120" i="4" s="1"/>
  <c r="Z118" i="4" a="1"/>
  <c r="Z118" i="4" s="1"/>
  <c r="X117" i="4" a="1"/>
  <c r="X117" i="4" s="1"/>
  <c r="AA116" i="4" a="1"/>
  <c r="AA116" i="4" s="1"/>
  <c r="AD115" i="4" a="1"/>
  <c r="AD115" i="4" s="1"/>
  <c r="Y115" i="4" a="1"/>
  <c r="Y115" i="4" s="1"/>
  <c r="AB114" i="4" a="1"/>
  <c r="AB114" i="4" s="1"/>
  <c r="AE113" i="4" a="1"/>
  <c r="AE113" i="4" s="1"/>
  <c r="AC112" i="4" a="1"/>
  <c r="AC112" i="4" s="1"/>
  <c r="Z110" i="4" a="1"/>
  <c r="Z110" i="4" s="1"/>
  <c r="X109" i="4" a="1"/>
  <c r="X109" i="4" s="1"/>
  <c r="AA108" i="4" a="1"/>
  <c r="AA108" i="4" s="1"/>
  <c r="AD107" i="4" a="1"/>
  <c r="AD107" i="4" s="1"/>
  <c r="Y107" i="4" a="1"/>
  <c r="Y107" i="4" s="1"/>
  <c r="AB106" i="4" a="1"/>
  <c r="AB106" i="4" s="1"/>
  <c r="AE105" i="4" a="1"/>
  <c r="AE105" i="4" s="1"/>
  <c r="AC104" i="4" a="1"/>
  <c r="AC104" i="4" s="1"/>
  <c r="Z102" i="4" a="1"/>
  <c r="Z102" i="4" s="1"/>
  <c r="X101" i="4" a="1"/>
  <c r="X101" i="4" s="1"/>
  <c r="AA100" i="4" a="1"/>
  <c r="AA100" i="4" s="1"/>
  <c r="AD99" i="4" a="1"/>
  <c r="AD99" i="4" s="1"/>
  <c r="Y99" i="4" a="1"/>
  <c r="Y99" i="4" s="1"/>
  <c r="AB98" i="4" a="1"/>
  <c r="AB98" i="4" s="1"/>
  <c r="AE97" i="4" a="1"/>
  <c r="AE97" i="4" s="1"/>
  <c r="AC96" i="4" a="1"/>
  <c r="AC96" i="4" s="1"/>
  <c r="Z94" i="4" a="1"/>
  <c r="Z94" i="4" s="1"/>
  <c r="AA127" i="4" a="1"/>
  <c r="AA127" i="4" s="1"/>
  <c r="AE124" i="4" a="1"/>
  <c r="AE124" i="4" s="1"/>
  <c r="AC123" i="4" a="1"/>
  <c r="AC123" i="4" s="1"/>
  <c r="Z121" i="4" a="1"/>
  <c r="Z121" i="4" s="1"/>
  <c r="X120" i="4" a="1"/>
  <c r="X120" i="4" s="1"/>
  <c r="AA119" i="4" a="1"/>
  <c r="AA119" i="4" s="1"/>
  <c r="AD118" i="4" a="1"/>
  <c r="AD118" i="4" s="1"/>
  <c r="Y118" i="4" a="1"/>
  <c r="Y118" i="4" s="1"/>
  <c r="AB117" i="4" a="1"/>
  <c r="AB117" i="4" s="1"/>
  <c r="AE116" i="4" a="1"/>
  <c r="AE116" i="4" s="1"/>
  <c r="AC115" i="4" a="1"/>
  <c r="AC115" i="4" s="1"/>
  <c r="Z113" i="4" a="1"/>
  <c r="Z113" i="4" s="1"/>
  <c r="X112" i="4" a="1"/>
  <c r="X112" i="4" s="1"/>
  <c r="AA111" i="4" a="1"/>
  <c r="AA111" i="4" s="1"/>
  <c r="AD110" i="4" a="1"/>
  <c r="AD110" i="4" s="1"/>
  <c r="Y110" i="4" a="1"/>
  <c r="Y110" i="4" s="1"/>
  <c r="AB109" i="4" a="1"/>
  <c r="AB109" i="4" s="1"/>
  <c r="AE108" i="4" a="1"/>
  <c r="AE108" i="4" s="1"/>
  <c r="AC107" i="4" a="1"/>
  <c r="AC107" i="4" s="1"/>
  <c r="Z105" i="4" a="1"/>
  <c r="Z105" i="4" s="1"/>
  <c r="X104" i="4" a="1"/>
  <c r="X104" i="4" s="1"/>
  <c r="AA103" i="4" a="1"/>
  <c r="AA103" i="4" s="1"/>
  <c r="AD102" i="4" a="1"/>
  <c r="AD102" i="4" s="1"/>
  <c r="Y102" i="4" a="1"/>
  <c r="Y102" i="4" s="1"/>
  <c r="AB101" i="4" a="1"/>
  <c r="AB101" i="4" s="1"/>
  <c r="AE100" i="4" a="1"/>
  <c r="AE100" i="4" s="1"/>
  <c r="AC99" i="4" a="1"/>
  <c r="AC99" i="4" s="1"/>
  <c r="Z97" i="4" a="1"/>
  <c r="Z97" i="4" s="1"/>
  <c r="X96" i="4" a="1"/>
  <c r="X96" i="4" s="1"/>
  <c r="AA95" i="4" a="1"/>
  <c r="AA95" i="4" s="1"/>
  <c r="AD94" i="4" a="1"/>
  <c r="AD94" i="4" s="1"/>
  <c r="Y94" i="4" a="1"/>
  <c r="Y94" i="4" s="1"/>
  <c r="AB93" i="4" a="1"/>
  <c r="AB93" i="4" s="1"/>
  <c r="AD128" i="4" a="1"/>
  <c r="AD128" i="4" s="1"/>
  <c r="AA126" i="4" a="1"/>
  <c r="AA126" i="4" s="1"/>
  <c r="AB125" i="4" a="1"/>
  <c r="AB125" i="4" s="1"/>
  <c r="Z124" i="4" a="1"/>
  <c r="Z124" i="4" s="1"/>
  <c r="X123" i="4" a="1"/>
  <c r="X123" i="4" s="1"/>
  <c r="AA122" i="4" a="1"/>
  <c r="AA122" i="4" s="1"/>
  <c r="AD121" i="4" a="1"/>
  <c r="AD121" i="4" s="1"/>
  <c r="Y121" i="4" a="1"/>
  <c r="Y121" i="4" s="1"/>
  <c r="AB120" i="4" a="1"/>
  <c r="AB120" i="4" s="1"/>
  <c r="AE119" i="4" a="1"/>
  <c r="AE119" i="4" s="1"/>
  <c r="AC118" i="4" a="1"/>
  <c r="AC118" i="4" s="1"/>
  <c r="Z116" i="4" a="1"/>
  <c r="Z116" i="4" s="1"/>
  <c r="X115" i="4" a="1"/>
  <c r="X115" i="4" s="1"/>
  <c r="AA114" i="4" a="1"/>
  <c r="AA114" i="4" s="1"/>
  <c r="AD113" i="4" a="1"/>
  <c r="AD113" i="4" s="1"/>
  <c r="Y113" i="4" a="1"/>
  <c r="Y113" i="4" s="1"/>
  <c r="AB112" i="4" a="1"/>
  <c r="AB112" i="4" s="1"/>
  <c r="AE111" i="4" a="1"/>
  <c r="AE111" i="4" s="1"/>
  <c r="AC110" i="4" a="1"/>
  <c r="AC110" i="4" s="1"/>
  <c r="Z108" i="4" a="1"/>
  <c r="Z108" i="4" s="1"/>
  <c r="X107" i="4" a="1"/>
  <c r="X107" i="4" s="1"/>
  <c r="AA106" i="4" a="1"/>
  <c r="AA106" i="4" s="1"/>
  <c r="AD105" i="4" a="1"/>
  <c r="AD105" i="4" s="1"/>
  <c r="Y105" i="4" a="1"/>
  <c r="Y105" i="4" s="1"/>
  <c r="AB104" i="4" a="1"/>
  <c r="AB104" i="4" s="1"/>
  <c r="AE103" i="4" a="1"/>
  <c r="AE103" i="4" s="1"/>
  <c r="AC102" i="4" a="1"/>
  <c r="AC102" i="4" s="1"/>
  <c r="Z100" i="4" a="1"/>
  <c r="Z100" i="4" s="1"/>
  <c r="X99" i="4" a="1"/>
  <c r="X99" i="4" s="1"/>
  <c r="AA98" i="4" a="1"/>
  <c r="AA98" i="4" s="1"/>
  <c r="AD97" i="4" a="1"/>
  <c r="AD97" i="4" s="1"/>
  <c r="Y97" i="4" a="1"/>
  <c r="Y97" i="4" s="1"/>
  <c r="AB96" i="4" a="1"/>
  <c r="AB96" i="4" s="1"/>
  <c r="AB129" i="4" a="1"/>
  <c r="AB129" i="4" s="1"/>
  <c r="AC128" i="4" a="1"/>
  <c r="AC128" i="4" s="1"/>
  <c r="Z127" i="4" a="1"/>
  <c r="Z127" i="4" s="1"/>
  <c r="AD124" i="4" a="1"/>
  <c r="AD124" i="4" s="1"/>
  <c r="Y124" i="4" a="1"/>
  <c r="Y124" i="4" s="1"/>
  <c r="AB123" i="4" a="1"/>
  <c r="AB123" i="4" s="1"/>
  <c r="AE122" i="4" a="1"/>
  <c r="AE122" i="4" s="1"/>
  <c r="AC121" i="4" a="1"/>
  <c r="AC121" i="4" s="1"/>
  <c r="Z119" i="4" a="1"/>
  <c r="Z119" i="4" s="1"/>
  <c r="X118" i="4" a="1"/>
  <c r="X118" i="4" s="1"/>
  <c r="AA117" i="4" a="1"/>
  <c r="AA117" i="4" s="1"/>
  <c r="AD116" i="4" a="1"/>
  <c r="AD116" i="4" s="1"/>
  <c r="Y116" i="4" a="1"/>
  <c r="Y116" i="4" s="1"/>
  <c r="AB115" i="4" a="1"/>
  <c r="AB115" i="4" s="1"/>
  <c r="AE114" i="4" a="1"/>
  <c r="AE114" i="4" s="1"/>
  <c r="AC113" i="4" a="1"/>
  <c r="AC113" i="4" s="1"/>
  <c r="Z111" i="4" a="1"/>
  <c r="Z111" i="4" s="1"/>
  <c r="X110" i="4" a="1"/>
  <c r="X110" i="4" s="1"/>
  <c r="AA109" i="4" a="1"/>
  <c r="AA109" i="4" s="1"/>
  <c r="AD108" i="4" a="1"/>
  <c r="AD108" i="4" s="1"/>
  <c r="Y108" i="4" a="1"/>
  <c r="Y108" i="4" s="1"/>
  <c r="AB107" i="4" a="1"/>
  <c r="AB107" i="4" s="1"/>
  <c r="AE106" i="4" a="1"/>
  <c r="AE106" i="4" s="1"/>
  <c r="AC105" i="4" a="1"/>
  <c r="AC105" i="4" s="1"/>
  <c r="Z103" i="4" a="1"/>
  <c r="Z103" i="4" s="1"/>
  <c r="X102" i="4" a="1"/>
  <c r="X102" i="4" s="1"/>
  <c r="AA101" i="4" a="1"/>
  <c r="AA101" i="4" s="1"/>
  <c r="AD100" i="4" a="1"/>
  <c r="AD100" i="4" s="1"/>
  <c r="Y100" i="4" a="1"/>
  <c r="Y100" i="4" s="1"/>
  <c r="AB99" i="4" a="1"/>
  <c r="AB99" i="4" s="1"/>
  <c r="AE98" i="4" a="1"/>
  <c r="AE98" i="4" s="1"/>
  <c r="AA130" i="4" a="1"/>
  <c r="AA130" i="4" s="1"/>
  <c r="AA129" i="4" a="1"/>
  <c r="AA129" i="4" s="1"/>
  <c r="AE127" i="4" a="1"/>
  <c r="AE127" i="4" s="1"/>
  <c r="AE126" i="4" a="1"/>
  <c r="AE126" i="4" s="1"/>
  <c r="Z126" i="4" a="1"/>
  <c r="Z126" i="4" s="1"/>
  <c r="AA125" i="4" a="1"/>
  <c r="AA125" i="4" s="1"/>
  <c r="AC124" i="4" a="1"/>
  <c r="AC124" i="4" s="1"/>
  <c r="Z122" i="4" a="1"/>
  <c r="Z122" i="4" s="1"/>
  <c r="X121" i="4" a="1"/>
  <c r="X121" i="4" s="1"/>
  <c r="AA120" i="4" a="1"/>
  <c r="AA120" i="4" s="1"/>
  <c r="AD119" i="4" a="1"/>
  <c r="AD119" i="4" s="1"/>
  <c r="Y119" i="4" a="1"/>
  <c r="Y119" i="4" s="1"/>
  <c r="AB118" i="4" a="1"/>
  <c r="AB118" i="4" s="1"/>
  <c r="AE117" i="4" a="1"/>
  <c r="AE117" i="4" s="1"/>
  <c r="AC116" i="4" a="1"/>
  <c r="AC116" i="4" s="1"/>
  <c r="Z114" i="4" a="1"/>
  <c r="Z114" i="4" s="1"/>
  <c r="X113" i="4" a="1"/>
  <c r="X113" i="4" s="1"/>
  <c r="AA112" i="4" a="1"/>
  <c r="AA112" i="4" s="1"/>
  <c r="AD111" i="4" a="1"/>
  <c r="AD111" i="4" s="1"/>
  <c r="Y111" i="4" a="1"/>
  <c r="Y111" i="4" s="1"/>
  <c r="AB110" i="4" a="1"/>
  <c r="AB110" i="4" s="1"/>
  <c r="AE109" i="4" a="1"/>
  <c r="AE109" i="4" s="1"/>
  <c r="AC108" i="4" a="1"/>
  <c r="AC108" i="4" s="1"/>
  <c r="Z106" i="4" a="1"/>
  <c r="Z106" i="4" s="1"/>
  <c r="X105" i="4" a="1"/>
  <c r="X105" i="4" s="1"/>
  <c r="AA104" i="4" a="1"/>
  <c r="AA104" i="4" s="1"/>
  <c r="AD103" i="4" a="1"/>
  <c r="AD103" i="4" s="1"/>
  <c r="Y103" i="4" a="1"/>
  <c r="Y103" i="4" s="1"/>
  <c r="AB102" i="4" a="1"/>
  <c r="AB102" i="4" s="1"/>
  <c r="AE101" i="4" a="1"/>
  <c r="AE101" i="4" s="1"/>
  <c r="AC100" i="4" a="1"/>
  <c r="AC100" i="4" s="1"/>
  <c r="Z98" i="4" a="1"/>
  <c r="Z98" i="4" s="1"/>
  <c r="AB128" i="4" a="1"/>
  <c r="AB128" i="4" s="1"/>
  <c r="X124" i="4" a="1"/>
  <c r="X124" i="4" s="1"/>
  <c r="AA123" i="4" a="1"/>
  <c r="AA123" i="4" s="1"/>
  <c r="AD122" i="4" a="1"/>
  <c r="AD122" i="4" s="1"/>
  <c r="Y122" i="4" a="1"/>
  <c r="Y122" i="4" s="1"/>
  <c r="AB121" i="4" a="1"/>
  <c r="AB121" i="4" s="1"/>
  <c r="AE120" i="4" a="1"/>
  <c r="AE120" i="4" s="1"/>
  <c r="AC119" i="4" a="1"/>
  <c r="AC119" i="4" s="1"/>
  <c r="Z117" i="4" a="1"/>
  <c r="Z117" i="4" s="1"/>
  <c r="X116" i="4" a="1"/>
  <c r="X116" i="4" s="1"/>
  <c r="AA115" i="4" a="1"/>
  <c r="AA115" i="4" s="1"/>
  <c r="AD114" i="4" a="1"/>
  <c r="AD114" i="4" s="1"/>
  <c r="Y114" i="4" a="1"/>
  <c r="Y114" i="4" s="1"/>
  <c r="AB113" i="4" a="1"/>
  <c r="AB113" i="4" s="1"/>
  <c r="AE112" i="4" a="1"/>
  <c r="AE112" i="4" s="1"/>
  <c r="AC111" i="4" a="1"/>
  <c r="AC111" i="4" s="1"/>
  <c r="Z109" i="4" a="1"/>
  <c r="Z109" i="4" s="1"/>
  <c r="X108" i="4" a="1"/>
  <c r="X108" i="4" s="1"/>
  <c r="AA107" i="4" a="1"/>
  <c r="AA107" i="4" s="1"/>
  <c r="AD106" i="4" a="1"/>
  <c r="AD106" i="4" s="1"/>
  <c r="Y106" i="4" a="1"/>
  <c r="Y106" i="4" s="1"/>
  <c r="AB105" i="4" a="1"/>
  <c r="AB105" i="4" s="1"/>
  <c r="AE104" i="4" a="1"/>
  <c r="AE104" i="4" s="1"/>
  <c r="AC103" i="4" a="1"/>
  <c r="AC103" i="4" s="1"/>
  <c r="Z101" i="4" a="1"/>
  <c r="Z101" i="4" s="1"/>
  <c r="X100" i="4" a="1"/>
  <c r="X100" i="4" s="1"/>
  <c r="AA99" i="4" a="1"/>
  <c r="AA99" i="4" s="1"/>
  <c r="AD98" i="4" a="1"/>
  <c r="AD98" i="4" s="1"/>
  <c r="Y98" i="4" a="1"/>
  <c r="Y98" i="4" s="1"/>
  <c r="AB97" i="4" a="1"/>
  <c r="AB97" i="4" s="1"/>
  <c r="AE96" i="4" a="1"/>
  <c r="AE96" i="4" s="1"/>
  <c r="AC95" i="4" a="1"/>
  <c r="AC95" i="4" s="1"/>
  <c r="AA96" i="4" a="1"/>
  <c r="AA96" i="4" s="1"/>
  <c r="AD95" i="4" a="1"/>
  <c r="AD95" i="4" s="1"/>
  <c r="AA94" i="4" a="1"/>
  <c r="AA94" i="4" s="1"/>
  <c r="Z93" i="4" a="1"/>
  <c r="Z93" i="4" s="1"/>
  <c r="X92" i="4" a="1"/>
  <c r="X92" i="4" s="1"/>
  <c r="AA91" i="4" a="1"/>
  <c r="AA91" i="4" s="1"/>
  <c r="AD90" i="4" a="1"/>
  <c r="AD90" i="4" s="1"/>
  <c r="Y90" i="4" a="1"/>
  <c r="Y90" i="4" s="1"/>
  <c r="AB89" i="4" a="1"/>
  <c r="AB89" i="4" s="1"/>
  <c r="AE88" i="4" a="1"/>
  <c r="AE88" i="4" s="1"/>
  <c r="AA88" i="4" a="1"/>
  <c r="AA88" i="4" s="1"/>
  <c r="AC97" i="4" a="1"/>
  <c r="AC97" i="4" s="1"/>
  <c r="Z96" i="4" a="1"/>
  <c r="Z96" i="4" s="1"/>
  <c r="AE93" i="4" a="1"/>
  <c r="AE93" i="4" s="1"/>
  <c r="Y93" i="4" a="1"/>
  <c r="Y93" i="4" s="1"/>
  <c r="AB92" i="4" a="1"/>
  <c r="AB92" i="4" s="1"/>
  <c r="AE91" i="4" a="1"/>
  <c r="AE91" i="4" s="1"/>
  <c r="AC90" i="4" a="1"/>
  <c r="AC90" i="4" s="1"/>
  <c r="X94" i="4" a="1"/>
  <c r="X94" i="4" s="1"/>
  <c r="Z91" i="4" a="1"/>
  <c r="Z91" i="4" s="1"/>
  <c r="X90" i="4" a="1"/>
  <c r="X90" i="4" s="1"/>
  <c r="AA89" i="4" a="1"/>
  <c r="AA89" i="4" s="1"/>
  <c r="AD88" i="4" a="1"/>
  <c r="AD88" i="4" s="1"/>
  <c r="Z88" i="4" a="1"/>
  <c r="Z88" i="4" s="1"/>
  <c r="AD87" i="4" a="1"/>
  <c r="AD87" i="4" s="1"/>
  <c r="Z87" i="4" a="1"/>
  <c r="Z87" i="4" s="1"/>
  <c r="AD86" i="4" a="1"/>
  <c r="AD86" i="4" s="1"/>
  <c r="Z86" i="4" a="1"/>
  <c r="Z86" i="4" s="1"/>
  <c r="AD85" i="4" a="1"/>
  <c r="AD85" i="4" s="1"/>
  <c r="Z95" i="4" a="1"/>
  <c r="Z95" i="4" s="1"/>
  <c r="AD93" i="4" a="1"/>
  <c r="AD93" i="4" s="1"/>
  <c r="X93" i="4" a="1"/>
  <c r="X93" i="4" s="1"/>
  <c r="AA92" i="4" a="1"/>
  <c r="AA92" i="4" s="1"/>
  <c r="X97" i="4" a="1"/>
  <c r="X97" i="4" s="1"/>
  <c r="Y95" i="4" a="1"/>
  <c r="Y95" i="4" s="1"/>
  <c r="AC94" i="4" a="1"/>
  <c r="AC94" i="4" s="1"/>
  <c r="AE92" i="4" a="1"/>
  <c r="AE92" i="4" s="1"/>
  <c r="Z92" i="4" a="1"/>
  <c r="Z92" i="4" s="1"/>
  <c r="X91" i="4" a="1"/>
  <c r="X91" i="4" s="1"/>
  <c r="AA90" i="4" a="1"/>
  <c r="AA90" i="4" s="1"/>
  <c r="AD89" i="4" a="1"/>
  <c r="AD89" i="4" s="1"/>
  <c r="AE95" i="4" a="1"/>
  <c r="AE95" i="4" s="1"/>
  <c r="X95" i="4" a="1"/>
  <c r="X95" i="4" s="1"/>
  <c r="AB94" i="4" a="1"/>
  <c r="AB94" i="4" s="1"/>
  <c r="AA93" i="4" a="1"/>
  <c r="AA93" i="4" s="1"/>
  <c r="AD92" i="4" a="1"/>
  <c r="AD92" i="4" s="1"/>
  <c r="AC92" i="4" a="1"/>
  <c r="AC92" i="4" s="1"/>
  <c r="Z90" i="4" a="1"/>
  <c r="Z90" i="4" s="1"/>
  <c r="X89" i="4" a="1"/>
  <c r="X89" i="4" s="1"/>
  <c r="Y87" i="4" a="1"/>
  <c r="Y87" i="4" s="1"/>
  <c r="AE86" i="4" a="1"/>
  <c r="AE86" i="4" s="1"/>
  <c r="AE84" i="4" a="1"/>
  <c r="AE84" i="4" s="1"/>
  <c r="AA83" i="4" a="1"/>
  <c r="AA83" i="4" s="1"/>
  <c r="AE80" i="4" a="1"/>
  <c r="AE80" i="4" s="1"/>
  <c r="AA79" i="4" a="1"/>
  <c r="AA79" i="4" s="1"/>
  <c r="AE76" i="4" a="1"/>
  <c r="AE76" i="4" s="1"/>
  <c r="AA75" i="4" a="1"/>
  <c r="AA75" i="4" s="1"/>
  <c r="AE72" i="4" a="1"/>
  <c r="AE72" i="4" s="1"/>
  <c r="AA71" i="4" a="1"/>
  <c r="AA71" i="4" s="1"/>
  <c r="AE68" i="4" a="1"/>
  <c r="AE68" i="4" s="1"/>
  <c r="AA67" i="4" a="1"/>
  <c r="AA67" i="4" s="1"/>
  <c r="AE64" i="4" a="1"/>
  <c r="AE64" i="4" s="1"/>
  <c r="AA63" i="4" a="1"/>
  <c r="AA63" i="4" s="1"/>
  <c r="AE60" i="4" a="1"/>
  <c r="AE60" i="4" s="1"/>
  <c r="AA59" i="4" a="1"/>
  <c r="AA59" i="4" s="1"/>
  <c r="AE56" i="4" a="1"/>
  <c r="AE56" i="4" s="1"/>
  <c r="AA55" i="4" a="1"/>
  <c r="AA55" i="4" s="1"/>
  <c r="AE52" i="4" a="1"/>
  <c r="AE52" i="4" s="1"/>
  <c r="AA51" i="4" a="1"/>
  <c r="AA51" i="4" s="1"/>
  <c r="AE48" i="4" a="1"/>
  <c r="AE48" i="4" s="1"/>
  <c r="AA47" i="4" a="1"/>
  <c r="AA47" i="4" s="1"/>
  <c r="AE44" i="4" a="1"/>
  <c r="AE44" i="4" s="1"/>
  <c r="AA43" i="4" a="1"/>
  <c r="AA43" i="4" s="1"/>
  <c r="AE40" i="4" a="1"/>
  <c r="AE40" i="4" s="1"/>
  <c r="AA39" i="4" a="1"/>
  <c r="AA39" i="4" s="1"/>
  <c r="Z37" i="4" a="1"/>
  <c r="Z37" i="4" s="1"/>
  <c r="AC36" i="4" a="1"/>
  <c r="AC36" i="4" s="1"/>
  <c r="AA35" i="4" a="1"/>
  <c r="AA35" i="4" s="1"/>
  <c r="AD34" i="4" a="1"/>
  <c r="AD34" i="4" s="1"/>
  <c r="X33" i="4" a="1"/>
  <c r="X33" i="4" s="1"/>
  <c r="AE32" i="4" a="1"/>
  <c r="AE32" i="4" s="1"/>
  <c r="Y31" i="4" a="1"/>
  <c r="Y31" i="4" s="1"/>
  <c r="AB30" i="4" a="1"/>
  <c r="AB30" i="4" s="1"/>
  <c r="Z29" i="4" a="1"/>
  <c r="Z29" i="4" s="1"/>
  <c r="AC28" i="4" a="1"/>
  <c r="AC28" i="4" s="1"/>
  <c r="AA27" i="4" a="1"/>
  <c r="AA27" i="4" s="1"/>
  <c r="AD26" i="4" a="1"/>
  <c r="AD26" i="4" s="1"/>
  <c r="AE89" i="4" a="1"/>
  <c r="AE89" i="4" s="1"/>
  <c r="Y88" i="4" a="1"/>
  <c r="Y88" i="4" s="1"/>
  <c r="AE87" i="4" a="1"/>
  <c r="AE87" i="4" s="1"/>
  <c r="X86" i="4" a="1"/>
  <c r="X86" i="4" s="1"/>
  <c r="AC85" i="4" a="1"/>
  <c r="AC85" i="4" s="1"/>
  <c r="X85" i="4" a="1"/>
  <c r="X85" i="4" s="1"/>
  <c r="AD84" i="4" a="1"/>
  <c r="AD84" i="4" s="1"/>
  <c r="Y84" i="4" a="1"/>
  <c r="Y84" i="4" s="1"/>
  <c r="Z83" i="4" a="1"/>
  <c r="Z83" i="4" s="1"/>
  <c r="AB82" i="4" a="1"/>
  <c r="AB82" i="4" s="1"/>
  <c r="AC81" i="4" a="1"/>
  <c r="AC81" i="4" s="1"/>
  <c r="X81" i="4" a="1"/>
  <c r="X81" i="4" s="1"/>
  <c r="AD80" i="4" a="1"/>
  <c r="AD80" i="4" s="1"/>
  <c r="Y80" i="4" a="1"/>
  <c r="Y80" i="4" s="1"/>
  <c r="Z79" i="4" a="1"/>
  <c r="Z79" i="4" s="1"/>
  <c r="AB78" i="4" a="1"/>
  <c r="AB78" i="4" s="1"/>
  <c r="AC77" i="4" a="1"/>
  <c r="AC77" i="4" s="1"/>
  <c r="X77" i="4" a="1"/>
  <c r="X77" i="4" s="1"/>
  <c r="AD76" i="4" a="1"/>
  <c r="AD76" i="4" s="1"/>
  <c r="Y76" i="4" a="1"/>
  <c r="Y76" i="4" s="1"/>
  <c r="Z75" i="4" a="1"/>
  <c r="Z75" i="4" s="1"/>
  <c r="AB74" i="4" a="1"/>
  <c r="AB74" i="4" s="1"/>
  <c r="AC73" i="4" a="1"/>
  <c r="AC73" i="4" s="1"/>
  <c r="X73" i="4" a="1"/>
  <c r="X73" i="4" s="1"/>
  <c r="AD72" i="4" a="1"/>
  <c r="AD72" i="4" s="1"/>
  <c r="Y72" i="4" a="1"/>
  <c r="Y72" i="4" s="1"/>
  <c r="Z71" i="4" a="1"/>
  <c r="Z71" i="4" s="1"/>
  <c r="AB70" i="4" a="1"/>
  <c r="AB70" i="4" s="1"/>
  <c r="AC69" i="4" a="1"/>
  <c r="AC69" i="4" s="1"/>
  <c r="X69" i="4" a="1"/>
  <c r="X69" i="4" s="1"/>
  <c r="AD68" i="4" a="1"/>
  <c r="AD68" i="4" s="1"/>
  <c r="Y68" i="4" a="1"/>
  <c r="Y68" i="4" s="1"/>
  <c r="Z67" i="4" a="1"/>
  <c r="Z67" i="4" s="1"/>
  <c r="AB66" i="4" a="1"/>
  <c r="AB66" i="4" s="1"/>
  <c r="AC65" i="4" a="1"/>
  <c r="AC65" i="4" s="1"/>
  <c r="X65" i="4" a="1"/>
  <c r="X65" i="4" s="1"/>
  <c r="AD64" i="4" a="1"/>
  <c r="AD64" i="4" s="1"/>
  <c r="Y64" i="4" a="1"/>
  <c r="Y64" i="4" s="1"/>
  <c r="Z63" i="4" a="1"/>
  <c r="Z63" i="4" s="1"/>
  <c r="AB62" i="4" a="1"/>
  <c r="AB62" i="4" s="1"/>
  <c r="AC61" i="4" a="1"/>
  <c r="AC61" i="4" s="1"/>
  <c r="AD91" i="4" a="1"/>
  <c r="AD91" i="4" s="1"/>
  <c r="AE90" i="4" a="1"/>
  <c r="AE90" i="4" s="1"/>
  <c r="X87" i="4" a="1"/>
  <c r="X87" i="4" s="1"/>
  <c r="AC86" i="4" a="1"/>
  <c r="AC86" i="4" s="1"/>
  <c r="AE83" i="4" a="1"/>
  <c r="AE83" i="4" s="1"/>
  <c r="AA82" i="4" a="1"/>
  <c r="AA82" i="4" s="1"/>
  <c r="AE79" i="4" a="1"/>
  <c r="AE79" i="4" s="1"/>
  <c r="AA78" i="4" a="1"/>
  <c r="AA78" i="4" s="1"/>
  <c r="AE75" i="4" a="1"/>
  <c r="AE75" i="4" s="1"/>
  <c r="AA74" i="4" a="1"/>
  <c r="AA74" i="4" s="1"/>
  <c r="AE71" i="4" a="1"/>
  <c r="AE71" i="4" s="1"/>
  <c r="AA70" i="4" a="1"/>
  <c r="AA70" i="4" s="1"/>
  <c r="AE67" i="4" a="1"/>
  <c r="AE67" i="4" s="1"/>
  <c r="AA66" i="4" a="1"/>
  <c r="AA66" i="4" s="1"/>
  <c r="AE63" i="4" a="1"/>
  <c r="AE63" i="4" s="1"/>
  <c r="AA62" i="4" a="1"/>
  <c r="AA62" i="4" s="1"/>
  <c r="AE59" i="4" a="1"/>
  <c r="AE59" i="4" s="1"/>
  <c r="AA58" i="4" a="1"/>
  <c r="AA58" i="4" s="1"/>
  <c r="AE55" i="4" a="1"/>
  <c r="AE55" i="4" s="1"/>
  <c r="AA54" i="4" a="1"/>
  <c r="AA54" i="4" s="1"/>
  <c r="AE51" i="4" a="1"/>
  <c r="AE51" i="4" s="1"/>
  <c r="AA50" i="4" a="1"/>
  <c r="AA50" i="4" s="1"/>
  <c r="AE47" i="4" a="1"/>
  <c r="AE47" i="4" s="1"/>
  <c r="AA46" i="4" a="1"/>
  <c r="AA46" i="4" s="1"/>
  <c r="AE43" i="4" a="1"/>
  <c r="AE43" i="4" s="1"/>
  <c r="AA42" i="4" a="1"/>
  <c r="AA42" i="4" s="1"/>
  <c r="AE39" i="4" a="1"/>
  <c r="AE39" i="4" s="1"/>
  <c r="AA38" i="4" a="1"/>
  <c r="AA38" i="4" s="1"/>
  <c r="Y37" i="4" a="1"/>
  <c r="Y37" i="4" s="1"/>
  <c r="AB36" i="4" a="1"/>
  <c r="AB36" i="4" s="1"/>
  <c r="Z35" i="4" a="1"/>
  <c r="Z35" i="4" s="1"/>
  <c r="AC34" i="4" a="1"/>
  <c r="AC34" i="4" s="1"/>
  <c r="AA33" i="4" a="1"/>
  <c r="AA33" i="4" s="1"/>
  <c r="AD32" i="4" a="1"/>
  <c r="AD32" i="4" s="1"/>
  <c r="X31" i="4" a="1"/>
  <c r="X31" i="4" s="1"/>
  <c r="AE30" i="4" a="1"/>
  <c r="AE30" i="4" s="1"/>
  <c r="Y29" i="4" a="1"/>
  <c r="Y29" i="4" s="1"/>
  <c r="AB28" i="4" a="1"/>
  <c r="AB28" i="4" s="1"/>
  <c r="Z27" i="4" a="1"/>
  <c r="Z27" i="4" s="1"/>
  <c r="AC26" i="4" a="1"/>
  <c r="AC26" i="4" s="1"/>
  <c r="AC91" i="4" a="1"/>
  <c r="AC91" i="4" s="1"/>
  <c r="AB90" i="4" a="1"/>
  <c r="AB90" i="4" s="1"/>
  <c r="AC89" i="4" a="1"/>
  <c r="AC89" i="4" s="1"/>
  <c r="X88" i="4" a="1"/>
  <c r="X88" i="4" s="1"/>
  <c r="AC87" i="4" a="1"/>
  <c r="AC87" i="4" s="1"/>
  <c r="AB85" i="4" a="1"/>
  <c r="AB85" i="4" s="1"/>
  <c r="AC84" i="4" a="1"/>
  <c r="AC84" i="4" s="1"/>
  <c r="X84" i="4" a="1"/>
  <c r="X84" i="4" s="1"/>
  <c r="AD83" i="4" a="1"/>
  <c r="AD83" i="4" s="1"/>
  <c r="Y83" i="4" a="1"/>
  <c r="Y83" i="4" s="1"/>
  <c r="Z82" i="4" a="1"/>
  <c r="Z82" i="4" s="1"/>
  <c r="AB81" i="4" a="1"/>
  <c r="AB81" i="4" s="1"/>
  <c r="AC80" i="4" a="1"/>
  <c r="AC80" i="4" s="1"/>
  <c r="X80" i="4" a="1"/>
  <c r="X80" i="4" s="1"/>
  <c r="AD79" i="4" a="1"/>
  <c r="AD79" i="4" s="1"/>
  <c r="Y79" i="4" a="1"/>
  <c r="Y79" i="4" s="1"/>
  <c r="Z78" i="4" a="1"/>
  <c r="Z78" i="4" s="1"/>
  <c r="AB77" i="4" a="1"/>
  <c r="AB77" i="4" s="1"/>
  <c r="AC76" i="4" a="1"/>
  <c r="AC76" i="4" s="1"/>
  <c r="X76" i="4" a="1"/>
  <c r="X76" i="4" s="1"/>
  <c r="AD75" i="4" a="1"/>
  <c r="AD75" i="4" s="1"/>
  <c r="Y75" i="4" a="1"/>
  <c r="Y75" i="4" s="1"/>
  <c r="Z74" i="4" a="1"/>
  <c r="Z74" i="4" s="1"/>
  <c r="AB73" i="4" a="1"/>
  <c r="AB73" i="4" s="1"/>
  <c r="AC72" i="4" a="1"/>
  <c r="AC72" i="4" s="1"/>
  <c r="X72" i="4" a="1"/>
  <c r="X72" i="4" s="1"/>
  <c r="AD71" i="4" a="1"/>
  <c r="AD71" i="4" s="1"/>
  <c r="Y71" i="4" a="1"/>
  <c r="Y71" i="4" s="1"/>
  <c r="Z70" i="4" a="1"/>
  <c r="Z70" i="4" s="1"/>
  <c r="AB69" i="4" a="1"/>
  <c r="AB69" i="4" s="1"/>
  <c r="AC68" i="4" a="1"/>
  <c r="AC68" i="4" s="1"/>
  <c r="X68" i="4" a="1"/>
  <c r="X68" i="4" s="1"/>
  <c r="AD67" i="4" a="1"/>
  <c r="AD67" i="4" s="1"/>
  <c r="Y67" i="4" a="1"/>
  <c r="Y67" i="4" s="1"/>
  <c r="Z66" i="4" a="1"/>
  <c r="Z66" i="4" s="1"/>
  <c r="AB65" i="4" a="1"/>
  <c r="AB65" i="4" s="1"/>
  <c r="AC64" i="4" a="1"/>
  <c r="AC64" i="4" s="1"/>
  <c r="X64" i="4" a="1"/>
  <c r="X64" i="4" s="1"/>
  <c r="AD63" i="4" a="1"/>
  <c r="AD63" i="4" s="1"/>
  <c r="Y63" i="4" a="1"/>
  <c r="Y63" i="4" s="1"/>
  <c r="Z62" i="4" a="1"/>
  <c r="Z62" i="4" s="1"/>
  <c r="AB61" i="4" a="1"/>
  <c r="AB61" i="4" s="1"/>
  <c r="AC60" i="4" a="1"/>
  <c r="AC60" i="4" s="1"/>
  <c r="X60" i="4" a="1"/>
  <c r="X60" i="4" s="1"/>
  <c r="AD59" i="4" a="1"/>
  <c r="AD59" i="4" s="1"/>
  <c r="Y59" i="4" a="1"/>
  <c r="Y59" i="4" s="1"/>
  <c r="Z58" i="4" a="1"/>
  <c r="Z58" i="4" s="1"/>
  <c r="AB57" i="4" a="1"/>
  <c r="AB57" i="4" s="1"/>
  <c r="AC56" i="4" a="1"/>
  <c r="AC56" i="4" s="1"/>
  <c r="AB91" i="4" a="1"/>
  <c r="AB91" i="4" s="1"/>
  <c r="AB86" i="4" a="1"/>
  <c r="AB86" i="4" s="1"/>
  <c r="AA85" i="4" a="1"/>
  <c r="AA85" i="4" s="1"/>
  <c r="AE82" i="4" a="1"/>
  <c r="AE82" i="4" s="1"/>
  <c r="AA81" i="4" a="1"/>
  <c r="AA81" i="4" s="1"/>
  <c r="AE78" i="4" a="1"/>
  <c r="AE78" i="4" s="1"/>
  <c r="AA77" i="4" a="1"/>
  <c r="AA77" i="4" s="1"/>
  <c r="AE74" i="4" a="1"/>
  <c r="AE74" i="4" s="1"/>
  <c r="AA73" i="4" a="1"/>
  <c r="AA73" i="4" s="1"/>
  <c r="AE70" i="4" a="1"/>
  <c r="AE70" i="4" s="1"/>
  <c r="AA69" i="4" a="1"/>
  <c r="AA69" i="4" s="1"/>
  <c r="AE66" i="4" a="1"/>
  <c r="AE66" i="4" s="1"/>
  <c r="AA65" i="4" a="1"/>
  <c r="AA65" i="4" s="1"/>
  <c r="AE62" i="4" a="1"/>
  <c r="AE62" i="4" s="1"/>
  <c r="AA61" i="4" a="1"/>
  <c r="AA61" i="4" s="1"/>
  <c r="AE58" i="4" a="1"/>
  <c r="AE58" i="4" s="1"/>
  <c r="AA57" i="4" a="1"/>
  <c r="AA57" i="4" s="1"/>
  <c r="AE54" i="4" a="1"/>
  <c r="AE54" i="4" s="1"/>
  <c r="AA53" i="4" a="1"/>
  <c r="AA53" i="4" s="1"/>
  <c r="AE50" i="4" a="1"/>
  <c r="AE50" i="4" s="1"/>
  <c r="AA49" i="4" a="1"/>
  <c r="AA49" i="4" s="1"/>
  <c r="AE46" i="4" a="1"/>
  <c r="AE46" i="4" s="1"/>
  <c r="AA45" i="4" a="1"/>
  <c r="AA45" i="4" s="1"/>
  <c r="AE42" i="4" a="1"/>
  <c r="AE42" i="4" s="1"/>
  <c r="AA41" i="4" a="1"/>
  <c r="AA41" i="4" s="1"/>
  <c r="AE38" i="4" a="1"/>
  <c r="AE38" i="4" s="1"/>
  <c r="X37" i="4" a="1"/>
  <c r="X37" i="4" s="1"/>
  <c r="AE36" i="4" a="1"/>
  <c r="AE36" i="4" s="1"/>
  <c r="Y35" i="4" a="1"/>
  <c r="Y35" i="4" s="1"/>
  <c r="AB34" i="4" a="1"/>
  <c r="AB34" i="4" s="1"/>
  <c r="Z33" i="4" a="1"/>
  <c r="Z33" i="4" s="1"/>
  <c r="AC32" i="4" a="1"/>
  <c r="AC32" i="4" s="1"/>
  <c r="AA31" i="4" a="1"/>
  <c r="AA31" i="4" s="1"/>
  <c r="AD30" i="4" a="1"/>
  <c r="AD30" i="4" s="1"/>
  <c r="X29" i="4" a="1"/>
  <c r="X29" i="4" s="1"/>
  <c r="AE28" i="4" a="1"/>
  <c r="AE28" i="4" s="1"/>
  <c r="Y91" i="4" a="1"/>
  <c r="Y91" i="4" s="1"/>
  <c r="Z89" i="4" a="1"/>
  <c r="Z89" i="4" s="1"/>
  <c r="AC88" i="4" a="1"/>
  <c r="AC88" i="4" s="1"/>
  <c r="AB87" i="4" a="1"/>
  <c r="AB87" i="4" s="1"/>
  <c r="AA86" i="4" a="1"/>
  <c r="AA86" i="4" s="1"/>
  <c r="Z85" i="4" a="1"/>
  <c r="Z85" i="4" s="1"/>
  <c r="AB84" i="4" a="1"/>
  <c r="AB84" i="4" s="1"/>
  <c r="AC83" i="4" a="1"/>
  <c r="AC83" i="4" s="1"/>
  <c r="X83" i="4" a="1"/>
  <c r="X83" i="4" s="1"/>
  <c r="AD82" i="4" a="1"/>
  <c r="AD82" i="4" s="1"/>
  <c r="Y82" i="4" a="1"/>
  <c r="Y82" i="4" s="1"/>
  <c r="Z81" i="4" a="1"/>
  <c r="Z81" i="4" s="1"/>
  <c r="AB80" i="4" a="1"/>
  <c r="AB80" i="4" s="1"/>
  <c r="AC79" i="4" a="1"/>
  <c r="AC79" i="4" s="1"/>
  <c r="X79" i="4" a="1"/>
  <c r="X79" i="4" s="1"/>
  <c r="AD78" i="4" a="1"/>
  <c r="AD78" i="4" s="1"/>
  <c r="Y78" i="4" a="1"/>
  <c r="Y78" i="4" s="1"/>
  <c r="Z77" i="4" a="1"/>
  <c r="Z77" i="4" s="1"/>
  <c r="AB76" i="4" a="1"/>
  <c r="AB76" i="4" s="1"/>
  <c r="AC75" i="4" a="1"/>
  <c r="AC75" i="4" s="1"/>
  <c r="X75" i="4" a="1"/>
  <c r="X75" i="4" s="1"/>
  <c r="AD74" i="4" a="1"/>
  <c r="AD74" i="4" s="1"/>
  <c r="Y74" i="4" a="1"/>
  <c r="Y74" i="4" s="1"/>
  <c r="Z73" i="4" a="1"/>
  <c r="Z73" i="4" s="1"/>
  <c r="AB72" i="4" a="1"/>
  <c r="AB72" i="4" s="1"/>
  <c r="AC71" i="4" a="1"/>
  <c r="AC71" i="4" s="1"/>
  <c r="X71" i="4" a="1"/>
  <c r="X71" i="4" s="1"/>
  <c r="AD70" i="4" a="1"/>
  <c r="AD70" i="4" s="1"/>
  <c r="Y70" i="4" a="1"/>
  <c r="Y70" i="4" s="1"/>
  <c r="Z69" i="4" a="1"/>
  <c r="Z69" i="4" s="1"/>
  <c r="AB68" i="4" a="1"/>
  <c r="AB68" i="4" s="1"/>
  <c r="AC67" i="4" a="1"/>
  <c r="AC67" i="4" s="1"/>
  <c r="X67" i="4" a="1"/>
  <c r="X67" i="4" s="1"/>
  <c r="AD66" i="4" a="1"/>
  <c r="AD66" i="4" s="1"/>
  <c r="Y66" i="4" a="1"/>
  <c r="Y66" i="4" s="1"/>
  <c r="Z65" i="4" a="1"/>
  <c r="Z65" i="4" s="1"/>
  <c r="AB64" i="4" a="1"/>
  <c r="AB64" i="4" s="1"/>
  <c r="AC63" i="4" a="1"/>
  <c r="AC63" i="4" s="1"/>
  <c r="X63" i="4" a="1"/>
  <c r="X63" i="4" s="1"/>
  <c r="AD62" i="4" a="1"/>
  <c r="AD62" i="4" s="1"/>
  <c r="Y62" i="4" a="1"/>
  <c r="Y62" i="4" s="1"/>
  <c r="Z61" i="4" a="1"/>
  <c r="Z61" i="4" s="1"/>
  <c r="AB60" i="4" a="1"/>
  <c r="AB60" i="4" s="1"/>
  <c r="AC59" i="4" a="1"/>
  <c r="AC59" i="4" s="1"/>
  <c r="X59" i="4" a="1"/>
  <c r="X59" i="4" s="1"/>
  <c r="AD58" i="4" a="1"/>
  <c r="AD58" i="4" s="1"/>
  <c r="Y58" i="4" a="1"/>
  <c r="Y58" i="4" s="1"/>
  <c r="Z57" i="4" a="1"/>
  <c r="Z57" i="4" s="1"/>
  <c r="AB56" i="4" a="1"/>
  <c r="AB56" i="4" s="1"/>
  <c r="Y89" i="4" a="1"/>
  <c r="Y89" i="4" s="1"/>
  <c r="AA87" i="4" a="1"/>
  <c r="AA87" i="4" s="1"/>
  <c r="AA84" i="4" a="1"/>
  <c r="AA84" i="4" s="1"/>
  <c r="AE81" i="4" a="1"/>
  <c r="AE81" i="4" s="1"/>
  <c r="AA80" i="4" a="1"/>
  <c r="AA80" i="4" s="1"/>
  <c r="AE77" i="4" a="1"/>
  <c r="AE77" i="4" s="1"/>
  <c r="AA76" i="4" a="1"/>
  <c r="AA76" i="4" s="1"/>
  <c r="AE73" i="4" a="1"/>
  <c r="AE73" i="4" s="1"/>
  <c r="AA72" i="4" a="1"/>
  <c r="AA72" i="4" s="1"/>
  <c r="AE69" i="4" a="1"/>
  <c r="AE69" i="4" s="1"/>
  <c r="AA68" i="4" a="1"/>
  <c r="AA68" i="4" s="1"/>
  <c r="AE65" i="4" a="1"/>
  <c r="AE65" i="4" s="1"/>
  <c r="AA64" i="4" a="1"/>
  <c r="AA64" i="4" s="1"/>
  <c r="AE61" i="4" a="1"/>
  <c r="AE61" i="4" s="1"/>
  <c r="AA60" i="4" a="1"/>
  <c r="AA60" i="4" s="1"/>
  <c r="AE57" i="4" a="1"/>
  <c r="AE57" i="4" s="1"/>
  <c r="AA56" i="4" a="1"/>
  <c r="AA56" i="4" s="1"/>
  <c r="AE53" i="4" a="1"/>
  <c r="AE53" i="4" s="1"/>
  <c r="AA52" i="4" a="1"/>
  <c r="AA52" i="4" s="1"/>
  <c r="AE49" i="4" a="1"/>
  <c r="AE49" i="4" s="1"/>
  <c r="AA48" i="4" a="1"/>
  <c r="AA48" i="4" s="1"/>
  <c r="AE45" i="4" a="1"/>
  <c r="AE45" i="4" s="1"/>
  <c r="AA44" i="4" a="1"/>
  <c r="AA44" i="4" s="1"/>
  <c r="AE41" i="4" a="1"/>
  <c r="AE41" i="4" s="1"/>
  <c r="AA40" i="4" a="1"/>
  <c r="AA40" i="4" s="1"/>
  <c r="AA37" i="4" a="1"/>
  <c r="AA37" i="4" s="1"/>
  <c r="AD36" i="4" a="1"/>
  <c r="AD36" i="4" s="1"/>
  <c r="X35" i="4" a="1"/>
  <c r="X35" i="4" s="1"/>
  <c r="AE34" i="4" a="1"/>
  <c r="AE34" i="4" s="1"/>
  <c r="Y33" i="4" a="1"/>
  <c r="Y33" i="4" s="1"/>
  <c r="AB32" i="4" a="1"/>
  <c r="AB32" i="4" s="1"/>
  <c r="Z31" i="4" a="1"/>
  <c r="Z31" i="4" s="1"/>
  <c r="AC30" i="4" a="1"/>
  <c r="AC30" i="4" s="1"/>
  <c r="AA29" i="4" a="1"/>
  <c r="AA29" i="4" s="1"/>
  <c r="AD28" i="4" a="1"/>
  <c r="AD28" i="4" s="1"/>
  <c r="X27" i="4" a="1"/>
  <c r="X27" i="4" s="1"/>
  <c r="AE26" i="4" a="1"/>
  <c r="AE26" i="4" s="1"/>
  <c r="AD25" i="4" a="1"/>
  <c r="AD25" i="4" s="1"/>
  <c r="AC24" i="4" a="1"/>
  <c r="AC24" i="4" s="1"/>
  <c r="AB23" i="4" a="1"/>
  <c r="AB23" i="4" s="1"/>
  <c r="AE22" i="4" a="1"/>
  <c r="AE22" i="4" s="1"/>
  <c r="X21" i="4" a="1"/>
  <c r="X21" i="4" s="1"/>
  <c r="AA20" i="4" a="1"/>
  <c r="AA20" i="4" s="1"/>
  <c r="Y19" i="4" a="1"/>
  <c r="Y19" i="4" s="1"/>
  <c r="AB18" i="4" a="1"/>
  <c r="AB18" i="4" s="1"/>
  <c r="AE17" i="4" a="1"/>
  <c r="AE17" i="4" s="1"/>
  <c r="Z17" i="4" a="1"/>
  <c r="Z17" i="4" s="1"/>
  <c r="AC16" i="4" a="1"/>
  <c r="AC16" i="4" s="1"/>
  <c r="Y92" i="4" a="1"/>
  <c r="Y92" i="4" s="1"/>
  <c r="AB88" i="4" a="1"/>
  <c r="AB88" i="4" s="1"/>
  <c r="Y86" i="4" a="1"/>
  <c r="Y86" i="4" s="1"/>
  <c r="AE85" i="4" a="1"/>
  <c r="AE85" i="4" s="1"/>
  <c r="Y85" i="4" a="1"/>
  <c r="Y85" i="4" s="1"/>
  <c r="Z84" i="4" a="1"/>
  <c r="Z84" i="4" s="1"/>
  <c r="AB83" i="4" a="1"/>
  <c r="AB83" i="4" s="1"/>
  <c r="AC82" i="4" a="1"/>
  <c r="AC82" i="4" s="1"/>
  <c r="X82" i="4" a="1"/>
  <c r="X82" i="4" s="1"/>
  <c r="AD81" i="4" a="1"/>
  <c r="AD81" i="4" s="1"/>
  <c r="Y81" i="4" a="1"/>
  <c r="Y81" i="4" s="1"/>
  <c r="Z80" i="4" a="1"/>
  <c r="Z80" i="4" s="1"/>
  <c r="AB79" i="4" a="1"/>
  <c r="AB79" i="4" s="1"/>
  <c r="AC78" i="4" a="1"/>
  <c r="AC78" i="4" s="1"/>
  <c r="X78" i="4" a="1"/>
  <c r="X78" i="4" s="1"/>
  <c r="AD77" i="4" a="1"/>
  <c r="AD77" i="4" s="1"/>
  <c r="Y77" i="4" a="1"/>
  <c r="Y77" i="4" s="1"/>
  <c r="Z76" i="4" a="1"/>
  <c r="Z76" i="4" s="1"/>
  <c r="AB75" i="4" a="1"/>
  <c r="AB75" i="4" s="1"/>
  <c r="AC74" i="4" a="1"/>
  <c r="AC74" i="4" s="1"/>
  <c r="X74" i="4" a="1"/>
  <c r="X74" i="4" s="1"/>
  <c r="AD73" i="4" a="1"/>
  <c r="AD73" i="4" s="1"/>
  <c r="Y73" i="4" a="1"/>
  <c r="Y73" i="4" s="1"/>
  <c r="Z72" i="4" a="1"/>
  <c r="Z72" i="4" s="1"/>
  <c r="AB71" i="4" a="1"/>
  <c r="AB71" i="4" s="1"/>
  <c r="AC70" i="4" a="1"/>
  <c r="AC70" i="4" s="1"/>
  <c r="X70" i="4" a="1"/>
  <c r="X70" i="4" s="1"/>
  <c r="AD69" i="4" a="1"/>
  <c r="AD69" i="4" s="1"/>
  <c r="Y69" i="4" a="1"/>
  <c r="Y69" i="4" s="1"/>
  <c r="Z68" i="4" a="1"/>
  <c r="Z68" i="4" s="1"/>
  <c r="AB67" i="4" a="1"/>
  <c r="AB67" i="4" s="1"/>
  <c r="AC66" i="4" a="1"/>
  <c r="AC66" i="4" s="1"/>
  <c r="X66" i="4" a="1"/>
  <c r="X66" i="4" s="1"/>
  <c r="AD65" i="4" a="1"/>
  <c r="AD65" i="4" s="1"/>
  <c r="Y65" i="4" a="1"/>
  <c r="Y65" i="4" s="1"/>
  <c r="Z64" i="4" a="1"/>
  <c r="Z64" i="4" s="1"/>
  <c r="AB63" i="4" a="1"/>
  <c r="AB63" i="4" s="1"/>
  <c r="AC62" i="4" a="1"/>
  <c r="AC62" i="4" s="1"/>
  <c r="X62" i="4" a="1"/>
  <c r="X62" i="4" s="1"/>
  <c r="AD61" i="4" a="1"/>
  <c r="AD61" i="4" s="1"/>
  <c r="Y61" i="4" a="1"/>
  <c r="Y61" i="4" s="1"/>
  <c r="Z60" i="4" a="1"/>
  <c r="Z60" i="4" s="1"/>
  <c r="AB59" i="4" a="1"/>
  <c r="AB59" i="4" s="1"/>
  <c r="AC58" i="4" a="1"/>
  <c r="AC58" i="4" s="1"/>
  <c r="X58" i="4" a="1"/>
  <c r="X58" i="4" s="1"/>
  <c r="AD57" i="4" a="1"/>
  <c r="AD57" i="4" s="1"/>
  <c r="Y60" i="4" a="1"/>
  <c r="Y60" i="4" s="1"/>
  <c r="X57" i="4" a="1"/>
  <c r="X57" i="4" s="1"/>
  <c r="X53" i="4" a="1"/>
  <c r="X53" i="4" s="1"/>
  <c r="Y52" i="4" a="1"/>
  <c r="Y52" i="4" s="1"/>
  <c r="Z51" i="4" a="1"/>
  <c r="Z51" i="4" s="1"/>
  <c r="AB50" i="4" a="1"/>
  <c r="AB50" i="4" s="1"/>
  <c r="AC49" i="4" a="1"/>
  <c r="AC49" i="4" s="1"/>
  <c r="AD48" i="4" a="1"/>
  <c r="AD48" i="4" s="1"/>
  <c r="X45" i="4" a="1"/>
  <c r="X45" i="4" s="1"/>
  <c r="Y44" i="4" a="1"/>
  <c r="Y44" i="4" s="1"/>
  <c r="Z43" i="4" a="1"/>
  <c r="Z43" i="4" s="1"/>
  <c r="AB42" i="4" a="1"/>
  <c r="AB42" i="4" s="1"/>
  <c r="AC41" i="4" a="1"/>
  <c r="AC41" i="4" s="1"/>
  <c r="AD40" i="4" a="1"/>
  <c r="AD40" i="4" s="1"/>
  <c r="AE35" i="4" a="1"/>
  <c r="AE35" i="4" s="1"/>
  <c r="Y34" i="4" a="1"/>
  <c r="Y34" i="4" s="1"/>
  <c r="AB33" i="4" a="1"/>
  <c r="AB33" i="4" s="1"/>
  <c r="AA30" i="4" a="1"/>
  <c r="AA30" i="4" s="1"/>
  <c r="AD29" i="4" a="1"/>
  <c r="AD29" i="4" s="1"/>
  <c r="Y28" i="4" a="1"/>
  <c r="Y28" i="4" s="1"/>
  <c r="AA26" i="4" a="1"/>
  <c r="AA26" i="4" s="1"/>
  <c r="AA24" i="4" a="1"/>
  <c r="AA24" i="4" s="1"/>
  <c r="AD23" i="4" a="1"/>
  <c r="AD23" i="4" s="1"/>
  <c r="Y23" i="4" a="1"/>
  <c r="Y23" i="4" s="1"/>
  <c r="AB22" i="4" a="1"/>
  <c r="AB22" i="4" s="1"/>
  <c r="AB21" i="4" a="1"/>
  <c r="AB21" i="4" s="1"/>
  <c r="Z19" i="4" a="1"/>
  <c r="Z19" i="4" s="1"/>
  <c r="AC17" i="4" a="1"/>
  <c r="AC17" i="4" s="1"/>
  <c r="X17" i="4" a="1"/>
  <c r="X17" i="4" s="1"/>
  <c r="AE16" i="4" a="1"/>
  <c r="AE16" i="4" s="1"/>
  <c r="X15" i="4" a="1"/>
  <c r="X15" i="4" s="1"/>
  <c r="AA14" i="4" a="1"/>
  <c r="AA14" i="4" s="1"/>
  <c r="Y13" i="4" a="1"/>
  <c r="Y13" i="4" s="1"/>
  <c r="AB12" i="4" a="1"/>
  <c r="AB12" i="4" s="1"/>
  <c r="AE11" i="4" a="1"/>
  <c r="AE11" i="4" s="1"/>
  <c r="Z11" i="4" a="1"/>
  <c r="Z11" i="4" s="1"/>
  <c r="AC10" i="4" a="1"/>
  <c r="AC10" i="4" s="1"/>
  <c r="AD55" i="4" a="1"/>
  <c r="AD55" i="4" s="1"/>
  <c r="X52" i="4" a="1"/>
  <c r="X52" i="4" s="1"/>
  <c r="Y51" i="4" a="1"/>
  <c r="Y51" i="4" s="1"/>
  <c r="Z50" i="4" a="1"/>
  <c r="Z50" i="4" s="1"/>
  <c r="AB49" i="4" a="1"/>
  <c r="AB49" i="4" s="1"/>
  <c r="AC48" i="4" a="1"/>
  <c r="AC48" i="4" s="1"/>
  <c r="AD47" i="4" a="1"/>
  <c r="AD47" i="4" s="1"/>
  <c r="X44" i="4" a="1"/>
  <c r="X44" i="4" s="1"/>
  <c r="Y43" i="4" a="1"/>
  <c r="Y43" i="4" s="1"/>
  <c r="Z42" i="4" a="1"/>
  <c r="Z42" i="4" s="1"/>
  <c r="AB41" i="4" a="1"/>
  <c r="AB41" i="4" s="1"/>
  <c r="AC40" i="4" a="1"/>
  <c r="AC40" i="4" s="1"/>
  <c r="AD39" i="4" a="1"/>
  <c r="AD39" i="4" s="1"/>
  <c r="AA36" i="4" a="1"/>
  <c r="AA36" i="4" s="1"/>
  <c r="AD35" i="4" a="1"/>
  <c r="AD35" i="4" s="1"/>
  <c r="X34" i="4" a="1"/>
  <c r="X34" i="4" s="1"/>
  <c r="Z30" i="4" a="1"/>
  <c r="Z30" i="4" s="1"/>
  <c r="AC29" i="4" a="1"/>
  <c r="AC29" i="4" s="1"/>
  <c r="X28" i="4" a="1"/>
  <c r="X28" i="4" s="1"/>
  <c r="AC27" i="4" a="1"/>
  <c r="AC27" i="4" s="1"/>
  <c r="Z26" i="4" a="1"/>
  <c r="Z26" i="4" s="1"/>
  <c r="AC25" i="4" a="1"/>
  <c r="AC25" i="4" s="1"/>
  <c r="X25" i="4" a="1"/>
  <c r="X25" i="4" s="1"/>
  <c r="AA22" i="4" a="1"/>
  <c r="AA22" i="4" s="1"/>
  <c r="AC20" i="4" a="1"/>
  <c r="AC20" i="4" s="1"/>
  <c r="X20" i="4" a="1"/>
  <c r="X20" i="4" s="1"/>
  <c r="AE19" i="4" a="1"/>
  <c r="AE19" i="4" s="1"/>
  <c r="AA18" i="4" a="1"/>
  <c r="AA18" i="4" s="1"/>
  <c r="AD16" i="4" a="1"/>
  <c r="AD16" i="4" s="1"/>
  <c r="Y16" i="4" a="1"/>
  <c r="Y16" i="4" s="1"/>
  <c r="AB15" i="4" a="1"/>
  <c r="AB15" i="4" s="1"/>
  <c r="AE14" i="4" a="1"/>
  <c r="AE14" i="4" s="1"/>
  <c r="Z14" i="4" a="1"/>
  <c r="Z14" i="4" s="1"/>
  <c r="AC13" i="4" a="1"/>
  <c r="AC13" i="4" s="1"/>
  <c r="AD11" i="4" a="1"/>
  <c r="AD11" i="4" s="1"/>
  <c r="X10" i="4" a="1"/>
  <c r="X10" i="4" s="1"/>
  <c r="Z59" i="4" a="1"/>
  <c r="Z59" i="4" s="1"/>
  <c r="AD56" i="4" a="1"/>
  <c r="AD56" i="4" s="1"/>
  <c r="AC55" i="4" a="1"/>
  <c r="AC55" i="4" s="1"/>
  <c r="AD54" i="4" a="1"/>
  <c r="AD54" i="4" s="1"/>
  <c r="X51" i="4" a="1"/>
  <c r="X51" i="4" s="1"/>
  <c r="Y50" i="4" a="1"/>
  <c r="Y50" i="4" s="1"/>
  <c r="Z49" i="4" a="1"/>
  <c r="Z49" i="4" s="1"/>
  <c r="AB48" i="4" a="1"/>
  <c r="AB48" i="4" s="1"/>
  <c r="AC47" i="4" a="1"/>
  <c r="AC47" i="4" s="1"/>
  <c r="AD46" i="4" a="1"/>
  <c r="AD46" i="4" s="1"/>
  <c r="X43" i="4" a="1"/>
  <c r="X43" i="4" s="1"/>
  <c r="Y42" i="4" a="1"/>
  <c r="Y42" i="4" s="1"/>
  <c r="Z41" i="4" a="1"/>
  <c r="Z41" i="4" s="1"/>
  <c r="AB40" i="4" a="1"/>
  <c r="AB40" i="4" s="1"/>
  <c r="AC39" i="4" a="1"/>
  <c r="AC39" i="4" s="1"/>
  <c r="AD38" i="4" a="1"/>
  <c r="AD38" i="4" s="1"/>
  <c r="Z36" i="4" a="1"/>
  <c r="Z36" i="4" s="1"/>
  <c r="AC35" i="4" a="1"/>
  <c r="AC35" i="4" s="1"/>
  <c r="AE31" i="4" a="1"/>
  <c r="AE31" i="4" s="1"/>
  <c r="Y30" i="4" a="1"/>
  <c r="Y30" i="4" s="1"/>
  <c r="AB29" i="4" a="1"/>
  <c r="AB29" i="4" s="1"/>
  <c r="AB27" i="4" a="1"/>
  <c r="AB27" i="4" s="1"/>
  <c r="AE24" i="4" a="1"/>
  <c r="AE24" i="4" s="1"/>
  <c r="Z24" i="4" a="1"/>
  <c r="Z24" i="4" s="1"/>
  <c r="AC23" i="4" a="1"/>
  <c r="AC23" i="4" s="1"/>
  <c r="X23" i="4" a="1"/>
  <c r="X23" i="4" s="1"/>
  <c r="Z22" i="4" a="1"/>
  <c r="Z22" i="4" s="1"/>
  <c r="AA21" i="4" a="1"/>
  <c r="AA21" i="4" s="1"/>
  <c r="AD19" i="4" a="1"/>
  <c r="AD19" i="4" s="1"/>
  <c r="Z18" i="4" a="1"/>
  <c r="Z18" i="4" s="1"/>
  <c r="AB17" i="4" a="1"/>
  <c r="AB17" i="4" s="1"/>
  <c r="AD14" i="4" a="1"/>
  <c r="AD14" i="4" s="1"/>
  <c r="X13" i="4" a="1"/>
  <c r="X13" i="4" s="1"/>
  <c r="AA12" i="4" a="1"/>
  <c r="AA12" i="4" s="1"/>
  <c r="Y11" i="4" a="1"/>
  <c r="Y11" i="4" s="1"/>
  <c r="AB10" i="4" a="1"/>
  <c r="AB10" i="4" s="1"/>
  <c r="Z56" i="4" a="1"/>
  <c r="Z56" i="4" s="1"/>
  <c r="AB55" i="4" a="1"/>
  <c r="AB55" i="4" s="1"/>
  <c r="AC54" i="4" a="1"/>
  <c r="AC54" i="4" s="1"/>
  <c r="AD53" i="4" a="1"/>
  <c r="AD53" i="4" s="1"/>
  <c r="X50" i="4" a="1"/>
  <c r="X50" i="4" s="1"/>
  <c r="Y49" i="4" a="1"/>
  <c r="Y49" i="4" s="1"/>
  <c r="Z48" i="4" a="1"/>
  <c r="Z48" i="4" s="1"/>
  <c r="AB47" i="4" a="1"/>
  <c r="AB47" i="4" s="1"/>
  <c r="AC46" i="4" a="1"/>
  <c r="AC46" i="4" s="1"/>
  <c r="AD45" i="4" a="1"/>
  <c r="AD45" i="4" s="1"/>
  <c r="X42" i="4" a="1"/>
  <c r="X42" i="4" s="1"/>
  <c r="Y41" i="4" a="1"/>
  <c r="Y41" i="4" s="1"/>
  <c r="Z40" i="4" a="1"/>
  <c r="Z40" i="4" s="1"/>
  <c r="AB39" i="4" a="1"/>
  <c r="AB39" i="4" s="1"/>
  <c r="AC38" i="4" a="1"/>
  <c r="AC38" i="4" s="1"/>
  <c r="AE37" i="4" a="1"/>
  <c r="AE37" i="4" s="1"/>
  <c r="Y36" i="4" a="1"/>
  <c r="Y36" i="4" s="1"/>
  <c r="AB35" i="4" a="1"/>
  <c r="AB35" i="4" s="1"/>
  <c r="AA32" i="4" a="1"/>
  <c r="AA32" i="4" s="1"/>
  <c r="AD31" i="4" a="1"/>
  <c r="AD31" i="4" s="1"/>
  <c r="X30" i="4" a="1"/>
  <c r="X30" i="4" s="1"/>
  <c r="Y26" i="4" a="1"/>
  <c r="Y26" i="4" s="1"/>
  <c r="AB25" i="4" a="1"/>
  <c r="AB25" i="4" s="1"/>
  <c r="Z21" i="4" a="1"/>
  <c r="Z21" i="4" s="1"/>
  <c r="AB20" i="4" a="1"/>
  <c r="AB20" i="4" s="1"/>
  <c r="AC19" i="4" a="1"/>
  <c r="AC19" i="4" s="1"/>
  <c r="X19" i="4" a="1"/>
  <c r="X19" i="4" s="1"/>
  <c r="AE18" i="4" a="1"/>
  <c r="AE18" i="4" s="1"/>
  <c r="X16" i="4" a="1"/>
  <c r="X16" i="4" s="1"/>
  <c r="AA15" i="4" a="1"/>
  <c r="AA15" i="4" s="1"/>
  <c r="Y14" i="4" a="1"/>
  <c r="Y14" i="4" s="1"/>
  <c r="AB13" i="4" a="1"/>
  <c r="AB13" i="4" s="1"/>
  <c r="AE12" i="4" a="1"/>
  <c r="AE12" i="4" s="1"/>
  <c r="Z12" i="4" a="1"/>
  <c r="Z12" i="4" s="1"/>
  <c r="AC11" i="4" a="1"/>
  <c r="AC11" i="4" s="1"/>
  <c r="AB58" i="4" a="1"/>
  <c r="AB58" i="4" s="1"/>
  <c r="Y56" i="4" a="1"/>
  <c r="Y56" i="4" s="1"/>
  <c r="Z55" i="4" a="1"/>
  <c r="Z55" i="4" s="1"/>
  <c r="AB54" i="4" a="1"/>
  <c r="AB54" i="4" s="1"/>
  <c r="AC53" i="4" a="1"/>
  <c r="AC53" i="4" s="1"/>
  <c r="AD52" i="4" a="1"/>
  <c r="AD52" i="4" s="1"/>
  <c r="X49" i="4" a="1"/>
  <c r="X49" i="4" s="1"/>
  <c r="Y48" i="4" a="1"/>
  <c r="Y48" i="4" s="1"/>
  <c r="Z47" i="4" a="1"/>
  <c r="Z47" i="4" s="1"/>
  <c r="AB46" i="4" a="1"/>
  <c r="AB46" i="4" s="1"/>
  <c r="AC45" i="4" a="1"/>
  <c r="AC45" i="4" s="1"/>
  <c r="AD44" i="4" a="1"/>
  <c r="AD44" i="4" s="1"/>
  <c r="X41" i="4" a="1"/>
  <c r="X41" i="4" s="1"/>
  <c r="Y40" i="4" a="1"/>
  <c r="Y40" i="4" s="1"/>
  <c r="Z39" i="4" a="1"/>
  <c r="Z39" i="4" s="1"/>
  <c r="AB38" i="4" a="1"/>
  <c r="AB38" i="4" s="1"/>
  <c r="AD37" i="4" a="1"/>
  <c r="AD37" i="4" s="1"/>
  <c r="X36" i="4" a="1"/>
  <c r="X36" i="4" s="1"/>
  <c r="Z32" i="4" a="1"/>
  <c r="Z32" i="4" s="1"/>
  <c r="AC31" i="4" a="1"/>
  <c r="AC31" i="4" s="1"/>
  <c r="AA25" i="4" a="1"/>
  <c r="AA25" i="4" s="1"/>
  <c r="AD24" i="4" a="1"/>
  <c r="AD24" i="4" s="1"/>
  <c r="Y24" i="4" a="1"/>
  <c r="Y24" i="4" s="1"/>
  <c r="AA23" i="4" a="1"/>
  <c r="AA23" i="4" s="1"/>
  <c r="AD22" i="4" a="1"/>
  <c r="AD22" i="4" s="1"/>
  <c r="Y22" i="4" a="1"/>
  <c r="Y22" i="4" s="1"/>
  <c r="AE21" i="4" a="1"/>
  <c r="AE21" i="4" s="1"/>
  <c r="AD18" i="4" a="1"/>
  <c r="AD18" i="4" s="1"/>
  <c r="Y18" i="4" a="1"/>
  <c r="Y18" i="4" s="1"/>
  <c r="AA17" i="4" a="1"/>
  <c r="AA17" i="4" s="1"/>
  <c r="AB16" i="4" a="1"/>
  <c r="AB16" i="4" s="1"/>
  <c r="AE15" i="4" a="1"/>
  <c r="AE15" i="4" s="1"/>
  <c r="Z15" i="4" a="1"/>
  <c r="Z15" i="4" s="1"/>
  <c r="AC14" i="4" a="1"/>
  <c r="AC14" i="4" s="1"/>
  <c r="AD12" i="4" a="1"/>
  <c r="AD12" i="4" s="1"/>
  <c r="X11" i="4" a="1"/>
  <c r="X11" i="4" s="1"/>
  <c r="AA10" i="4" a="1"/>
  <c r="AA10" i="4" s="1"/>
  <c r="X56" i="4" a="1"/>
  <c r="X56" i="4" s="1"/>
  <c r="Y55" i="4" a="1"/>
  <c r="Y55" i="4" s="1"/>
  <c r="Z54" i="4" a="1"/>
  <c r="Z54" i="4" s="1"/>
  <c r="AB53" i="4" a="1"/>
  <c r="AB53" i="4" s="1"/>
  <c r="AC52" i="4" a="1"/>
  <c r="AC52" i="4" s="1"/>
  <c r="AD51" i="4" a="1"/>
  <c r="AD51" i="4" s="1"/>
  <c r="X48" i="4" a="1"/>
  <c r="X48" i="4" s="1"/>
  <c r="Y47" i="4" a="1"/>
  <c r="Y47" i="4" s="1"/>
  <c r="Z46" i="4" a="1"/>
  <c r="Z46" i="4" s="1"/>
  <c r="AB45" i="4" a="1"/>
  <c r="AB45" i="4" s="1"/>
  <c r="AC44" i="4" a="1"/>
  <c r="AC44" i="4" s="1"/>
  <c r="AD43" i="4" a="1"/>
  <c r="AD43" i="4" s="1"/>
  <c r="X40" i="4" a="1"/>
  <c r="X40" i="4" s="1"/>
  <c r="Y39" i="4" a="1"/>
  <c r="Y39" i="4" s="1"/>
  <c r="Z38" i="4" a="1"/>
  <c r="Z38" i="4" s="1"/>
  <c r="AC37" i="4" a="1"/>
  <c r="AC37" i="4" s="1"/>
  <c r="AE33" i="4" a="1"/>
  <c r="AE33" i="4" s="1"/>
  <c r="Y32" i="4" a="1"/>
  <c r="Y32" i="4" s="1"/>
  <c r="AB31" i="4" a="1"/>
  <c r="AB31" i="4" s="1"/>
  <c r="AA28" i="4" a="1"/>
  <c r="AA28" i="4" s="1"/>
  <c r="Y27" i="4" a="1"/>
  <c r="Y27" i="4" s="1"/>
  <c r="X26" i="4" a="1"/>
  <c r="X26" i="4" s="1"/>
  <c r="X24" i="4" a="1"/>
  <c r="X24" i="4" s="1"/>
  <c r="AD21" i="4" a="1"/>
  <c r="AD21" i="4" s="1"/>
  <c r="Y21" i="4" a="1"/>
  <c r="Y21" i="4" s="1"/>
  <c r="Z20" i="4" a="1"/>
  <c r="Z20" i="4" s="1"/>
  <c r="AB19" i="4" a="1"/>
  <c r="AB19" i="4" s="1"/>
  <c r="AD15" i="4" a="1"/>
  <c r="AD15" i="4" s="1"/>
  <c r="X14" i="4" a="1"/>
  <c r="X14" i="4" s="1"/>
  <c r="AA13" i="4" a="1"/>
  <c r="AA13" i="4" s="1"/>
  <c r="Y12" i="4" a="1"/>
  <c r="Y12" i="4" s="1"/>
  <c r="AB11" i="4" a="1"/>
  <c r="AB11" i="4" s="1"/>
  <c r="AE10" i="4" a="1"/>
  <c r="AE10" i="4" s="1"/>
  <c r="Z10" i="4" a="1"/>
  <c r="Z10" i="4" s="1"/>
  <c r="X61" i="4" a="1"/>
  <c r="X61" i="4" s="1"/>
  <c r="AC57" i="4" a="1"/>
  <c r="AC57" i="4" s="1"/>
  <c r="X55" i="4" a="1"/>
  <c r="X55" i="4" s="1"/>
  <c r="Y54" i="4" a="1"/>
  <c r="Y54" i="4" s="1"/>
  <c r="Z53" i="4" a="1"/>
  <c r="Z53" i="4" s="1"/>
  <c r="AB52" i="4" a="1"/>
  <c r="AB52" i="4" s="1"/>
  <c r="AC51" i="4" a="1"/>
  <c r="AC51" i="4" s="1"/>
  <c r="AD50" i="4" a="1"/>
  <c r="AD50" i="4" s="1"/>
  <c r="X47" i="4" a="1"/>
  <c r="X47" i="4" s="1"/>
  <c r="Y46" i="4" a="1"/>
  <c r="Y46" i="4" s="1"/>
  <c r="Z45" i="4" a="1"/>
  <c r="Z45" i="4" s="1"/>
  <c r="AB44" i="4" a="1"/>
  <c r="AB44" i="4" s="1"/>
  <c r="AC43" i="4" a="1"/>
  <c r="AC43" i="4" s="1"/>
  <c r="AD42" i="4" a="1"/>
  <c r="AD42" i="4" s="1"/>
  <c r="X39" i="4" a="1"/>
  <c r="X39" i="4" s="1"/>
  <c r="Y38" i="4" a="1"/>
  <c r="Y38" i="4" s="1"/>
  <c r="AB37" i="4" a="1"/>
  <c r="AB37" i="4" s="1"/>
  <c r="AA34" i="4" a="1"/>
  <c r="AA34" i="4" s="1"/>
  <c r="AD33" i="4" a="1"/>
  <c r="AD33" i="4" s="1"/>
  <c r="X32" i="4" a="1"/>
  <c r="X32" i="4" s="1"/>
  <c r="AE27" i="4" a="1"/>
  <c r="AE27" i="4" s="1"/>
  <c r="AE25" i="4" a="1"/>
  <c r="AE25" i="4" s="1"/>
  <c r="Z25" i="4" a="1"/>
  <c r="Z25" i="4" s="1"/>
  <c r="AE23" i="4" a="1"/>
  <c r="AE23" i="4" s="1"/>
  <c r="Z23" i="4" a="1"/>
  <c r="Z23" i="4" s="1"/>
  <c r="AC22" i="4" a="1"/>
  <c r="AC22" i="4" s="1"/>
  <c r="X22" i="4" a="1"/>
  <c r="X22" i="4" s="1"/>
  <c r="AE20" i="4" a="1"/>
  <c r="AE20" i="4" s="1"/>
  <c r="AC18" i="4" a="1"/>
  <c r="AC18" i="4" s="1"/>
  <c r="X18" i="4" a="1"/>
  <c r="X18" i="4" s="1"/>
  <c r="AD17" i="4" a="1"/>
  <c r="AD17" i="4" s="1"/>
  <c r="Y17" i="4" a="1"/>
  <c r="Y17" i="4" s="1"/>
  <c r="AA16" i="4" a="1"/>
  <c r="AA16" i="4" s="1"/>
  <c r="Y15" i="4" a="1"/>
  <c r="Y15" i="4" s="1"/>
  <c r="AB14" i="4" a="1"/>
  <c r="AB14" i="4" s="1"/>
  <c r="AE13" i="4" a="1"/>
  <c r="AE13" i="4" s="1"/>
  <c r="Z13" i="4" a="1"/>
  <c r="Z13" i="4" s="1"/>
  <c r="AC12" i="4" a="1"/>
  <c r="AC12" i="4" s="1"/>
  <c r="AD10" i="4" a="1"/>
  <c r="AD10" i="4" s="1"/>
  <c r="AD60" i="4" a="1"/>
  <c r="AD60" i="4" s="1"/>
  <c r="Y57" i="4" a="1"/>
  <c r="Y57" i="4" s="1"/>
  <c r="X54" i="4" a="1"/>
  <c r="X54" i="4" s="1"/>
  <c r="Y53" i="4" a="1"/>
  <c r="Y53" i="4" s="1"/>
  <c r="Z52" i="4" a="1"/>
  <c r="Z52" i="4" s="1"/>
  <c r="AB51" i="4" a="1"/>
  <c r="AB51" i="4" s="1"/>
  <c r="AC50" i="4" a="1"/>
  <c r="AC50" i="4" s="1"/>
  <c r="AD49" i="4" a="1"/>
  <c r="AD49" i="4" s="1"/>
  <c r="X46" i="4" a="1"/>
  <c r="X46" i="4" s="1"/>
  <c r="Y45" i="4" a="1"/>
  <c r="Y45" i="4" s="1"/>
  <c r="Z44" i="4" a="1"/>
  <c r="Z44" i="4" s="1"/>
  <c r="AB43" i="4" a="1"/>
  <c r="AB43" i="4" s="1"/>
  <c r="AC42" i="4" a="1"/>
  <c r="AC42" i="4" s="1"/>
  <c r="AD41" i="4" a="1"/>
  <c r="AD41" i="4" s="1"/>
  <c r="X38" i="4" a="1"/>
  <c r="X38" i="4" s="1"/>
  <c r="Z34" i="4" a="1"/>
  <c r="Z34" i="4" s="1"/>
  <c r="AC33" i="4" a="1"/>
  <c r="AC33" i="4" s="1"/>
  <c r="AE29" i="4" a="1"/>
  <c r="AE29" i="4" s="1"/>
  <c r="Z28" i="4" a="1"/>
  <c r="Z28" i="4" s="1"/>
  <c r="AD27" i="4" a="1"/>
  <c r="AD27" i="4" s="1"/>
  <c r="AB26" i="4" a="1"/>
  <c r="AB26" i="4" s="1"/>
  <c r="Y25" i="4" a="1"/>
  <c r="Y25" i="4" s="1"/>
  <c r="AB24" i="4" a="1"/>
  <c r="AB24" i="4" s="1"/>
  <c r="AC21" i="4" a="1"/>
  <c r="AC21" i="4" s="1"/>
  <c r="AD20" i="4" a="1"/>
  <c r="AD20" i="4" s="1"/>
  <c r="Y20" i="4" a="1"/>
  <c r="Y20" i="4" s="1"/>
  <c r="AA19" i="4" a="1"/>
  <c r="AA19" i="4" s="1"/>
  <c r="Z16" i="4" a="1"/>
  <c r="Z16" i="4" s="1"/>
  <c r="AC15" i="4" a="1"/>
  <c r="AC15" i="4" s="1"/>
  <c r="AD13" i="4" a="1"/>
  <c r="AD13" i="4" s="1"/>
  <c r="X12" i="4" a="1"/>
  <c r="X12" i="4" s="1"/>
  <c r="AA11" i="4" a="1"/>
  <c r="AA11" i="4" s="1"/>
  <c r="Y10" i="4" a="1"/>
  <c r="Y10" i="4" s="1"/>
  <c r="AC6" i="1"/>
  <c r="AD6" i="1" s="1"/>
  <c r="AH16" i="9"/>
  <c r="C31" i="9" s="1"/>
  <c r="F59" i="4"/>
  <c r="AC15" i="1"/>
  <c r="AD15" i="1" s="1"/>
  <c r="F12" i="3"/>
  <c r="E36" i="4"/>
  <c r="H39" i="4"/>
  <c r="F40" i="4"/>
  <c r="D41" i="4"/>
  <c r="H47" i="4"/>
  <c r="F48" i="4"/>
  <c r="D49" i="4"/>
  <c r="H55" i="4"/>
  <c r="F56" i="4"/>
  <c r="D55" i="1"/>
  <c r="J29" i="4"/>
  <c r="E30" i="4"/>
  <c r="F33" i="4"/>
  <c r="G36" i="4"/>
  <c r="H40" i="4"/>
  <c r="F41" i="4"/>
  <c r="D42" i="4"/>
  <c r="H48" i="4"/>
  <c r="F49" i="4"/>
  <c r="D50" i="4"/>
  <c r="H56" i="4"/>
  <c r="S5" i="4"/>
  <c r="E28" i="4"/>
  <c r="G30" i="4"/>
  <c r="H33" i="4"/>
  <c r="I36" i="4"/>
  <c r="D37" i="4"/>
  <c r="H41" i="4"/>
  <c r="F42" i="4"/>
  <c r="D43" i="4"/>
  <c r="H49" i="4"/>
  <c r="F50" i="4"/>
  <c r="D51" i="4"/>
  <c r="H58" i="4"/>
  <c r="T5" i="4"/>
  <c r="G28" i="4"/>
  <c r="I30" i="4"/>
  <c r="D31" i="4"/>
  <c r="J33" i="4"/>
  <c r="E34" i="4"/>
  <c r="F37" i="4"/>
  <c r="H42" i="4"/>
  <c r="F43" i="4"/>
  <c r="D44" i="4"/>
  <c r="H50" i="4"/>
  <c r="F51" i="4"/>
  <c r="D52" i="4"/>
  <c r="H37" i="4"/>
  <c r="H43" i="4"/>
  <c r="F44" i="4"/>
  <c r="D45" i="4"/>
  <c r="H51" i="4"/>
  <c r="F52" i="4"/>
  <c r="D53" i="4"/>
  <c r="G49" i="1"/>
  <c r="G50" i="1"/>
  <c r="G51" i="1"/>
  <c r="G52" i="1"/>
  <c r="G53" i="1"/>
  <c r="G54" i="1"/>
  <c r="F226" i="4"/>
  <c r="F225" i="4"/>
  <c r="F224" i="4"/>
  <c r="F223" i="4"/>
  <c r="F222" i="4"/>
  <c r="F221" i="4"/>
  <c r="F220" i="4"/>
  <c r="F219" i="4"/>
  <c r="F218" i="4"/>
  <c r="F217" i="4"/>
  <c r="F216" i="4"/>
  <c r="F215" i="4"/>
  <c r="F214" i="4"/>
  <c r="F213" i="4"/>
  <c r="F212" i="4"/>
  <c r="F211" i="4"/>
  <c r="F210" i="4"/>
  <c r="E226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J226" i="4"/>
  <c r="J225" i="4"/>
  <c r="J224" i="4"/>
  <c r="J223" i="4"/>
  <c r="J222" i="4"/>
  <c r="J221" i="4"/>
  <c r="I226" i="4"/>
  <c r="H226" i="4"/>
  <c r="H225" i="4"/>
  <c r="H224" i="4"/>
  <c r="H223" i="4"/>
  <c r="H222" i="4"/>
  <c r="H221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I223" i="4"/>
  <c r="H219" i="4"/>
  <c r="I216" i="4"/>
  <c r="J213" i="4"/>
  <c r="J211" i="4"/>
  <c r="E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222" i="4"/>
  <c r="J218" i="4"/>
  <c r="H216" i="4"/>
  <c r="I213" i="4"/>
  <c r="I211" i="4"/>
  <c r="I221" i="4"/>
  <c r="I218" i="4"/>
  <c r="J215" i="4"/>
  <c r="H213" i="4"/>
  <c r="H211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J220" i="4"/>
  <c r="H218" i="4"/>
  <c r="I215" i="4"/>
  <c r="E213" i="4"/>
  <c r="E211" i="4"/>
  <c r="I220" i="4"/>
  <c r="J217" i="4"/>
  <c r="H215" i="4"/>
  <c r="J212" i="4"/>
  <c r="J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H220" i="4"/>
  <c r="I217" i="4"/>
  <c r="J214" i="4"/>
  <c r="I212" i="4"/>
  <c r="I210" i="4"/>
  <c r="I225" i="4"/>
  <c r="J219" i="4"/>
  <c r="H217" i="4"/>
  <c r="I214" i="4"/>
  <c r="J216" i="4"/>
  <c r="J206" i="4"/>
  <c r="H205" i="4"/>
  <c r="F204" i="4"/>
  <c r="D203" i="4"/>
  <c r="C202" i="4"/>
  <c r="J198" i="4"/>
  <c r="C196" i="4"/>
  <c r="F195" i="4"/>
  <c r="H194" i="4"/>
  <c r="C192" i="4"/>
  <c r="F191" i="4"/>
  <c r="H189" i="4"/>
  <c r="H214" i="4"/>
  <c r="J207" i="4"/>
  <c r="H206" i="4"/>
  <c r="F205" i="4"/>
  <c r="D204" i="4"/>
  <c r="C203" i="4"/>
  <c r="J199" i="4"/>
  <c r="H198" i="4"/>
  <c r="J197" i="4"/>
  <c r="H212" i="4"/>
  <c r="J208" i="4"/>
  <c r="H207" i="4"/>
  <c r="F206" i="4"/>
  <c r="D205" i="4"/>
  <c r="C204" i="4"/>
  <c r="J200" i="4"/>
  <c r="H199" i="4"/>
  <c r="F198" i="4"/>
  <c r="H197" i="4"/>
  <c r="C195" i="4"/>
  <c r="F194" i="4"/>
  <c r="H193" i="4"/>
  <c r="C191" i="4"/>
  <c r="I190" i="4"/>
  <c r="F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E212" i="4"/>
  <c r="J209" i="4"/>
  <c r="H208" i="4"/>
  <c r="F207" i="4"/>
  <c r="D206" i="4"/>
  <c r="C205" i="4"/>
  <c r="H210" i="4"/>
  <c r="H209" i="4"/>
  <c r="F208" i="4"/>
  <c r="D207" i="4"/>
  <c r="C206" i="4"/>
  <c r="J202" i="4"/>
  <c r="H201" i="4"/>
  <c r="F200" i="4"/>
  <c r="D199" i="4"/>
  <c r="C198" i="4"/>
  <c r="F197" i="4"/>
  <c r="H196" i="4"/>
  <c r="C194" i="4"/>
  <c r="F193" i="4"/>
  <c r="H192" i="4"/>
  <c r="G190" i="4"/>
  <c r="C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G210" i="4"/>
  <c r="F209" i="4"/>
  <c r="D208" i="4"/>
  <c r="C207" i="4"/>
  <c r="J203" i="4"/>
  <c r="H202" i="4"/>
  <c r="F201" i="4"/>
  <c r="D200" i="4"/>
  <c r="C199" i="4"/>
  <c r="D197" i="4"/>
  <c r="G196" i="4"/>
  <c r="J195" i="4"/>
  <c r="I224" i="4"/>
  <c r="D209" i="4"/>
  <c r="C208" i="4"/>
  <c r="J204" i="4"/>
  <c r="H203" i="4"/>
  <c r="F202" i="4"/>
  <c r="D201" i="4"/>
  <c r="C200" i="4"/>
  <c r="C197" i="4"/>
  <c r="F196" i="4"/>
  <c r="H195" i="4"/>
  <c r="C193" i="4"/>
  <c r="F192" i="4"/>
  <c r="H191" i="4"/>
  <c r="D190" i="4"/>
  <c r="J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I219" i="4"/>
  <c r="C209" i="4"/>
  <c r="J205" i="4"/>
  <c r="F203" i="4"/>
  <c r="H200" i="4"/>
  <c r="D198" i="4"/>
  <c r="J196" i="4"/>
  <c r="D195" i="4"/>
  <c r="D193" i="4"/>
  <c r="G192" i="4"/>
  <c r="J191" i="4"/>
  <c r="H188" i="4"/>
  <c r="F187" i="4"/>
  <c r="E186" i="4"/>
  <c r="D185" i="4"/>
  <c r="J181" i="4"/>
  <c r="H180" i="4"/>
  <c r="F179" i="4"/>
  <c r="E178" i="4"/>
  <c r="D177" i="4"/>
  <c r="J173" i="4"/>
  <c r="D171" i="4"/>
  <c r="F170" i="4"/>
  <c r="H169" i="4"/>
  <c r="D167" i="4"/>
  <c r="F166" i="4"/>
  <c r="H165" i="4"/>
  <c r="D196" i="4"/>
  <c r="D192" i="4"/>
  <c r="G191" i="4"/>
  <c r="F188" i="4"/>
  <c r="E187" i="4"/>
  <c r="D186" i="4"/>
  <c r="J182" i="4"/>
  <c r="H181" i="4"/>
  <c r="F180" i="4"/>
  <c r="E179" i="4"/>
  <c r="D178" i="4"/>
  <c r="J174" i="4"/>
  <c r="H173" i="4"/>
  <c r="J172" i="4"/>
  <c r="E170" i="4"/>
  <c r="G169" i="4"/>
  <c r="J168" i="4"/>
  <c r="E166" i="4"/>
  <c r="G165" i="4"/>
  <c r="J164" i="4"/>
  <c r="E162" i="4"/>
  <c r="G161" i="4"/>
  <c r="J160" i="4"/>
  <c r="E158" i="4"/>
  <c r="G157" i="4"/>
  <c r="J156" i="4"/>
  <c r="D202" i="4"/>
  <c r="D191" i="4"/>
  <c r="J190" i="4"/>
  <c r="E188" i="4"/>
  <c r="D187" i="4"/>
  <c r="J183" i="4"/>
  <c r="H182" i="4"/>
  <c r="F181" i="4"/>
  <c r="E180" i="4"/>
  <c r="D179" i="4"/>
  <c r="J175" i="4"/>
  <c r="H174" i="4"/>
  <c r="F173" i="4"/>
  <c r="H172" i="4"/>
  <c r="D170" i="4"/>
  <c r="F169" i="4"/>
  <c r="H168" i="4"/>
  <c r="H190" i="4"/>
  <c r="D188" i="4"/>
  <c r="J184" i="4"/>
  <c r="H183" i="4"/>
  <c r="F182" i="4"/>
  <c r="E181" i="4"/>
  <c r="D180" i="4"/>
  <c r="J176" i="4"/>
  <c r="H175" i="4"/>
  <c r="F174" i="4"/>
  <c r="E173" i="4"/>
  <c r="G172" i="4"/>
  <c r="J171" i="4"/>
  <c r="E169" i="4"/>
  <c r="G168" i="4"/>
  <c r="J167" i="4"/>
  <c r="E165" i="4"/>
  <c r="G164" i="4"/>
  <c r="J163" i="4"/>
  <c r="E161" i="4"/>
  <c r="G160" i="4"/>
  <c r="J159" i="4"/>
  <c r="E157" i="4"/>
  <c r="J201" i="4"/>
  <c r="F199" i="4"/>
  <c r="G197" i="4"/>
  <c r="F190" i="4"/>
  <c r="J185" i="4"/>
  <c r="H184" i="4"/>
  <c r="F183" i="4"/>
  <c r="E182" i="4"/>
  <c r="D181" i="4"/>
  <c r="J177" i="4"/>
  <c r="H176" i="4"/>
  <c r="F175" i="4"/>
  <c r="E174" i="4"/>
  <c r="D173" i="4"/>
  <c r="F172" i="4"/>
  <c r="H171" i="4"/>
  <c r="D169" i="4"/>
  <c r="F168" i="4"/>
  <c r="H167" i="4"/>
  <c r="D165" i="4"/>
  <c r="C201" i="4"/>
  <c r="J194" i="4"/>
  <c r="C190" i="4"/>
  <c r="I189" i="4"/>
  <c r="J186" i="4"/>
  <c r="H185" i="4"/>
  <c r="F184" i="4"/>
  <c r="E183" i="4"/>
  <c r="D182" i="4"/>
  <c r="J178" i="4"/>
  <c r="H177" i="4"/>
  <c r="F176" i="4"/>
  <c r="E175" i="4"/>
  <c r="D174" i="4"/>
  <c r="E172" i="4"/>
  <c r="G171" i="4"/>
  <c r="J170" i="4"/>
  <c r="E168" i="4"/>
  <c r="G167" i="4"/>
  <c r="J166" i="4"/>
  <c r="E164" i="4"/>
  <c r="G163" i="4"/>
  <c r="J162" i="4"/>
  <c r="E160" i="4"/>
  <c r="G159" i="4"/>
  <c r="J158" i="4"/>
  <c r="E156" i="4"/>
  <c r="G155" i="4"/>
  <c r="J154" i="4"/>
  <c r="H204" i="4"/>
  <c r="G194" i="4"/>
  <c r="J193" i="4"/>
  <c r="G189" i="4"/>
  <c r="J187" i="4"/>
  <c r="H186" i="4"/>
  <c r="F185" i="4"/>
  <c r="E184" i="4"/>
  <c r="D183" i="4"/>
  <c r="J179" i="4"/>
  <c r="H178" i="4"/>
  <c r="F177" i="4"/>
  <c r="E176" i="4"/>
  <c r="D175" i="4"/>
  <c r="D172" i="4"/>
  <c r="F171" i="4"/>
  <c r="H170" i="4"/>
  <c r="D168" i="4"/>
  <c r="F167" i="4"/>
  <c r="H166" i="4"/>
  <c r="G195" i="4"/>
  <c r="D194" i="4"/>
  <c r="G193" i="4"/>
  <c r="J192" i="4"/>
  <c r="D189" i="4"/>
  <c r="J188" i="4"/>
  <c r="H187" i="4"/>
  <c r="F186" i="4"/>
  <c r="E185" i="4"/>
  <c r="D184" i="4"/>
  <c r="J180" i="4"/>
  <c r="H179" i="4"/>
  <c r="F178" i="4"/>
  <c r="E177" i="4"/>
  <c r="D176" i="4"/>
  <c r="E171" i="4"/>
  <c r="G170" i="4"/>
  <c r="J169" i="4"/>
  <c r="E167" i="4"/>
  <c r="G166" i="4"/>
  <c r="J165" i="4"/>
  <c r="E163" i="4"/>
  <c r="G162" i="4"/>
  <c r="J161" i="4"/>
  <c r="E159" i="4"/>
  <c r="G158" i="4"/>
  <c r="J157" i="4"/>
  <c r="E155" i="4"/>
  <c r="G154" i="4"/>
  <c r="J153" i="4"/>
  <c r="E151" i="4"/>
  <c r="G150" i="4"/>
  <c r="F164" i="4"/>
  <c r="H163" i="4"/>
  <c r="D157" i="4"/>
  <c r="G156" i="4"/>
  <c r="F154" i="4"/>
  <c r="D153" i="4"/>
  <c r="D152" i="4"/>
  <c r="G149" i="4"/>
  <c r="D148" i="4"/>
  <c r="D164" i="4"/>
  <c r="F163" i="4"/>
  <c r="H162" i="4"/>
  <c r="F156" i="4"/>
  <c r="E154" i="4"/>
  <c r="F149" i="4"/>
  <c r="H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F165" i="4"/>
  <c r="D163" i="4"/>
  <c r="F162" i="4"/>
  <c r="H161" i="4"/>
  <c r="D156" i="4"/>
  <c r="J155" i="4"/>
  <c r="D154" i="4"/>
  <c r="E149" i="4"/>
  <c r="J148" i="4"/>
  <c r="G147" i="4"/>
  <c r="D162" i="4"/>
  <c r="F161" i="4"/>
  <c r="H160" i="4"/>
  <c r="D161" i="4"/>
  <c r="F160" i="4"/>
  <c r="H159" i="4"/>
  <c r="D160" i="4"/>
  <c r="F159" i="4"/>
  <c r="H158" i="4"/>
  <c r="D155" i="4"/>
  <c r="G153" i="4"/>
  <c r="G152" i="4"/>
  <c r="G151" i="4"/>
  <c r="F150" i="4"/>
  <c r="J149" i="4"/>
  <c r="G148" i="4"/>
  <c r="D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D166" i="4"/>
  <c r="H164" i="4"/>
  <c r="D158" i="4"/>
  <c r="H157" i="4"/>
  <c r="F155" i="4"/>
  <c r="H148" i="4"/>
  <c r="D145" i="4"/>
  <c r="F144" i="4"/>
  <c r="I143" i="4"/>
  <c r="D141" i="4"/>
  <c r="F140" i="4"/>
  <c r="I139" i="4"/>
  <c r="D137" i="4"/>
  <c r="F136" i="4"/>
  <c r="I135" i="4"/>
  <c r="D133" i="4"/>
  <c r="F132" i="4"/>
  <c r="I131" i="4"/>
  <c r="D129" i="4"/>
  <c r="G128" i="4"/>
  <c r="F127" i="4"/>
  <c r="F126" i="4"/>
  <c r="F157" i="4"/>
  <c r="F148" i="4"/>
  <c r="J146" i="4"/>
  <c r="E144" i="4"/>
  <c r="H143" i="4"/>
  <c r="J142" i="4"/>
  <c r="E140" i="4"/>
  <c r="H139" i="4"/>
  <c r="J138" i="4"/>
  <c r="E136" i="4"/>
  <c r="H135" i="4"/>
  <c r="J134" i="4"/>
  <c r="E132" i="4"/>
  <c r="H131" i="4"/>
  <c r="J130" i="4"/>
  <c r="E148" i="4"/>
  <c r="J147" i="4"/>
  <c r="I146" i="4"/>
  <c r="D144" i="4"/>
  <c r="F143" i="4"/>
  <c r="I142" i="4"/>
  <c r="D140" i="4"/>
  <c r="F139" i="4"/>
  <c r="I138" i="4"/>
  <c r="D136" i="4"/>
  <c r="F135" i="4"/>
  <c r="I134" i="4"/>
  <c r="D132" i="4"/>
  <c r="F131" i="4"/>
  <c r="I130" i="4"/>
  <c r="E128" i="4"/>
  <c r="H156" i="4"/>
  <c r="J152" i="4"/>
  <c r="J151" i="4"/>
  <c r="J150" i="4"/>
  <c r="I147" i="4"/>
  <c r="H146" i="4"/>
  <c r="J145" i="4"/>
  <c r="E143" i="4"/>
  <c r="H142" i="4"/>
  <c r="J141" i="4"/>
  <c r="E139" i="4"/>
  <c r="H138" i="4"/>
  <c r="J137" i="4"/>
  <c r="E135" i="4"/>
  <c r="H134" i="4"/>
  <c r="J133" i="4"/>
  <c r="H153" i="4"/>
  <c r="H152" i="4"/>
  <c r="H151" i="4"/>
  <c r="H150" i="4"/>
  <c r="F147" i="4"/>
  <c r="F146" i="4"/>
  <c r="I145" i="4"/>
  <c r="D143" i="4"/>
  <c r="F142" i="4"/>
  <c r="I141" i="4"/>
  <c r="D139" i="4"/>
  <c r="F138" i="4"/>
  <c r="I137" i="4"/>
  <c r="D135" i="4"/>
  <c r="F134" i="4"/>
  <c r="I133" i="4"/>
  <c r="F153" i="4"/>
  <c r="F152" i="4"/>
  <c r="F151" i="4"/>
  <c r="E150" i="4"/>
  <c r="I149" i="4"/>
  <c r="E147" i="4"/>
  <c r="E146" i="4"/>
  <c r="H145" i="4"/>
  <c r="J144" i="4"/>
  <c r="E142" i="4"/>
  <c r="H141" i="4"/>
  <c r="J140" i="4"/>
  <c r="E138" i="4"/>
  <c r="H137" i="4"/>
  <c r="J136" i="4"/>
  <c r="E134" i="4"/>
  <c r="H133" i="4"/>
  <c r="J132" i="4"/>
  <c r="E130" i="4"/>
  <c r="D159" i="4"/>
  <c r="H154" i="4"/>
  <c r="E153" i="4"/>
  <c r="E152" i="4"/>
  <c r="D151" i="4"/>
  <c r="D150" i="4"/>
  <c r="H149" i="4"/>
  <c r="D146" i="4"/>
  <c r="F145" i="4"/>
  <c r="I144" i="4"/>
  <c r="D142" i="4"/>
  <c r="F141" i="4"/>
  <c r="I140" i="4"/>
  <c r="D138" i="4"/>
  <c r="F137" i="4"/>
  <c r="I136" i="4"/>
  <c r="D134" i="4"/>
  <c r="F133" i="4"/>
  <c r="F158" i="4"/>
  <c r="H155" i="4"/>
  <c r="D149" i="4"/>
  <c r="I148" i="4"/>
  <c r="E145" i="4"/>
  <c r="H144" i="4"/>
  <c r="J143" i="4"/>
  <c r="E141" i="4"/>
  <c r="H140" i="4"/>
  <c r="J139" i="4"/>
  <c r="E137" i="4"/>
  <c r="H136" i="4"/>
  <c r="J135" i="4"/>
  <c r="E133" i="4"/>
  <c r="H132" i="4"/>
  <c r="J131" i="4"/>
  <c r="E129" i="4"/>
  <c r="H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J129" i="4"/>
  <c r="J127" i="4"/>
  <c r="E125" i="4"/>
  <c r="H123" i="4"/>
  <c r="D122" i="4"/>
  <c r="J121" i="4"/>
  <c r="F120" i="4"/>
  <c r="C119" i="4"/>
  <c r="I118" i="4"/>
  <c r="E117" i="4"/>
  <c r="H115" i="4"/>
  <c r="D114" i="4"/>
  <c r="J113" i="4"/>
  <c r="F112" i="4"/>
  <c r="C111" i="4"/>
  <c r="I110" i="4"/>
  <c r="E109" i="4"/>
  <c r="H107" i="4"/>
  <c r="D106" i="4"/>
  <c r="J105" i="4"/>
  <c r="F104" i="4"/>
  <c r="C103" i="4"/>
  <c r="I102" i="4"/>
  <c r="E101" i="4"/>
  <c r="H99" i="4"/>
  <c r="D98" i="4"/>
  <c r="J97" i="4"/>
  <c r="H130" i="4"/>
  <c r="I129" i="4"/>
  <c r="I127" i="4"/>
  <c r="D125" i="4"/>
  <c r="J124" i="4"/>
  <c r="F123" i="4"/>
  <c r="C122" i="4"/>
  <c r="I121" i="4"/>
  <c r="E120" i="4"/>
  <c r="H118" i="4"/>
  <c r="D117" i="4"/>
  <c r="J116" i="4"/>
  <c r="F115" i="4"/>
  <c r="C114" i="4"/>
  <c r="I113" i="4"/>
  <c r="E112" i="4"/>
  <c r="H110" i="4"/>
  <c r="D109" i="4"/>
  <c r="J108" i="4"/>
  <c r="F107" i="4"/>
  <c r="C106" i="4"/>
  <c r="I105" i="4"/>
  <c r="E104" i="4"/>
  <c r="H102" i="4"/>
  <c r="D101" i="4"/>
  <c r="J100" i="4"/>
  <c r="F99" i="4"/>
  <c r="C98" i="4"/>
  <c r="I97" i="4"/>
  <c r="E96" i="4"/>
  <c r="H94" i="4"/>
  <c r="F130" i="4"/>
  <c r="H129" i="4"/>
  <c r="J128" i="4"/>
  <c r="H127" i="4"/>
  <c r="J126" i="4"/>
  <c r="C125" i="4"/>
  <c r="I124" i="4"/>
  <c r="E123" i="4"/>
  <c r="H121" i="4"/>
  <c r="D120" i="4"/>
  <c r="J119" i="4"/>
  <c r="F118" i="4"/>
  <c r="C117" i="4"/>
  <c r="I116" i="4"/>
  <c r="E115" i="4"/>
  <c r="H113" i="4"/>
  <c r="D112" i="4"/>
  <c r="J111" i="4"/>
  <c r="F110" i="4"/>
  <c r="C109" i="4"/>
  <c r="I108" i="4"/>
  <c r="E107" i="4"/>
  <c r="H105" i="4"/>
  <c r="D104" i="4"/>
  <c r="J103" i="4"/>
  <c r="F102" i="4"/>
  <c r="C101" i="4"/>
  <c r="I100" i="4"/>
  <c r="E99" i="4"/>
  <c r="H97" i="4"/>
  <c r="D96" i="4"/>
  <c r="J95" i="4"/>
  <c r="E131" i="4"/>
  <c r="D130" i="4"/>
  <c r="F129" i="4"/>
  <c r="I128" i="4"/>
  <c r="E127" i="4"/>
  <c r="I126" i="4"/>
  <c r="H124" i="4"/>
  <c r="D123" i="4"/>
  <c r="J122" i="4"/>
  <c r="F121" i="4"/>
  <c r="C120" i="4"/>
  <c r="I119" i="4"/>
  <c r="E118" i="4"/>
  <c r="H116" i="4"/>
  <c r="D115" i="4"/>
  <c r="J114" i="4"/>
  <c r="F113" i="4"/>
  <c r="C112" i="4"/>
  <c r="I111" i="4"/>
  <c r="E110" i="4"/>
  <c r="H108" i="4"/>
  <c r="D107" i="4"/>
  <c r="J106" i="4"/>
  <c r="F105" i="4"/>
  <c r="C104" i="4"/>
  <c r="I103" i="4"/>
  <c r="E102" i="4"/>
  <c r="H100" i="4"/>
  <c r="D99" i="4"/>
  <c r="J98" i="4"/>
  <c r="F97" i="4"/>
  <c r="C96" i="4"/>
  <c r="I95" i="4"/>
  <c r="E94" i="4"/>
  <c r="D131" i="4"/>
  <c r="F128" i="4"/>
  <c r="D127" i="4"/>
  <c r="H126" i="4"/>
  <c r="J125" i="4"/>
  <c r="F124" i="4"/>
  <c r="C123" i="4"/>
  <c r="I122" i="4"/>
  <c r="E121" i="4"/>
  <c r="H119" i="4"/>
  <c r="D118" i="4"/>
  <c r="J117" i="4"/>
  <c r="F116" i="4"/>
  <c r="C115" i="4"/>
  <c r="I114" i="4"/>
  <c r="E113" i="4"/>
  <c r="H111" i="4"/>
  <c r="D110" i="4"/>
  <c r="J109" i="4"/>
  <c r="F108" i="4"/>
  <c r="C107" i="4"/>
  <c r="I106" i="4"/>
  <c r="E105" i="4"/>
  <c r="H103" i="4"/>
  <c r="D102" i="4"/>
  <c r="J101" i="4"/>
  <c r="F100" i="4"/>
  <c r="C99" i="4"/>
  <c r="I98" i="4"/>
  <c r="E97" i="4"/>
  <c r="D128" i="4"/>
  <c r="C127" i="4"/>
  <c r="E126" i="4"/>
  <c r="I125" i="4"/>
  <c r="E124" i="4"/>
  <c r="H122" i="4"/>
  <c r="D121" i="4"/>
  <c r="J120" i="4"/>
  <c r="F119" i="4"/>
  <c r="C118" i="4"/>
  <c r="I117" i="4"/>
  <c r="E116" i="4"/>
  <c r="H114" i="4"/>
  <c r="D113" i="4"/>
  <c r="J112" i="4"/>
  <c r="F111" i="4"/>
  <c r="C110" i="4"/>
  <c r="I109" i="4"/>
  <c r="E108" i="4"/>
  <c r="H106" i="4"/>
  <c r="D105" i="4"/>
  <c r="J104" i="4"/>
  <c r="F103" i="4"/>
  <c r="C102" i="4"/>
  <c r="I101" i="4"/>
  <c r="E100" i="4"/>
  <c r="I132" i="4"/>
  <c r="D126" i="4"/>
  <c r="H125" i="4"/>
  <c r="D124" i="4"/>
  <c r="J123" i="4"/>
  <c r="F122" i="4"/>
  <c r="C121" i="4"/>
  <c r="I120" i="4"/>
  <c r="E119" i="4"/>
  <c r="H117" i="4"/>
  <c r="D116" i="4"/>
  <c r="J115" i="4"/>
  <c r="F114" i="4"/>
  <c r="C113" i="4"/>
  <c r="I112" i="4"/>
  <c r="E111" i="4"/>
  <c r="H109" i="4"/>
  <c r="D108" i="4"/>
  <c r="J107" i="4"/>
  <c r="F106" i="4"/>
  <c r="C105" i="4"/>
  <c r="I104" i="4"/>
  <c r="E103" i="4"/>
  <c r="H101" i="4"/>
  <c r="D100" i="4"/>
  <c r="J99" i="4"/>
  <c r="C126" i="4"/>
  <c r="F125" i="4"/>
  <c r="C124" i="4"/>
  <c r="I123" i="4"/>
  <c r="E122" i="4"/>
  <c r="H120" i="4"/>
  <c r="D119" i="4"/>
  <c r="J118" i="4"/>
  <c r="F117" i="4"/>
  <c r="C116" i="4"/>
  <c r="I115" i="4"/>
  <c r="E114" i="4"/>
  <c r="H112" i="4"/>
  <c r="D111" i="4"/>
  <c r="J110" i="4"/>
  <c r="F109" i="4"/>
  <c r="C108" i="4"/>
  <c r="I107" i="4"/>
  <c r="E106" i="4"/>
  <c r="H104" i="4"/>
  <c r="D103" i="4"/>
  <c r="J102" i="4"/>
  <c r="F101" i="4"/>
  <c r="C100" i="4"/>
  <c r="I99" i="4"/>
  <c r="E98" i="4"/>
  <c r="H96" i="4"/>
  <c r="F98" i="4"/>
  <c r="F95" i="4"/>
  <c r="C94" i="4"/>
  <c r="F93" i="4"/>
  <c r="C92" i="4"/>
  <c r="I91" i="4"/>
  <c r="E90" i="4"/>
  <c r="E95" i="4"/>
  <c r="E93" i="4"/>
  <c r="H91" i="4"/>
  <c r="D90" i="4"/>
  <c r="J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D95" i="4"/>
  <c r="D93" i="4"/>
  <c r="J92" i="4"/>
  <c r="F91" i="4"/>
  <c r="C90" i="4"/>
  <c r="I89" i="4"/>
  <c r="H88" i="4"/>
  <c r="H87" i="4"/>
  <c r="H86" i="4"/>
  <c r="J96" i="4"/>
  <c r="C95" i="4"/>
  <c r="C93" i="4"/>
  <c r="I92" i="4"/>
  <c r="I96" i="4"/>
  <c r="J94" i="4"/>
  <c r="D97" i="4"/>
  <c r="F96" i="4"/>
  <c r="I94" i="4"/>
  <c r="J93" i="4"/>
  <c r="F92" i="4"/>
  <c r="C91" i="4"/>
  <c r="I90" i="4"/>
  <c r="C97" i="4"/>
  <c r="F94" i="4"/>
  <c r="I93" i="4"/>
  <c r="H98" i="4"/>
  <c r="H95" i="4"/>
  <c r="D94" i="4"/>
  <c r="H93" i="4"/>
  <c r="D92" i="4"/>
  <c r="J91" i="4"/>
  <c r="F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" i="4"/>
  <c r="H92" i="4"/>
  <c r="E91" i="4"/>
  <c r="H90" i="4"/>
  <c r="H89" i="4"/>
  <c r="D88" i="4"/>
  <c r="E84" i="4"/>
  <c r="G83" i="4"/>
  <c r="J82" i="4"/>
  <c r="E80" i="4"/>
  <c r="G79" i="4"/>
  <c r="J78" i="4"/>
  <c r="E76" i="4"/>
  <c r="G75" i="4"/>
  <c r="J74" i="4"/>
  <c r="E72" i="4"/>
  <c r="G71" i="4"/>
  <c r="J70" i="4"/>
  <c r="E68" i="4"/>
  <c r="G67" i="4"/>
  <c r="J66" i="4"/>
  <c r="E64" i="4"/>
  <c r="G63" i="4"/>
  <c r="J62" i="4"/>
  <c r="E60" i="4"/>
  <c r="G59" i="4"/>
  <c r="J58" i="4"/>
  <c r="E56" i="4"/>
  <c r="G55" i="4"/>
  <c r="J54" i="4"/>
  <c r="E52" i="4"/>
  <c r="G51" i="4"/>
  <c r="J50" i="4"/>
  <c r="E48" i="4"/>
  <c r="G47" i="4"/>
  <c r="J46" i="4"/>
  <c r="E44" i="4"/>
  <c r="G43" i="4"/>
  <c r="J42" i="4"/>
  <c r="E40" i="4"/>
  <c r="G39" i="4"/>
  <c r="J38" i="4"/>
  <c r="G37" i="4"/>
  <c r="D36" i="4"/>
  <c r="I35" i="4"/>
  <c r="F34" i="4"/>
  <c r="H32" i="4"/>
  <c r="E31" i="4"/>
  <c r="J30" i="4"/>
  <c r="G29" i="4"/>
  <c r="D28" i="4"/>
  <c r="I27" i="4"/>
  <c r="E92" i="4"/>
  <c r="D91" i="4"/>
  <c r="F89" i="4"/>
  <c r="D84" i="4"/>
  <c r="F83" i="4"/>
  <c r="H82" i="4"/>
  <c r="D80" i="4"/>
  <c r="F79" i="4"/>
  <c r="H78" i="4"/>
  <c r="D76" i="4"/>
  <c r="F75" i="4"/>
  <c r="H74" i="4"/>
  <c r="D72" i="4"/>
  <c r="F71" i="4"/>
  <c r="H70" i="4"/>
  <c r="D68" i="4"/>
  <c r="F67" i="4"/>
  <c r="H66" i="4"/>
  <c r="D64" i="4"/>
  <c r="F63" i="4"/>
  <c r="H62" i="4"/>
  <c r="E89" i="4"/>
  <c r="J86" i="4"/>
  <c r="J85" i="4"/>
  <c r="E83" i="4"/>
  <c r="G82" i="4"/>
  <c r="J81" i="4"/>
  <c r="E79" i="4"/>
  <c r="G78" i="4"/>
  <c r="J77" i="4"/>
  <c r="E75" i="4"/>
  <c r="G74" i="4"/>
  <c r="J73" i="4"/>
  <c r="E71" i="4"/>
  <c r="G70" i="4"/>
  <c r="J69" i="4"/>
  <c r="E67" i="4"/>
  <c r="G66" i="4"/>
  <c r="J65" i="4"/>
  <c r="E63" i="4"/>
  <c r="G62" i="4"/>
  <c r="J61" i="4"/>
  <c r="E59" i="4"/>
  <c r="G58" i="4"/>
  <c r="J57" i="4"/>
  <c r="E55" i="4"/>
  <c r="G54" i="4"/>
  <c r="J53" i="4"/>
  <c r="E51" i="4"/>
  <c r="G50" i="4"/>
  <c r="J49" i="4"/>
  <c r="E47" i="4"/>
  <c r="G46" i="4"/>
  <c r="J45" i="4"/>
  <c r="E43" i="4"/>
  <c r="G42" i="4"/>
  <c r="J41" i="4"/>
  <c r="E39" i="4"/>
  <c r="H38" i="4"/>
  <c r="E37" i="4"/>
  <c r="J36" i="4"/>
  <c r="G35" i="4"/>
  <c r="D34" i="4"/>
  <c r="I33" i="4"/>
  <c r="F32" i="4"/>
  <c r="H30" i="4"/>
  <c r="E29" i="4"/>
  <c r="J28" i="4"/>
  <c r="G27" i="4"/>
  <c r="D89" i="4"/>
  <c r="J87" i="4"/>
  <c r="G86" i="4"/>
  <c r="H85" i="4"/>
  <c r="D83" i="4"/>
  <c r="F82" i="4"/>
  <c r="H81" i="4"/>
  <c r="D79" i="4"/>
  <c r="F78" i="4"/>
  <c r="H77" i="4"/>
  <c r="D75" i="4"/>
  <c r="F74" i="4"/>
  <c r="H73" i="4"/>
  <c r="D71" i="4"/>
  <c r="F70" i="4"/>
  <c r="H69" i="4"/>
  <c r="D67" i="4"/>
  <c r="F66" i="4"/>
  <c r="H65" i="4"/>
  <c r="D63" i="4"/>
  <c r="F62" i="4"/>
  <c r="H61" i="4"/>
  <c r="D59" i="4"/>
  <c r="F58" i="4"/>
  <c r="H57" i="4"/>
  <c r="J88" i="4"/>
  <c r="G87" i="4"/>
  <c r="F86" i="4"/>
  <c r="G85" i="4"/>
  <c r="J84" i="4"/>
  <c r="E82" i="4"/>
  <c r="G81" i="4"/>
  <c r="J80" i="4"/>
  <c r="E78" i="4"/>
  <c r="G77" i="4"/>
  <c r="J76" i="4"/>
  <c r="E74" i="4"/>
  <c r="G73" i="4"/>
  <c r="J72" i="4"/>
  <c r="E70" i="4"/>
  <c r="G69" i="4"/>
  <c r="J68" i="4"/>
  <c r="E66" i="4"/>
  <c r="G65" i="4"/>
  <c r="J64" i="4"/>
  <c r="E62" i="4"/>
  <c r="G61" i="4"/>
  <c r="J60" i="4"/>
  <c r="E58" i="4"/>
  <c r="G57" i="4"/>
  <c r="J56" i="4"/>
  <c r="E54" i="4"/>
  <c r="G53" i="4"/>
  <c r="J52" i="4"/>
  <c r="E50" i="4"/>
  <c r="G49" i="4"/>
  <c r="J48" i="4"/>
  <c r="E46" i="4"/>
  <c r="G45" i="4"/>
  <c r="J44" i="4"/>
  <c r="E42" i="4"/>
  <c r="G41" i="4"/>
  <c r="J40" i="4"/>
  <c r="F38" i="4"/>
  <c r="H36" i="4"/>
  <c r="E35" i="4"/>
  <c r="J34" i="4"/>
  <c r="G33" i="4"/>
  <c r="D32" i="4"/>
  <c r="I31" i="4"/>
  <c r="F30" i="4"/>
  <c r="G88" i="4"/>
  <c r="F87" i="4"/>
  <c r="E86" i="4"/>
  <c r="F85" i="4"/>
  <c r="H84" i="4"/>
  <c r="D82" i="4"/>
  <c r="F81" i="4"/>
  <c r="H80" i="4"/>
  <c r="D78" i="4"/>
  <c r="F77" i="4"/>
  <c r="H76" i="4"/>
  <c r="D74" i="4"/>
  <c r="F73" i="4"/>
  <c r="H72" i="4"/>
  <c r="D70" i="4"/>
  <c r="F69" i="4"/>
  <c r="H68" i="4"/>
  <c r="D66" i="4"/>
  <c r="F65" i="4"/>
  <c r="H64" i="4"/>
  <c r="D62" i="4"/>
  <c r="F61" i="4"/>
  <c r="H60" i="4"/>
  <c r="D58" i="4"/>
  <c r="F57" i="4"/>
  <c r="F88" i="4"/>
  <c r="E87" i="4"/>
  <c r="D86" i="4"/>
  <c r="E85" i="4"/>
  <c r="J83" i="4"/>
  <c r="E81" i="4"/>
  <c r="G80" i="4"/>
  <c r="J79" i="4"/>
  <c r="E77" i="4"/>
  <c r="G76" i="4"/>
  <c r="J75" i="4"/>
  <c r="E73" i="4"/>
  <c r="G72" i="4"/>
  <c r="J71" i="4"/>
  <c r="E69" i="4"/>
  <c r="G68" i="4"/>
  <c r="J67" i="4"/>
  <c r="E65" i="4"/>
  <c r="G64" i="4"/>
  <c r="J63" i="4"/>
  <c r="E61" i="4"/>
  <c r="G60" i="4"/>
  <c r="J59" i="4"/>
  <c r="E57" i="4"/>
  <c r="G56" i="4"/>
  <c r="J55" i="4"/>
  <c r="E53" i="4"/>
  <c r="G52" i="4"/>
  <c r="J51" i="4"/>
  <c r="E49" i="4"/>
  <c r="G48" i="4"/>
  <c r="J47" i="4"/>
  <c r="E45" i="4"/>
  <c r="G44" i="4"/>
  <c r="J43" i="4"/>
  <c r="E41" i="4"/>
  <c r="G40" i="4"/>
  <c r="J39" i="4"/>
  <c r="D38" i="4"/>
  <c r="I37" i="4"/>
  <c r="F36" i="4"/>
  <c r="H34" i="4"/>
  <c r="E33" i="4"/>
  <c r="J32" i="4"/>
  <c r="G31" i="4"/>
  <c r="D30" i="4"/>
  <c r="I29" i="4"/>
  <c r="F28" i="4"/>
  <c r="J90" i="4"/>
  <c r="E88" i="4"/>
  <c r="D87" i="4"/>
  <c r="D85" i="4"/>
  <c r="F84" i="4"/>
  <c r="H83" i="4"/>
  <c r="D81" i="4"/>
  <c r="F80" i="4"/>
  <c r="H79" i="4"/>
  <c r="D77" i="4"/>
  <c r="F76" i="4"/>
  <c r="H75" i="4"/>
  <c r="D73" i="4"/>
  <c r="F72" i="4"/>
  <c r="H71" i="4"/>
  <c r="D69" i="4"/>
  <c r="F68" i="4"/>
  <c r="H67" i="4"/>
  <c r="D65" i="4"/>
  <c r="F64" i="4"/>
  <c r="H63" i="4"/>
  <c r="D61" i="4"/>
  <c r="F60" i="4"/>
  <c r="H59" i="4"/>
  <c r="E27" i="4"/>
  <c r="I28" i="4"/>
  <c r="H31" i="4"/>
  <c r="I34" i="4"/>
  <c r="D35" i="4"/>
  <c r="J37" i="4"/>
  <c r="E38" i="4"/>
  <c r="H44" i="4"/>
  <c r="F45" i="4"/>
  <c r="D46" i="4"/>
  <c r="H52" i="4"/>
  <c r="F53" i="4"/>
  <c r="D54" i="4"/>
  <c r="O5" i="4"/>
  <c r="F27" i="4"/>
  <c r="D29" i="4"/>
  <c r="J31" i="4"/>
  <c r="E32" i="4"/>
  <c r="F35" i="4"/>
  <c r="G38" i="4"/>
  <c r="D39" i="4"/>
  <c r="H45" i="4"/>
  <c r="F46" i="4"/>
  <c r="D47" i="4"/>
  <c r="H53" i="4"/>
  <c r="F54" i="4"/>
  <c r="D55" i="4"/>
  <c r="D57" i="4"/>
  <c r="D60" i="4"/>
  <c r="P5" i="4"/>
  <c r="H27" i="4"/>
  <c r="F29" i="4"/>
  <c r="G32" i="4"/>
  <c r="H35" i="4"/>
  <c r="I38" i="4"/>
  <c r="F39" i="4"/>
  <c r="D40" i="4"/>
  <c r="H46" i="4"/>
  <c r="F47" i="4"/>
  <c r="D48" i="4"/>
  <c r="H54" i="4"/>
  <c r="F55" i="4"/>
  <c r="D56" i="4"/>
  <c r="AJ2" i="8"/>
  <c r="H190" i="2" s="1"/>
  <c r="G84" i="4" s="1"/>
  <c r="I7" i="6"/>
  <c r="H7" i="6" s="1"/>
  <c r="J7" i="6"/>
  <c r="AI7" i="8"/>
  <c r="AI14" i="8"/>
  <c r="AI22" i="8"/>
  <c r="AI30" i="8"/>
  <c r="AI38" i="8"/>
  <c r="AI40" i="8"/>
  <c r="AI42" i="8"/>
  <c r="AI44" i="8"/>
  <c r="AI46" i="8"/>
  <c r="AI51" i="8"/>
  <c r="AI68" i="8"/>
  <c r="AI17" i="8"/>
  <c r="AI25" i="8"/>
  <c r="AI33" i="8"/>
  <c r="AI12" i="8"/>
  <c r="AI20" i="8"/>
  <c r="AI28" i="8"/>
  <c r="AI36" i="8"/>
  <c r="AI49" i="8"/>
  <c r="AI58" i="8"/>
  <c r="AI60" i="8"/>
  <c r="AI62" i="8"/>
  <c r="AI64" i="8"/>
  <c r="AI66" i="8"/>
  <c r="AI8" i="8"/>
  <c r="AI10" i="8"/>
  <c r="AI15" i="8"/>
  <c r="AI23" i="8"/>
  <c r="AI31" i="8"/>
  <c r="AI47" i="8"/>
  <c r="AI54" i="8"/>
  <c r="AI56" i="8"/>
  <c r="AI69" i="8"/>
  <c r="AI3" i="8"/>
  <c r="AJ8" i="8"/>
  <c r="AI18" i="8"/>
  <c r="AI26" i="8"/>
  <c r="AI34" i="8"/>
  <c r="AI39" i="8"/>
  <c r="AI41" i="8"/>
  <c r="AI43" i="8"/>
  <c r="AI45" i="8"/>
  <c r="AI52" i="8"/>
  <c r="AI13" i="8"/>
  <c r="AI21" i="8"/>
  <c r="AI29" i="8"/>
  <c r="AI37" i="8"/>
  <c r="AI67" i="8"/>
  <c r="AI9" i="8"/>
  <c r="AI16" i="8"/>
  <c r="AI24" i="8"/>
  <c r="AI32" i="8"/>
  <c r="AI59" i="8"/>
  <c r="AI61" i="8"/>
  <c r="AI63" i="8"/>
  <c r="AI65" i="8"/>
  <c r="AI70" i="8"/>
  <c r="AI4" i="8"/>
  <c r="AI11" i="8"/>
  <c r="AI19" i="8"/>
  <c r="AI27" i="8"/>
  <c r="AI35" i="8"/>
  <c r="AI48" i="8"/>
  <c r="AI53" i="8"/>
  <c r="AI55" i="8"/>
  <c r="G30" i="9" l="1"/>
  <c r="AH15" i="9"/>
  <c r="C30" i="9" s="1"/>
  <c r="G29" i="9"/>
  <c r="AH14" i="9"/>
  <c r="C29" i="9" s="1"/>
  <c r="AC9" i="1"/>
  <c r="AD9" i="1" s="1"/>
  <c r="G28" i="9"/>
  <c r="AH13" i="9"/>
  <c r="C28" i="9" s="1"/>
  <c r="AC13" i="1"/>
  <c r="AD13" i="1" s="1"/>
  <c r="AC8" i="1"/>
  <c r="AD8" i="1" s="1"/>
  <c r="AC18" i="1"/>
  <c r="AD18" i="1" s="1"/>
  <c r="AC17" i="1"/>
  <c r="AD17" i="1" s="1"/>
  <c r="AC16" i="1"/>
  <c r="AD16" i="1" s="1"/>
  <c r="AC11" i="1"/>
  <c r="AD11" i="1" s="1"/>
  <c r="AB19" i="1"/>
  <c r="Q5" i="4"/>
  <c r="H9" i="2"/>
  <c r="H11" i="1"/>
  <c r="I190" i="2"/>
  <c r="Z7" i="1"/>
  <c r="AC7" i="1" l="1"/>
  <c r="AD7" i="1" s="1"/>
  <c r="Z19" i="1"/>
  <c r="I9" i="2"/>
  <c r="F16" i="4" a="1"/>
  <c r="F16" i="4" s="1"/>
  <c r="D15" i="4"/>
  <c r="F10" i="4" a="1"/>
  <c r="F10" i="4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G19" i="1" a="1"/>
  <c r="G19" i="1" s="1"/>
  <c r="E13" i="4"/>
  <c r="F11" i="4" a="1"/>
  <c r="F11" i="4" s="1"/>
  <c r="E18" i="1" a="1"/>
  <c r="E18" i="1" s="1"/>
  <c r="E8" i="1"/>
  <c r="AA5" i="1"/>
  <c r="T48" i="9"/>
  <c r="T46" i="9"/>
  <c r="T44" i="9"/>
  <c r="V22" i="9"/>
  <c r="W19" i="9"/>
  <c r="W18" i="9"/>
  <c r="AC16" i="9"/>
  <c r="E29" i="1" a="1"/>
  <c r="E29" i="1" s="1"/>
  <c r="E28" i="1" a="1"/>
  <c r="E28" i="1" s="1"/>
  <c r="E27" i="1" a="1"/>
  <c r="E27" i="1" s="1"/>
  <c r="E26" i="1" a="1"/>
  <c r="E26" i="1" s="1"/>
  <c r="H26" i="1" s="1"/>
  <c r="I26" i="1" s="1"/>
  <c r="E25" i="1" a="1"/>
  <c r="E25" i="1" s="1"/>
  <c r="F19" i="1" a="1"/>
  <c r="F19" i="1" s="1"/>
  <c r="E11" i="1" a="1"/>
  <c r="E11" i="1" s="1"/>
  <c r="C8" i="1" a="1"/>
  <c r="C8" i="1" s="1"/>
  <c r="S48" i="9"/>
  <c r="S46" i="9"/>
  <c r="S44" i="9"/>
  <c r="W20" i="9"/>
  <c r="V19" i="9"/>
  <c r="X19" i="9" s="1"/>
  <c r="F21" i="4" a="1"/>
  <c r="F21" i="4" s="1"/>
  <c r="D16" i="4"/>
  <c r="E11" i="4"/>
  <c r="G24" i="1" a="1"/>
  <c r="G24" i="1" s="1"/>
  <c r="G23" i="1" a="1"/>
  <c r="G23" i="1" s="1"/>
  <c r="G22" i="1" a="1"/>
  <c r="G22" i="1" s="1"/>
  <c r="G21" i="1" a="1"/>
  <c r="G21" i="1" s="1"/>
  <c r="G20" i="1" a="1"/>
  <c r="G20" i="1" s="1"/>
  <c r="E18" i="4"/>
  <c r="F17" i="4" a="1"/>
  <c r="F17" i="4" s="1"/>
  <c r="E14" i="4"/>
  <c r="F12" i="4" a="1"/>
  <c r="F12" i="4" s="1"/>
  <c r="D11" i="4"/>
  <c r="E48" i="1" a="1"/>
  <c r="E48" i="1" s="1"/>
  <c r="E47" i="1" a="1"/>
  <c r="E47" i="1" s="1"/>
  <c r="E46" i="1" a="1"/>
  <c r="E46" i="1" s="1"/>
  <c r="E45" i="1" a="1"/>
  <c r="E45" i="1" s="1"/>
  <c r="E44" i="1" a="1"/>
  <c r="E44" i="1" s="1"/>
  <c r="E43" i="1" a="1"/>
  <c r="E43" i="1" s="1"/>
  <c r="E42" i="1" a="1"/>
  <c r="E42" i="1" s="1"/>
  <c r="E41" i="1" a="1"/>
  <c r="E41" i="1" s="1"/>
  <c r="E40" i="1" a="1"/>
  <c r="E40" i="1" s="1"/>
  <c r="E39" i="1" a="1"/>
  <c r="E39" i="1" s="1"/>
  <c r="E38" i="1" a="1"/>
  <c r="E38" i="1" s="1"/>
  <c r="E37" i="1" a="1"/>
  <c r="E37" i="1" s="1"/>
  <c r="D18" i="4"/>
  <c r="F15" i="4" a="1"/>
  <c r="F15" i="4" s="1"/>
  <c r="D14" i="4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G18" i="1" a="1"/>
  <c r="G18" i="1" s="1"/>
  <c r="E17" i="4"/>
  <c r="E12" i="4"/>
  <c r="G29" i="1" a="1"/>
  <c r="G29" i="1" s="1"/>
  <c r="G28" i="1" a="1"/>
  <c r="G28" i="1" s="1"/>
  <c r="G27" i="1" a="1"/>
  <c r="G27" i="1" s="1"/>
  <c r="G26" i="1" a="1"/>
  <c r="G26" i="1" s="1"/>
  <c r="G25" i="1" a="1"/>
  <c r="G25" i="1" s="1"/>
  <c r="S49" i="9"/>
  <c r="S47" i="9"/>
  <c r="S45" i="9"/>
  <c r="S43" i="9"/>
  <c r="W24" i="9"/>
  <c r="V21" i="9"/>
  <c r="E20" i="4"/>
  <c r="D17" i="4"/>
  <c r="G17" i="4" s="1"/>
  <c r="E15" i="4"/>
  <c r="F13" i="4" a="1"/>
  <c r="F13" i="4" s="1"/>
  <c r="D12" i="4"/>
  <c r="G12" i="4" s="1"/>
  <c r="E24" i="1" a="1"/>
  <c r="E24" i="1" s="1"/>
  <c r="H24" i="1" s="1"/>
  <c r="I24" i="1" s="1"/>
  <c r="E23" i="1" a="1"/>
  <c r="E23" i="1" s="1"/>
  <c r="H23" i="1" s="1"/>
  <c r="I23" i="1" s="1"/>
  <c r="E22" i="1" a="1"/>
  <c r="E22" i="1" s="1"/>
  <c r="H22" i="1" s="1"/>
  <c r="I22" i="1" s="1"/>
  <c r="E21" i="1" a="1"/>
  <c r="E21" i="1" s="1"/>
  <c r="H21" i="1" s="1"/>
  <c r="I21" i="1" s="1"/>
  <c r="E20" i="1" a="1"/>
  <c r="E20" i="1" s="1"/>
  <c r="H20" i="1" s="1"/>
  <c r="I20" i="1" s="1"/>
  <c r="U47" i="9"/>
  <c r="U44" i="9"/>
  <c r="AL29" i="9"/>
  <c r="AL23" i="9"/>
  <c r="AC19" i="9"/>
  <c r="W14" i="9"/>
  <c r="V13" i="9"/>
  <c r="E19" i="1" a="1"/>
  <c r="E19" i="1" s="1"/>
  <c r="H19" i="1" s="1"/>
  <c r="I19" i="1" s="1"/>
  <c r="T47" i="9"/>
  <c r="AL31" i="9"/>
  <c r="V18" i="9"/>
  <c r="X18" i="9" s="1"/>
  <c r="W17" i="9"/>
  <c r="AC15" i="9"/>
  <c r="V14" i="9"/>
  <c r="X14" i="9" s="1"/>
  <c r="F7" i="9"/>
  <c r="C11" i="1" a="1"/>
  <c r="C11" i="1" s="1"/>
  <c r="G11" i="1" s="1"/>
  <c r="U43" i="9"/>
  <c r="W23" i="9"/>
  <c r="W21" i="9"/>
  <c r="V17" i="9"/>
  <c r="X17" i="9" s="1"/>
  <c r="W16" i="9"/>
  <c r="U45" i="9"/>
  <c r="U49" i="9"/>
  <c r="U46" i="9"/>
  <c r="T43" i="9"/>
  <c r="V23" i="9"/>
  <c r="X23" i="9" s="1"/>
  <c r="V16" i="9"/>
  <c r="X16" i="9" s="1"/>
  <c r="T49" i="9"/>
  <c r="AC14" i="9"/>
  <c r="AC18" i="9"/>
  <c r="E36" i="1" a="1"/>
  <c r="E36" i="1" s="1"/>
  <c r="F18" i="1" a="1"/>
  <c r="F18" i="1" s="1"/>
  <c r="F30" i="1" s="1"/>
  <c r="W15" i="9"/>
  <c r="U48" i="9"/>
  <c r="T45" i="9"/>
  <c r="AC17" i="9"/>
  <c r="V15" i="9"/>
  <c r="C7" i="9"/>
  <c r="AC13" i="9"/>
  <c r="AL22" i="9"/>
  <c r="V20" i="9"/>
  <c r="X20" i="9" s="1"/>
  <c r="E35" i="1" a="1"/>
  <c r="E35" i="1" s="1"/>
  <c r="G8" i="1" a="1"/>
  <c r="G8" i="1" s="1"/>
  <c r="AL27" i="9"/>
  <c r="V24" i="9"/>
  <c r="X24" i="9" s="1"/>
  <c r="W22" i="9"/>
  <c r="W13" i="9"/>
  <c r="I7" i="9"/>
  <c r="AL17" i="9"/>
  <c r="AL25" i="9"/>
  <c r="E16" i="4"/>
  <c r="AL20" i="9"/>
  <c r="AL13" i="9"/>
  <c r="D10" i="4"/>
  <c r="F18" i="4" a="1"/>
  <c r="F18" i="4" s="1"/>
  <c r="E19" i="4"/>
  <c r="AL15" i="9"/>
  <c r="AL26" i="9"/>
  <c r="D19" i="4"/>
  <c r="AL28" i="9"/>
  <c r="F20" i="4" a="1"/>
  <c r="F20" i="4" s="1"/>
  <c r="F19" i="4" a="1"/>
  <c r="F19" i="4" s="1"/>
  <c r="AL18" i="9"/>
  <c r="E21" i="4"/>
  <c r="D20" i="4"/>
  <c r="AL19" i="9"/>
  <c r="H5" i="4"/>
  <c r="E10" i="4"/>
  <c r="D21" i="4"/>
  <c r="AL16" i="9"/>
  <c r="AL32" i="9"/>
  <c r="AL30" i="9"/>
  <c r="AL24" i="9"/>
  <c r="AL21" i="9"/>
  <c r="D13" i="4"/>
  <c r="G13" i="4" s="1"/>
  <c r="F14" i="4" a="1"/>
  <c r="F14" i="4" s="1"/>
  <c r="AL14" i="9"/>
  <c r="H27" i="1" l="1"/>
  <c r="I27" i="1" s="1"/>
  <c r="H25" i="1"/>
  <c r="I25" i="1" s="1"/>
  <c r="H28" i="1"/>
  <c r="I28" i="1" s="1"/>
  <c r="G20" i="4"/>
  <c r="H20" i="4" s="1"/>
  <c r="J20" i="4" s="1"/>
  <c r="X21" i="9"/>
  <c r="X15" i="9"/>
  <c r="H29" i="1"/>
  <c r="I29" i="1" s="1"/>
  <c r="G21" i="4"/>
  <c r="Z14" i="9"/>
  <c r="Y14" i="9" s="1"/>
  <c r="Z18" i="9"/>
  <c r="Y18" i="9" s="1"/>
  <c r="Z17" i="9"/>
  <c r="Y17" i="9" s="1"/>
  <c r="Z16" i="9"/>
  <c r="Y16" i="9" s="1"/>
  <c r="Z13" i="9"/>
  <c r="Y13" i="9" s="1"/>
  <c r="Z15" i="9"/>
  <c r="Y15" i="9" s="1"/>
  <c r="F35" i="1"/>
  <c r="E55" i="1"/>
  <c r="G35" i="1"/>
  <c r="V47" i="9"/>
  <c r="F43" i="1"/>
  <c r="G43" i="1"/>
  <c r="H43" i="1" s="1"/>
  <c r="I8" i="1"/>
  <c r="I20" i="4"/>
  <c r="V49" i="9"/>
  <c r="G30" i="1"/>
  <c r="G18" i="4"/>
  <c r="F44" i="1"/>
  <c r="G44" i="1"/>
  <c r="H44" i="1" s="1"/>
  <c r="G16" i="4"/>
  <c r="E30" i="1"/>
  <c r="H18" i="1"/>
  <c r="AF15" i="9"/>
  <c r="I9" i="9"/>
  <c r="I17" i="4"/>
  <c r="H17" i="4"/>
  <c r="J17" i="4" s="1"/>
  <c r="F37" i="1"/>
  <c r="G37" i="1"/>
  <c r="F45" i="1"/>
  <c r="G45" i="1"/>
  <c r="H45" i="1" s="1"/>
  <c r="F22" i="4"/>
  <c r="E5" i="4" s="1"/>
  <c r="F36" i="1"/>
  <c r="G36" i="1"/>
  <c r="H36" i="1" s="1"/>
  <c r="AL41" i="9"/>
  <c r="J43" i="9"/>
  <c r="F9" i="9"/>
  <c r="AF14" i="9"/>
  <c r="X13" i="9"/>
  <c r="F38" i="1"/>
  <c r="G38" i="1"/>
  <c r="F46" i="1"/>
  <c r="G46" i="1"/>
  <c r="X22" i="9"/>
  <c r="G15" i="4"/>
  <c r="L7" i="9"/>
  <c r="L9" i="9" s="1"/>
  <c r="AF13" i="9"/>
  <c r="C9" i="9"/>
  <c r="O7" i="9"/>
  <c r="F39" i="1"/>
  <c r="G39" i="1"/>
  <c r="H39" i="1" s="1"/>
  <c r="F47" i="1"/>
  <c r="G47" i="1"/>
  <c r="D22" i="4"/>
  <c r="G10" i="4"/>
  <c r="F40" i="1"/>
  <c r="G40" i="1"/>
  <c r="H40" i="1" s="1"/>
  <c r="F48" i="1"/>
  <c r="G48" i="1"/>
  <c r="H48" i="1" s="1"/>
  <c r="V44" i="9"/>
  <c r="I7" i="2"/>
  <c r="AN7" i="1" a="1"/>
  <c r="AN7" i="1" s="1"/>
  <c r="AN13" i="1" a="1"/>
  <c r="AN13" i="1" s="1"/>
  <c r="AR9" i="1" a="1"/>
  <c r="AR9" i="1" s="1"/>
  <c r="AM6" i="1" a="1"/>
  <c r="AM6" i="1" s="1"/>
  <c r="AL8" i="1" a="1"/>
  <c r="AL8" i="1" s="1"/>
  <c r="AN12" i="1" a="1"/>
  <c r="AN12" i="1" s="1"/>
  <c r="AK10" i="1" a="1"/>
  <c r="AK10" i="1" s="1"/>
  <c r="AK14" i="1" a="1"/>
  <c r="AK14" i="1" s="1"/>
  <c r="AN8" i="1" a="1"/>
  <c r="AN8" i="1" s="1"/>
  <c r="AJ23" i="1" a="1"/>
  <c r="AJ23" i="1" s="1"/>
  <c r="AJ19" i="1" a="1"/>
  <c r="AJ19" i="1" s="1"/>
  <c r="AM13" i="1" a="1"/>
  <c r="AM13" i="1" s="1"/>
  <c r="AN6" i="1" a="1"/>
  <c r="AN6" i="1" s="1"/>
  <c r="AL18" i="1" a="1"/>
  <c r="AL18" i="1" s="1"/>
  <c r="AG12" i="1" a="1"/>
  <c r="AG12" i="1" s="1"/>
  <c r="AK7" i="1" a="1"/>
  <c r="AK7" i="1" s="1"/>
  <c r="AM22" i="1" a="1"/>
  <c r="AM22" i="1" s="1"/>
  <c r="AN17" i="1" a="1"/>
  <c r="AN17" i="1" s="1"/>
  <c r="AH13" i="1" a="1"/>
  <c r="AH13" i="1" s="1"/>
  <c r="AL22" i="1" a="1"/>
  <c r="AL22" i="1" s="1"/>
  <c r="AP19" i="1" a="1"/>
  <c r="AP19" i="1" s="1"/>
  <c r="AK13" i="1" a="1"/>
  <c r="AK13" i="1" s="1"/>
  <c r="AN18" i="1" a="1"/>
  <c r="AN18" i="1" s="1"/>
  <c r="AH14" i="1" a="1"/>
  <c r="AH14" i="1" s="1"/>
  <c r="AM7" i="1" a="1"/>
  <c r="AM7" i="1" s="1"/>
  <c r="AK22" i="1" a="1"/>
  <c r="AK22" i="1" s="1"/>
  <c r="AG6" i="1" a="1"/>
  <c r="AG6" i="1" s="1"/>
  <c r="AM4" i="1" a="1"/>
  <c r="AM4" i="1" s="1"/>
  <c r="AL16" i="1" a="1"/>
  <c r="AL16" i="1" s="1"/>
  <c r="AJ9" i="1" a="1"/>
  <c r="AJ9" i="1" s="1"/>
  <c r="AR5" i="1" a="1"/>
  <c r="AR5" i="1" s="1"/>
  <c r="AJ13" i="1" a="1"/>
  <c r="AJ13" i="1" s="1"/>
  <c r="AI14" i="1" a="1"/>
  <c r="AI14" i="1" s="1"/>
  <c r="AG14" i="1" a="1"/>
  <c r="AG14" i="1" s="1"/>
  <c r="AJ8" i="1" a="1"/>
  <c r="AJ8" i="1" s="1"/>
  <c r="AN22" i="1" a="1"/>
  <c r="AN22" i="1" s="1"/>
  <c r="AO17" i="1" a="1"/>
  <c r="AO17" i="1" s="1"/>
  <c r="AI13" i="1" a="1"/>
  <c r="AI13" i="1" s="1"/>
  <c r="AJ6" i="1" a="1"/>
  <c r="AJ6" i="1" s="1"/>
  <c r="AH18" i="1" a="1"/>
  <c r="AH18" i="1" s="1"/>
  <c r="AR11" i="1" a="1"/>
  <c r="AR11" i="1" s="1"/>
  <c r="AG7" i="1" a="1"/>
  <c r="AG7" i="1" s="1"/>
  <c r="AI22" i="1" a="1"/>
  <c r="AI22" i="1" s="1"/>
  <c r="AJ17" i="1" a="1"/>
  <c r="AJ17" i="1" s="1"/>
  <c r="AM11" i="1" a="1"/>
  <c r="AM11" i="1" s="1"/>
  <c r="AH22" i="1" a="1"/>
  <c r="AH22" i="1" s="1"/>
  <c r="AL19" i="1" a="1"/>
  <c r="AL19" i="1" s="1"/>
  <c r="AG13" i="1" a="1"/>
  <c r="AG13" i="1" s="1"/>
  <c r="AJ18" i="1" a="1"/>
  <c r="AJ18" i="1" s="1"/>
  <c r="AM12" i="1" a="1"/>
  <c r="AM12" i="1" s="1"/>
  <c r="AI7" i="1" a="1"/>
  <c r="AI7" i="1" s="1"/>
  <c r="AG22" i="1" a="1"/>
  <c r="AG22" i="1" s="1"/>
  <c r="AO6" i="1" a="1"/>
  <c r="AO6" i="1" s="1"/>
  <c r="AH6" i="1" a="1"/>
  <c r="AH6" i="1" s="1"/>
  <c r="AI4" i="1" a="1"/>
  <c r="AI4" i="1" s="1"/>
  <c r="AR18" i="1" a="1"/>
  <c r="AR18" i="1" s="1"/>
  <c r="AJ12" i="1" a="1"/>
  <c r="AJ12" i="1" s="1"/>
  <c r="AK6" i="1" a="1"/>
  <c r="AK6" i="1" s="1"/>
  <c r="AP17" i="1" a="1"/>
  <c r="AP17" i="1" s="1"/>
  <c r="AR17" i="1" a="1"/>
  <c r="AR17" i="1" s="1"/>
  <c r="AR13" i="1" a="1"/>
  <c r="AR13" i="1" s="1"/>
  <c r="AP7" i="1" a="1"/>
  <c r="AP7" i="1" s="1"/>
  <c r="AJ22" i="1" a="1"/>
  <c r="AJ22" i="1" s="1"/>
  <c r="AK17" i="1" a="1"/>
  <c r="AK17" i="1" s="1"/>
  <c r="AN11" i="1" a="1"/>
  <c r="AN11" i="1" s="1"/>
  <c r="AR23" i="1" a="1"/>
  <c r="AR23" i="1" s="1"/>
  <c r="AM16" i="1" a="1"/>
  <c r="AM16" i="1" s="1"/>
  <c r="AP10" i="1" a="1"/>
  <c r="AP10" i="1" s="1"/>
  <c r="AR6" i="1" a="1"/>
  <c r="AR6" i="1" s="1"/>
  <c r="AM21" i="1" a="1"/>
  <c r="AM21" i="1" s="1"/>
  <c r="AO15" i="1" a="1"/>
  <c r="AO15" i="1" s="1"/>
  <c r="AI11" i="1" a="1"/>
  <c r="AI11" i="1" s="1"/>
  <c r="AP21" i="1" a="1"/>
  <c r="AP21" i="1" s="1"/>
  <c r="AH19" i="1" a="1"/>
  <c r="AH19" i="1" s="1"/>
  <c r="AR12" i="1" a="1"/>
  <c r="AR12" i="1" s="1"/>
  <c r="AO16" i="1" a="1"/>
  <c r="AO16" i="1" s="1"/>
  <c r="AI12" i="1" a="1"/>
  <c r="AI12" i="1" s="1"/>
  <c r="AN5" i="1" a="1"/>
  <c r="AN5" i="1" s="1"/>
  <c r="AO21" i="1" a="1"/>
  <c r="AO21" i="1" s="1"/>
  <c r="AO10" i="1" a="1"/>
  <c r="AO10" i="1" s="1"/>
  <c r="AP6" i="1" a="1"/>
  <c r="AP6" i="1" s="1"/>
  <c r="AP4" i="1" a="1"/>
  <c r="AP4" i="1" s="1"/>
  <c r="AO19" i="1" a="1"/>
  <c r="AO19" i="1" s="1"/>
  <c r="AL17" i="1" a="1"/>
  <c r="AL17" i="1" s="1"/>
  <c r="AH8" i="1" a="1"/>
  <c r="AH8" i="1" s="1"/>
  <c r="AN4" i="1" a="1"/>
  <c r="AN4" i="1" s="1"/>
  <c r="AG18" i="1" a="1"/>
  <c r="AG18" i="1" s="1"/>
  <c r="AG19" i="1" a="1"/>
  <c r="AG19" i="1" s="1"/>
  <c r="AM18" i="1" a="1"/>
  <c r="AM18" i="1" s="1"/>
  <c r="AP12" i="1" a="1"/>
  <c r="AP12" i="1" s="1"/>
  <c r="AL7" i="1" a="1"/>
  <c r="AL7" i="1" s="1"/>
  <c r="AN21" i="1" a="1"/>
  <c r="AN21" i="1" s="1"/>
  <c r="AG17" i="1" a="1"/>
  <c r="AG17" i="1" s="1"/>
  <c r="AJ11" i="1" a="1"/>
  <c r="AJ11" i="1" s="1"/>
  <c r="AR22" i="1" a="1"/>
  <c r="AR22" i="1" s="1"/>
  <c r="AI16" i="1" a="1"/>
  <c r="AI16" i="1" s="1"/>
  <c r="AL10" i="1" a="1"/>
  <c r="AL10" i="1" s="1"/>
  <c r="AP5" i="1" a="1"/>
  <c r="AP5" i="1" s="1"/>
  <c r="AI21" i="1" a="1"/>
  <c r="AI21" i="1" s="1"/>
  <c r="AK15" i="1" a="1"/>
  <c r="AK15" i="1" s="1"/>
  <c r="AN9" i="1" a="1"/>
  <c r="AN9" i="1" s="1"/>
  <c r="AL21" i="1" a="1"/>
  <c r="AL21" i="1" s="1"/>
  <c r="AM17" i="1" a="1"/>
  <c r="AM17" i="1" s="1"/>
  <c r="AP11" i="1" a="1"/>
  <c r="AP11" i="1" s="1"/>
  <c r="AK16" i="1" a="1"/>
  <c r="AK16" i="1" s="1"/>
  <c r="AN10" i="1" a="1"/>
  <c r="AN10" i="1" s="1"/>
  <c r="AJ5" i="1" a="1"/>
  <c r="AJ5" i="1" s="1"/>
  <c r="AK21" i="1" a="1"/>
  <c r="AK21" i="1" s="1"/>
  <c r="AG11" i="1" a="1"/>
  <c r="AG11" i="1" s="1"/>
  <c r="AH9" i="1" a="1"/>
  <c r="AH9" i="1" s="1"/>
  <c r="AL4" i="1" a="1"/>
  <c r="AL4" i="1" s="1"/>
  <c r="AG5" i="1" a="1"/>
  <c r="AG5" i="1" s="1"/>
  <c r="AL9" i="1" a="1"/>
  <c r="AL9" i="1" s="1"/>
  <c r="AK18" i="1" a="1"/>
  <c r="AK18" i="1" s="1"/>
  <c r="AI18" i="1" a="1"/>
  <c r="AI18" i="1" s="1"/>
  <c r="AL12" i="1" a="1"/>
  <c r="AL12" i="1" s="1"/>
  <c r="AH7" i="1" a="1"/>
  <c r="AH7" i="1" s="1"/>
  <c r="AJ21" i="1" a="1"/>
  <c r="AJ21" i="1" s="1"/>
  <c r="AR16" i="1" a="1"/>
  <c r="AR16" i="1" s="1"/>
  <c r="AO9" i="1" a="1"/>
  <c r="AO9" i="1" s="1"/>
  <c r="AR21" i="1" a="1"/>
  <c r="AR21" i="1" s="1"/>
  <c r="AN14" i="1" a="1"/>
  <c r="AN14" i="1" s="1"/>
  <c r="AH10" i="1" a="1"/>
  <c r="AH10" i="1" s="1"/>
  <c r="AL5" i="1" a="1"/>
  <c r="AL5" i="1" s="1"/>
  <c r="AM20" i="1" a="1"/>
  <c r="AM20" i="1" s="1"/>
  <c r="AG15" i="1" a="1"/>
  <c r="AG15" i="1" s="1"/>
  <c r="AP23" i="1" a="1"/>
  <c r="AP23" i="1" s="1"/>
  <c r="AH21" i="1" a="1"/>
  <c r="AH21" i="1" s="1"/>
  <c r="AI17" i="1" a="1"/>
  <c r="AI17" i="1" s="1"/>
  <c r="AL11" i="1" a="1"/>
  <c r="AL11" i="1" s="1"/>
  <c r="AG16" i="1" a="1"/>
  <c r="AG16" i="1" s="1"/>
  <c r="AJ10" i="1" a="1"/>
  <c r="AJ10" i="1" s="1"/>
  <c r="AO23" i="1" a="1"/>
  <c r="AO23" i="1" s="1"/>
  <c r="AG21" i="1" a="1"/>
  <c r="AG21" i="1" s="1"/>
  <c r="AM14" i="1" a="1"/>
  <c r="AM14" i="1" s="1"/>
  <c r="AR10" i="1" a="1"/>
  <c r="AR10" i="1" s="1"/>
  <c r="AH4" i="1" a="1"/>
  <c r="AH4" i="1" s="1"/>
  <c r="AO5" i="1" a="1"/>
  <c r="AO5" i="1" s="1"/>
  <c r="AG10" i="1" a="1"/>
  <c r="AG10" i="1" s="1"/>
  <c r="AN16" i="1" a="1"/>
  <c r="AN16" i="1" s="1"/>
  <c r="AH12" i="1" a="1"/>
  <c r="AH12" i="1" s="1"/>
  <c r="AM5" i="1" a="1"/>
  <c r="AM5" i="1" s="1"/>
  <c r="AN20" i="1" a="1"/>
  <c r="AN20" i="1" s="1"/>
  <c r="AP15" i="1" a="1"/>
  <c r="AP15" i="1" s="1"/>
  <c r="AK9" i="1" a="1"/>
  <c r="AK9" i="1" s="1"/>
  <c r="AR20" i="1" a="1"/>
  <c r="AR20" i="1" s="1"/>
  <c r="AJ14" i="1" a="1"/>
  <c r="AJ14" i="1" s="1"/>
  <c r="AM8" i="1" a="1"/>
  <c r="AM8" i="1" s="1"/>
  <c r="AH5" i="1" a="1"/>
  <c r="AH5" i="1" s="1"/>
  <c r="AI20" i="1" a="1"/>
  <c r="AI20" i="1" s="1"/>
  <c r="AR14" i="1" a="1"/>
  <c r="AR14" i="1" s="1"/>
  <c r="AL23" i="1" a="1"/>
  <c r="AL23" i="1" s="1"/>
  <c r="AP20" i="1" a="1"/>
  <c r="AP20" i="1" s="1"/>
  <c r="AN15" i="1" a="1"/>
  <c r="AN15" i="1" s="1"/>
  <c r="AH11" i="1" a="1"/>
  <c r="AH11" i="1" s="1"/>
  <c r="AR15" i="1" a="1"/>
  <c r="AR15" i="1" s="1"/>
  <c r="AO8" i="1" a="1"/>
  <c r="AO8" i="1" s="1"/>
  <c r="AK23" i="1" a="1"/>
  <c r="AK23" i="1" s="1"/>
  <c r="AO20" i="1" a="1"/>
  <c r="AO20" i="1" s="1"/>
  <c r="AH16" i="1" a="1"/>
  <c r="AH16" i="1" s="1"/>
  <c r="AM15" i="1" a="1"/>
  <c r="AM15" i="1" s="1"/>
  <c r="AO4" i="1" a="1"/>
  <c r="AO4" i="1" s="1"/>
  <c r="AR7" i="1" a="1"/>
  <c r="AR7" i="1" s="1"/>
  <c r="AR4" i="1" a="1"/>
  <c r="AR4" i="1" s="1"/>
  <c r="AO11" i="1" a="1"/>
  <c r="AO11" i="1" s="1"/>
  <c r="AK5" i="1" a="1"/>
  <c r="AK5" i="1" s="1"/>
  <c r="AJ16" i="1" a="1"/>
  <c r="AJ16" i="1" s="1"/>
  <c r="AM10" i="1" a="1"/>
  <c r="AM10" i="1" s="1"/>
  <c r="AI5" i="1" a="1"/>
  <c r="AI5" i="1" s="1"/>
  <c r="AJ20" i="1" a="1"/>
  <c r="AJ20" i="1" s="1"/>
  <c r="AL15" i="1" a="1"/>
  <c r="AL15" i="1" s="1"/>
  <c r="AG9" i="1" a="1"/>
  <c r="AG9" i="1" s="1"/>
  <c r="AR19" i="1" a="1"/>
  <c r="AR19" i="1" s="1"/>
  <c r="AO12" i="1" a="1"/>
  <c r="AO12" i="1" s="1"/>
  <c r="AI8" i="1" a="1"/>
  <c r="AI8" i="1" s="1"/>
  <c r="AM23" i="1" a="1"/>
  <c r="AM23" i="1" s="1"/>
  <c r="AM19" i="1" a="1"/>
  <c r="AM19" i="1" s="1"/>
  <c r="AP13" i="1" a="1"/>
  <c r="AP13" i="1" s="1"/>
  <c r="AH23" i="1" a="1"/>
  <c r="AH23" i="1" s="1"/>
  <c r="AL20" i="1" a="1"/>
  <c r="AL20" i="1" s="1"/>
  <c r="AJ15" i="1" a="1"/>
  <c r="AJ15" i="1" s="1"/>
  <c r="AM9" i="1" a="1"/>
  <c r="AM9" i="1" s="1"/>
  <c r="AP14" i="1" a="1"/>
  <c r="AP14" i="1" s="1"/>
  <c r="AK8" i="1" a="1"/>
  <c r="AK8" i="1" s="1"/>
  <c r="AG23" i="1" a="1"/>
  <c r="AG23" i="1" s="1"/>
  <c r="AK20" i="1" a="1"/>
  <c r="AK20" i="1" s="1"/>
  <c r="AK19" i="1" a="1"/>
  <c r="AK19" i="1" s="1"/>
  <c r="AH17" i="1" a="1"/>
  <c r="AH17" i="1" s="1"/>
  <c r="AK4" i="1" a="1"/>
  <c r="AK4" i="1" s="1"/>
  <c r="AP8" i="1" a="1"/>
  <c r="AP8" i="1" s="1"/>
  <c r="AI6" i="1" a="1"/>
  <c r="AI6" i="1" s="1"/>
  <c r="AL6" i="1" a="1"/>
  <c r="AL6" i="1" s="1"/>
  <c r="AP9" i="1" a="1"/>
  <c r="AP9" i="1" s="1"/>
  <c r="AI15" i="1" a="1"/>
  <c r="AI15" i="1" s="1"/>
  <c r="AO14" i="1" a="1"/>
  <c r="AO14" i="1" s="1"/>
  <c r="AI10" i="1" a="1"/>
  <c r="AI10" i="1" s="1"/>
  <c r="AN23" i="1" a="1"/>
  <c r="AN23" i="1" s="1"/>
  <c r="AN19" i="1" a="1"/>
  <c r="AN19" i="1" s="1"/>
  <c r="AH15" i="1" a="1"/>
  <c r="AH15" i="1" s="1"/>
  <c r="AR8" i="1" a="1"/>
  <c r="AR8" i="1" s="1"/>
  <c r="AP18" i="1" a="1"/>
  <c r="AP18" i="1" s="1"/>
  <c r="AK12" i="1" a="1"/>
  <c r="AK12" i="1" s="1"/>
  <c r="AO7" i="1" a="1"/>
  <c r="AO7" i="1" s="1"/>
  <c r="AI23" i="1" a="1"/>
  <c r="AI23" i="1" s="1"/>
  <c r="AI19" i="1" a="1"/>
  <c r="AI19" i="1" s="1"/>
  <c r="AL13" i="1" a="1"/>
  <c r="AL13" i="1" s="1"/>
  <c r="AP22" i="1" a="1"/>
  <c r="AP22" i="1" s="1"/>
  <c r="AH20" i="1" a="1"/>
  <c r="AH20" i="1" s="1"/>
  <c r="AO13" i="1" a="1"/>
  <c r="AO13" i="1" s="1"/>
  <c r="AI9" i="1" a="1"/>
  <c r="AI9" i="1" s="1"/>
  <c r="AL14" i="1" a="1"/>
  <c r="AL14" i="1" s="1"/>
  <c r="AG8" i="1" a="1"/>
  <c r="AG8" i="1" s="1"/>
  <c r="AO22" i="1" a="1"/>
  <c r="AO22" i="1" s="1"/>
  <c r="AG20" i="1" a="1"/>
  <c r="AG20" i="1" s="1"/>
  <c r="AO18" i="1" a="1"/>
  <c r="AO18" i="1" s="1"/>
  <c r="AG4" i="1" a="1"/>
  <c r="AG4" i="1" s="1"/>
  <c r="AK11" i="1" a="1"/>
  <c r="AK11" i="1" s="1"/>
  <c r="AJ7" i="1" a="1"/>
  <c r="AJ7" i="1" s="1"/>
  <c r="AJ4" i="1" a="1"/>
  <c r="AJ4" i="1" s="1"/>
  <c r="AP16" i="1" a="1"/>
  <c r="AP16" i="1" s="1"/>
  <c r="E22" i="4"/>
  <c r="D5" i="4" s="1"/>
  <c r="V43" i="9"/>
  <c r="F41" i="1"/>
  <c r="G41" i="1"/>
  <c r="G11" i="4"/>
  <c r="V46" i="9"/>
  <c r="I13" i="4"/>
  <c r="H13" i="4"/>
  <c r="J13" i="4" s="1"/>
  <c r="G19" i="4"/>
  <c r="I12" i="4"/>
  <c r="H12" i="4"/>
  <c r="J12" i="4" s="1"/>
  <c r="V45" i="9"/>
  <c r="G14" i="4"/>
  <c r="F42" i="1"/>
  <c r="G42" i="1"/>
  <c r="H42" i="1" s="1"/>
  <c r="V48" i="9"/>
  <c r="AC5" i="1"/>
  <c r="AA19" i="1"/>
  <c r="AJ24" i="1" l="1"/>
  <c r="AQ8" i="1"/>
  <c r="AS8" i="1" s="1"/>
  <c r="AQ20" i="1"/>
  <c r="AS20" i="1" s="1"/>
  <c r="I14" i="4"/>
  <c r="H14" i="4"/>
  <c r="J14" i="4" s="1"/>
  <c r="I11" i="4"/>
  <c r="H11" i="4"/>
  <c r="J11" i="4" s="1"/>
  <c r="AQ23" i="1"/>
  <c r="AS23" i="1" s="1"/>
  <c r="AH24" i="1"/>
  <c r="G22" i="4"/>
  <c r="H22" i="4" s="1"/>
  <c r="J22" i="4" s="1"/>
  <c r="C5" i="4"/>
  <c r="F5" i="4" s="1"/>
  <c r="G5" i="4" s="1"/>
  <c r="H30" i="1"/>
  <c r="I30" i="1" s="1"/>
  <c r="I5" i="1" s="1"/>
  <c r="I18" i="1"/>
  <c r="I41" i="1"/>
  <c r="J41" i="1"/>
  <c r="H41" i="1"/>
  <c r="AQ5" i="1"/>
  <c r="AS5" i="1" s="1"/>
  <c r="AQ19" i="1"/>
  <c r="AS19" i="1" s="1"/>
  <c r="AQ13" i="1"/>
  <c r="AS13" i="1" s="1"/>
  <c r="I47" i="1"/>
  <c r="J47" i="1"/>
  <c r="H47" i="1"/>
  <c r="I15" i="4"/>
  <c r="H15" i="4"/>
  <c r="J15" i="4" s="1"/>
  <c r="AG24" i="1"/>
  <c r="AQ4" i="1"/>
  <c r="AL24" i="1"/>
  <c r="AQ18" i="1"/>
  <c r="AS18" i="1" s="1"/>
  <c r="AI24" i="1"/>
  <c r="AQ12" i="1"/>
  <c r="AS12" i="1" s="1"/>
  <c r="I37" i="1"/>
  <c r="J37" i="1"/>
  <c r="H37" i="1"/>
  <c r="I16" i="4"/>
  <c r="H16" i="4"/>
  <c r="J16" i="4" s="1"/>
  <c r="AQ21" i="1"/>
  <c r="AS21" i="1" s="1"/>
  <c r="AQ15" i="1"/>
  <c r="AS15" i="1" s="1"/>
  <c r="AN24" i="1"/>
  <c r="I46" i="1"/>
  <c r="J46" i="1"/>
  <c r="H46" i="1"/>
  <c r="Z19" i="9"/>
  <c r="AC19" i="1"/>
  <c r="AD5" i="1"/>
  <c r="I19" i="4"/>
  <c r="H19" i="4"/>
  <c r="J19" i="4" s="1"/>
  <c r="AK24" i="1"/>
  <c r="AQ11" i="1"/>
  <c r="AS11" i="1" s="1"/>
  <c r="AQ17" i="1"/>
  <c r="AS17" i="1" s="1"/>
  <c r="AQ9" i="1"/>
  <c r="AS9" i="1" s="1"/>
  <c r="AR24" i="1"/>
  <c r="AQ22" i="1"/>
  <c r="AS22" i="1" s="1"/>
  <c r="AM24" i="1"/>
  <c r="I38" i="1"/>
  <c r="J38" i="1"/>
  <c r="H38" i="1"/>
  <c r="I18" i="4"/>
  <c r="H18" i="4"/>
  <c r="J18" i="4" s="1"/>
  <c r="AQ10" i="1"/>
  <c r="AS10" i="1" s="1"/>
  <c r="AQ16" i="1"/>
  <c r="AS16" i="1" s="1"/>
  <c r="AQ6" i="1"/>
  <c r="AS6" i="1" s="1"/>
  <c r="I35" i="1"/>
  <c r="J35" i="1"/>
  <c r="H35" i="1"/>
  <c r="AO24" i="1"/>
  <c r="AP24" i="1"/>
  <c r="AQ7" i="1"/>
  <c r="AS7" i="1" s="1"/>
  <c r="AQ14" i="1"/>
  <c r="AS14" i="1" s="1"/>
  <c r="I5" i="4"/>
  <c r="I10" i="4"/>
  <c r="H10" i="4"/>
  <c r="J10" i="4" s="1"/>
  <c r="G55" i="1"/>
  <c r="F55" i="1"/>
  <c r="I21" i="4"/>
  <c r="H21" i="4"/>
  <c r="J21" i="4" s="1"/>
  <c r="AD19" i="1" l="1"/>
  <c r="AD3" i="1" s="1"/>
  <c r="H8" i="1"/>
  <c r="F6" i="4"/>
  <c r="C6" i="4"/>
  <c r="AQ24" i="1"/>
  <c r="AS4" i="1"/>
  <c r="AS2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<sst xmlns="http://schemas.openxmlformats.org/spreadsheetml/2006/main" count="3832" uniqueCount="1033">
  <si>
    <t xml:space="preserve">  Rajan's Finance Manager</t>
  </si>
  <si>
    <t xml:space="preserve">  Annual Summary — Multi-Year View</t>
  </si>
  <si>
    <t>EXPENSE BY CATEGORY</t>
  </si>
  <si>
    <t>CATEGORY</t>
  </si>
  <si>
    <t>Total</t>
  </si>
  <si>
    <t>Total Income</t>
  </si>
  <si>
    <t>Net Total</t>
  </si>
  <si>
    <t>Year</t>
  </si>
  <si>
    <t>↑  Income</t>
  </si>
  <si>
    <t>↓  Expense</t>
  </si>
  <si>
    <t>»» Investment</t>
  </si>
  <si>
    <t>◈  Savings</t>
  </si>
  <si>
    <t>◎  Rate</t>
  </si>
  <si>
    <t>Viewing YEAR  →</t>
  </si>
  <si>
    <t>KEY METRICS FOR THE SELECTED YEAR</t>
  </si>
  <si>
    <t>↑  Total Annual Income</t>
  </si>
  <si>
    <t>↓  Total Annual Expenses</t>
  </si>
  <si>
    <t>Balance in AC</t>
  </si>
  <si>
    <t>◈ Annual Net Savings</t>
  </si>
  <si>
    <t>↑  Selected Month Income</t>
  </si>
  <si>
    <t>↓  Selected Month Expenses</t>
  </si>
  <si>
    <t>◈ selected monthly Savings</t>
  </si>
  <si>
    <t>Cashflow</t>
  </si>
  <si>
    <t>↓  Budget Month-Year</t>
  </si>
  <si>
    <t xml:space="preserve">  Monthly Detail — Select a Year(E5)</t>
  </si>
  <si>
    <t>2031</t>
  </si>
  <si>
    <t>2032</t>
  </si>
  <si>
    <t>MONTH</t>
  </si>
  <si>
    <t>INCOME</t>
  </si>
  <si>
    <t>EXPENSES</t>
  </si>
  <si>
    <t>Investment</t>
  </si>
  <si>
    <t>NET SAVINGS</t>
  </si>
  <si>
    <t>SAVINGS %</t>
  </si>
  <si>
    <t>2033</t>
  </si>
  <si>
    <t>January</t>
  </si>
  <si>
    <t>2034</t>
  </si>
  <si>
    <t>February</t>
  </si>
  <si>
    <t>March</t>
  </si>
  <si>
    <t>April</t>
  </si>
  <si>
    <t>May</t>
  </si>
  <si>
    <t>June</t>
  </si>
  <si>
    <t>July</t>
  </si>
  <si>
    <t>TOTAL EXPENSE</t>
  </si>
  <si>
    <t>August</t>
  </si>
  <si>
    <t>September</t>
  </si>
  <si>
    <t>October</t>
  </si>
  <si>
    <t>November</t>
  </si>
  <si>
    <t>December</t>
  </si>
  <si>
    <t>Annual Total</t>
  </si>
  <si>
    <t>BUDGET TRACKER  —  ENTER TARGETS IN BLUE CELLS  |  Add/edit categories in ⚙️ Settings</t>
  </si>
  <si>
    <t>BUDGET (₹)</t>
  </si>
  <si>
    <t>SPENT (₹)</t>
  </si>
  <si>
    <t>REMAINING</t>
  </si>
  <si>
    <t>USED %</t>
  </si>
  <si>
    <t>PROGRESS</t>
  </si>
  <si>
    <t>STATUS</t>
  </si>
  <si>
    <t>GAUGE</t>
  </si>
  <si>
    <t>TOTAL</t>
  </si>
  <si>
    <t>📋  SHEET NAVIGATOR</t>
  </si>
  <si>
    <t xml:space="preserve">  ⚙️  Settings &amp; Configuration</t>
  </si>
  <si>
    <t>USER PROFILE</t>
  </si>
  <si>
    <t>Name</t>
  </si>
  <si>
    <t>Rajan Mishra</t>
  </si>
  <si>
    <t>Currency</t>
  </si>
  <si>
    <t>₹</t>
  </si>
  <si>
    <t>Monthly Income Target</t>
  </si>
  <si>
    <t>Savings Goal %</t>
  </si>
  <si>
    <t>FY Start Month</t>
  </si>
  <si>
    <t xml:space="preserve">  📦 EXPENSE CATEGORIES  (add up to 20)</t>
  </si>
  <si>
    <t>← Edit or add categories here</t>
  </si>
  <si>
    <t>USED IN DASHBOARD &amp; FY SHEETS</t>
  </si>
  <si>
    <t>#</t>
  </si>
  <si>
    <t>CATEGORY NAME</t>
  </si>
  <si>
    <t>Alka</t>
  </si>
  <si>
    <t>Ankit Jha</t>
  </si>
  <si>
    <t>Ankit Tiwari</t>
  </si>
  <si>
    <t>Delhi</t>
  </si>
  <si>
    <t>Anuj Bhaiya</t>
  </si>
  <si>
    <t>Delhi Room</t>
  </si>
  <si>
    <t>Anupam Penula</t>
  </si>
  <si>
    <t>Ed LOAN</t>
  </si>
  <si>
    <t>Ashok Mama</t>
  </si>
  <si>
    <t>Home</t>
  </si>
  <si>
    <t>Bholu bhaiya</t>
  </si>
  <si>
    <t>Nisha</t>
  </si>
  <si>
    <t>Bhuvan Ji</t>
  </si>
  <si>
    <t>Other</t>
  </si>
  <si>
    <t>Bitan Bhaiya</t>
  </si>
  <si>
    <t>Pawan</t>
  </si>
  <si>
    <t>Bonus</t>
  </si>
  <si>
    <t>Railway</t>
  </si>
  <si>
    <t>Dheeraj</t>
  </si>
  <si>
    <t>Rajan</t>
  </si>
  <si>
    <t>Gaurav Investment</t>
  </si>
  <si>
    <t>Recharge</t>
  </si>
  <si>
    <t>Guddu bhaiya</t>
  </si>
  <si>
    <t>DRCC</t>
  </si>
  <si>
    <t>Mausi Chakiya</t>
  </si>
  <si>
    <t>Saving</t>
  </si>
  <si>
    <t>Papa</t>
  </si>
  <si>
    <t>Pathak Mama</t>
  </si>
  <si>
    <t>Pragyanand</t>
  </si>
  <si>
    <t>Pramod Mama</t>
  </si>
  <si>
    <t>Prince RamchandraPur</t>
  </si>
  <si>
    <t>Rahul Penula</t>
  </si>
  <si>
    <t>Sakshat</t>
  </si>
  <si>
    <t>← Add more categories above (rows 13–32)</t>
  </si>
  <si>
    <t>Sanjeev (jokhan)</t>
  </si>
  <si>
    <t>Sunny</t>
  </si>
  <si>
    <t xml:space="preserve">  💰 INCOME SOURCES  (add up to 20)</t>
  </si>
  <si>
    <t>Vinod Mama</t>
  </si>
  <si>
    <t>Salary</t>
  </si>
  <si>
    <t>Other Income</t>
  </si>
  <si>
    <t xml:space="preserve">  🎨 COLOR GUIDE</t>
  </si>
  <si>
    <t>■  Blue cells</t>
  </si>
  <si>
    <t>User input — edit these freely</t>
  </si>
  <si>
    <t>■  Emerald green</t>
  </si>
  <si>
    <t>Income and positive values</t>
  </si>
  <si>
    <t>■  Red</t>
  </si>
  <si>
    <t>Expenses and negative values</t>
  </si>
  <si>
    <t>■  Violet</t>
  </si>
  <si>
    <t>Totals, savings, primary accent</t>
  </si>
  <si>
    <t>■  Amber</t>
  </si>
  <si>
    <t>Savings rate and warnings</t>
  </si>
  <si>
    <t xml:space="preserve">  📅 FY REGISTRY  — Add new FY labels here (e.g. FY 2026-27). Everything auto-updates.</t>
  </si>
  <si>
    <t>FY LABEL</t>
  </si>
  <si>
    <t>START YR</t>
  </si>
  <si>
    <t>END YR</t>
  </si>
  <si>
    <t>FY 2021-22</t>
  </si>
  <si>
    <t>FY 2022-23</t>
  </si>
  <si>
    <t>FY 2023-24</t>
  </si>
  <si>
    <t>FY 2024-25</t>
  </si>
  <si>
    <t>FY 2025-26</t>
  </si>
  <si>
    <t>FY 2026-27</t>
  </si>
  <si>
    <t>FY 2027-28</t>
  </si>
  <si>
    <t>FY 2028-29</t>
  </si>
  <si>
    <t>FY 2029-30</t>
  </si>
  <si>
    <t>FY 2030-31</t>
  </si>
  <si>
    <t>FY 2031-32</t>
  </si>
  <si>
    <t>FY 2032-33</t>
  </si>
  <si>
    <t>FY 2033-34</t>
  </si>
  <si>
    <t>FY 2034-35</t>
  </si>
  <si>
    <t>FY 2035-36</t>
  </si>
  <si>
    <t>FY 2036-37</t>
  </si>
  <si>
    <t>← Add new FY labels in D column above (e.g. FY 2026-27)</t>
  </si>
  <si>
    <t>← Change C1 to create a new FY (e.g. "FY 2026-27"). All formulas auto-update.</t>
  </si>
  <si>
    <t>← Change N1 for Others: All formulas auto-update.</t>
  </si>
  <si>
    <t>← Change X1 for Others: All formulas auto-update.</t>
  </si>
  <si>
    <t>↑  Total Income</t>
  </si>
  <si>
    <t>↓  Total Expenses</t>
  </si>
  <si>
    <t>◈  Net Savings</t>
  </si>
  <si>
    <t>◎  Savings Rate</t>
  </si>
  <si>
    <t>#  Transactions</t>
  </si>
  <si>
    <t>★  Best Month</t>
  </si>
  <si>
    <t>↓  Total Expense</t>
  </si>
  <si>
    <t>◈  Net Balance</t>
  </si>
  <si>
    <t>↓  Total Given</t>
  </si>
  <si>
    <t>↑  Total Received</t>
  </si>
  <si>
    <t>← Savings Rate Health</t>
  </si>
  <si>
    <t xml:space="preserve">  MONTHLY BREAKDOWN</t>
  </si>
  <si>
    <t xml:space="preserve">  TRANSACTIONS THIS YEAR  (live from 📝 Transactions)</t>
  </si>
  <si>
    <t>INCOME (₹)</t>
  </si>
  <si>
    <t>EXPENSES (₹)</t>
  </si>
  <si>
    <t>DATE</t>
  </si>
  <si>
    <t>DESCRIPTION</t>
  </si>
  <si>
    <t>YEAR</t>
  </si>
  <si>
    <t>TYPE</t>
  </si>
  <si>
    <t>AMOUNT (₹)</t>
  </si>
  <si>
    <t>Net</t>
  </si>
  <si>
    <t>PAYMENT</t>
  </si>
  <si>
    <t>NOTES</t>
  </si>
  <si>
    <t>Given</t>
  </si>
  <si>
    <t>Received</t>
  </si>
  <si>
    <t>Notes</t>
  </si>
  <si>
    <t>YEAR TOTAL</t>
  </si>
  <si>
    <t xml:space="preserve">  ← 🏠 Dashboard  |  💡 To add a new FY: copy this sheet → change cell C1 (e.g. "FY 2026-27")  |  Categories auto-update from ⚙️ Settings</t>
  </si>
  <si>
    <t>2021-22</t>
  </si>
  <si>
    <t>Company</t>
  </si>
  <si>
    <t>HRA</t>
  </si>
  <si>
    <t>PF</t>
  </si>
  <si>
    <t>Standard deduction</t>
  </si>
  <si>
    <t>Pro Tax</t>
  </si>
  <si>
    <t>Total Deduction</t>
  </si>
  <si>
    <t>Taxable Income fromTDS</t>
  </si>
  <si>
    <t>Difference</t>
  </si>
  <si>
    <t>FLEXTRONICS</t>
  </si>
  <si>
    <t>COGNIZANT</t>
  </si>
  <si>
    <t>Total(2021-22)</t>
  </si>
  <si>
    <t>ITR Filed Amt=</t>
  </si>
  <si>
    <t>2022-23</t>
  </si>
  <si>
    <t>Months</t>
  </si>
  <si>
    <t>Basic</t>
  </si>
  <si>
    <t>Con All</t>
  </si>
  <si>
    <t>Med All</t>
  </si>
  <si>
    <t>Sp All</t>
  </si>
  <si>
    <t>Adv Statutory</t>
  </si>
  <si>
    <t>Got Incentive</t>
  </si>
  <si>
    <t>Internet</t>
  </si>
  <si>
    <t>Incentive_P</t>
  </si>
  <si>
    <t>In Hand</t>
  </si>
  <si>
    <t>Column1</t>
  </si>
  <si>
    <t>Column2</t>
  </si>
  <si>
    <t>Column3</t>
  </si>
  <si>
    <t>Total (2022-23)</t>
  </si>
  <si>
    <t>%</t>
  </si>
  <si>
    <t>Gross</t>
  </si>
  <si>
    <t>Total Comp inc 2PF</t>
  </si>
  <si>
    <t>CTC</t>
  </si>
  <si>
    <t>Monthly</t>
  </si>
  <si>
    <t>Yearly</t>
  </si>
  <si>
    <t>Monthly N</t>
  </si>
  <si>
    <t>Yearly N</t>
  </si>
  <si>
    <t>Month D22</t>
  </si>
  <si>
    <t>Yearly D22</t>
  </si>
  <si>
    <t>Deduction</t>
  </si>
  <si>
    <t>2023-24</t>
  </si>
  <si>
    <t>Total (2023-24)</t>
  </si>
  <si>
    <t>Month Apr23</t>
  </si>
  <si>
    <t>total</t>
  </si>
  <si>
    <t>Yearly Apr23</t>
  </si>
  <si>
    <t>Monthy Jan24</t>
  </si>
  <si>
    <t>Med allow</t>
  </si>
  <si>
    <t>Yearly Jan24</t>
  </si>
  <si>
    <t>Monthy Aug24</t>
  </si>
  <si>
    <t>2024-25</t>
  </si>
  <si>
    <t>Total (2024-25)</t>
  </si>
  <si>
    <t>2025-26</t>
  </si>
  <si>
    <t>Total (2025-26)</t>
  </si>
  <si>
    <t>Monthy Nov25</t>
  </si>
  <si>
    <t>Yearly Nov25</t>
  </si>
  <si>
    <t>2026-27</t>
  </si>
  <si>
    <t>Total (2026-27)</t>
  </si>
  <si>
    <t>RD</t>
  </si>
  <si>
    <t>Mukesh</t>
  </si>
  <si>
    <t>100000</t>
  </si>
  <si>
    <t>102950</t>
  </si>
  <si>
    <t>Rcv</t>
  </si>
  <si>
    <t>Principal</t>
  </si>
  <si>
    <t>Interest</t>
  </si>
  <si>
    <t>GST</t>
  </si>
  <si>
    <t>Processing fee</t>
  </si>
  <si>
    <t>gst on proc fee</t>
  </si>
  <si>
    <t>emi per month</t>
  </si>
  <si>
    <t>due</t>
  </si>
  <si>
    <t>Principal Amt</t>
  </si>
  <si>
    <t>Interest Amt</t>
  </si>
  <si>
    <t>IGST</t>
  </si>
  <si>
    <t>199+18%GST</t>
  </si>
  <si>
    <t>EMI</t>
  </si>
  <si>
    <t>RCV</t>
  </si>
  <si>
    <t>DT</t>
  </si>
  <si>
    <t>Paid</t>
  </si>
  <si>
    <t>Nov</t>
  </si>
  <si>
    <t>Rcv Cash</t>
  </si>
  <si>
    <t>Dec</t>
  </si>
  <si>
    <t>Rcv on 14 dec</t>
  </si>
  <si>
    <t>Jan</t>
  </si>
  <si>
    <t>Rcv on 8 feb</t>
  </si>
  <si>
    <t>Feb</t>
  </si>
  <si>
    <t>Rcv 23 feb</t>
  </si>
  <si>
    <t>Mar</t>
  </si>
  <si>
    <t>rcv 13 jun</t>
  </si>
  <si>
    <t>Apr</t>
  </si>
  <si>
    <t>Due</t>
  </si>
  <si>
    <t>Amazon</t>
  </si>
  <si>
    <t>Gift card</t>
  </si>
  <si>
    <t>Total Laptop Cost</t>
  </si>
  <si>
    <t>Flight One Card</t>
  </si>
  <si>
    <t>+ service charge</t>
  </si>
  <si>
    <t>Aug</t>
  </si>
  <si>
    <t>Sept</t>
  </si>
  <si>
    <t xml:space="preserve">  Transaction Log — Multi-Year</t>
  </si>
  <si>
    <t>YEAR_MATCH</t>
  </si>
  <si>
    <t>YEAR#</t>
  </si>
  <si>
    <t>Expense</t>
  </si>
  <si>
    <t>Net Banking</t>
  </si>
  <si>
    <t>Rajan-MIT Return</t>
  </si>
  <si>
    <t>Income</t>
  </si>
  <si>
    <t>Card Udhari</t>
  </si>
  <si>
    <t>Electric Bill</t>
  </si>
  <si>
    <t>Accoun Opening</t>
  </si>
  <si>
    <t>Maa Phone EMI</t>
  </si>
  <si>
    <t>Flextronics Sep</t>
  </si>
  <si>
    <t>Passport</t>
  </si>
  <si>
    <t>Vindhyachal</t>
  </si>
  <si>
    <t>Flipkart</t>
  </si>
  <si>
    <t>Babu treatment &amp; Rod</t>
  </si>
  <si>
    <t>Labour Wages</t>
  </si>
  <si>
    <t>Mobile Recharge</t>
  </si>
  <si>
    <t>Chhath Puja</t>
  </si>
  <si>
    <t>Miscellaneous (Oct-Dec)</t>
  </si>
  <si>
    <t>Kettle</t>
  </si>
  <si>
    <t>BPSC</t>
  </si>
  <si>
    <t>Flextronics Oct</t>
  </si>
  <si>
    <t>Cognizant Nov</t>
  </si>
  <si>
    <t>Zerodha</t>
  </si>
  <si>
    <t>Nazir</t>
  </si>
  <si>
    <t xml:space="preserve">Licence Pawan  </t>
  </si>
  <si>
    <t>Licence rajan</t>
  </si>
  <si>
    <t>Laptop charger</t>
  </si>
  <si>
    <t>Flikart</t>
  </si>
  <si>
    <t>pawan exam &amp; bday</t>
  </si>
  <si>
    <t>ICICI DIRECT</t>
  </si>
  <si>
    <t>Cognizant Dec</t>
  </si>
  <si>
    <t>Mivi Earpod</t>
  </si>
  <si>
    <t>torex,sabji</t>
  </si>
  <si>
    <t>papa Med</t>
  </si>
  <si>
    <t>Cognizant Jan</t>
  </si>
  <si>
    <t>Refine, cash, sabji</t>
  </si>
  <si>
    <t>Shopping</t>
  </si>
  <si>
    <t>Cognizant Feb</t>
  </si>
  <si>
    <t>Puja's Clothes, Wire</t>
  </si>
  <si>
    <t>Car's Insurence</t>
  </si>
  <si>
    <t>Tution fee Babuni</t>
  </si>
  <si>
    <t>Nazir, sabji</t>
  </si>
  <si>
    <t>Home, self Mobile Recharge</t>
  </si>
  <si>
    <t>Cognizant Mar</t>
  </si>
  <si>
    <t>Puja's sandle-300, Fastag 200</t>
  </si>
  <si>
    <t>RLSY</t>
  </si>
  <si>
    <t>Pune Expense+ migration 500</t>
  </si>
  <si>
    <t>Cognizant Apr</t>
  </si>
  <si>
    <t>Metro+recharge</t>
  </si>
  <si>
    <t>Rajan-BAJAJ Life Insurance</t>
  </si>
  <si>
    <t>Bajaj Life Insurance</t>
  </si>
  <si>
    <t>Dongle-700, fastag 100, Pen 200,, sabji, chicken, newta 1000,,1500, mobile recharge- 500 chacha, maa</t>
  </si>
  <si>
    <t>electric Bill</t>
  </si>
  <si>
    <t>Bus Travelling, May Exp</t>
  </si>
  <si>
    <t>Cognizant May</t>
  </si>
  <si>
    <t>fan, plug,aadhar, fastag,, puja's rech, purse, med , naziir till may 760</t>
  </si>
  <si>
    <t>3000 phn screen, 2000 raincoat, bag, tshirt, phn lock</t>
  </si>
  <si>
    <t>Cognizant Jun</t>
  </si>
  <si>
    <t>Coaching Reg 2000, 6000, 3000 jul, 250 Agniveer</t>
  </si>
  <si>
    <t>June-july Mobile Recharge</t>
  </si>
  <si>
    <t>UPI</t>
  </si>
  <si>
    <t>Cognizant Jul</t>
  </si>
  <si>
    <t>OnePlus Phone</t>
  </si>
  <si>
    <t>Tution fee 8000, 5000 aug</t>
  </si>
  <si>
    <t>Pendrive</t>
  </si>
  <si>
    <t>Cognizant Aug</t>
  </si>
  <si>
    <t>4000 sept</t>
  </si>
  <si>
    <t>mobile rech 700, shadi photo 500</t>
  </si>
  <si>
    <t>Banaras Trip, saree,clothes (8200)</t>
  </si>
  <si>
    <t>Cognizant Sep</t>
  </si>
  <si>
    <t>thawe, sabji, book, flipkart, recharge</t>
  </si>
  <si>
    <t>Tution fee 10000, 3500 oct</t>
  </si>
  <si>
    <t>Oct</t>
  </si>
  <si>
    <t>nazir, fastag</t>
  </si>
  <si>
    <t>Mahaviri puja chanda</t>
  </si>
  <si>
    <t>Chhath puja</t>
  </si>
  <si>
    <t>Cognizant Oct</t>
  </si>
  <si>
    <t>Puja clg fee and books</t>
  </si>
  <si>
    <t>Priyanshu Niwas+ misc</t>
  </si>
  <si>
    <t>Dec 2k, tution</t>
  </si>
  <si>
    <t>nazir, paste, sabji , xerox</t>
  </si>
  <si>
    <t>Pune: pg 7000, train tkt 3000, 4265..trimbakeshwar</t>
  </si>
  <si>
    <t>home, self Mobile Recharge</t>
  </si>
  <si>
    <t>papa tkt gkp to csmt</t>
  </si>
  <si>
    <t>jan</t>
  </si>
  <si>
    <t>Pune : pg 7000, 1765 misc, 750 induction</t>
  </si>
  <si>
    <t>CMA inter reg</t>
  </si>
  <si>
    <t>dum dum watch 418, fastag 500, rech 1000</t>
  </si>
  <si>
    <t>1700 pant, shoe, misc,3300 pune</t>
  </si>
  <si>
    <t>800        Nisha Jee
710        number 
910        nisha watch
1058        rech</t>
  </si>
  <si>
    <t>Pune: pg march 9330</t>
  </si>
  <si>
    <t>Pune: march spend 4550, 1500 fraud</t>
  </si>
  <si>
    <t>Tution Fee</t>
  </si>
  <si>
    <t>Data science admission
 2000 17 feb
 9000 11 mar</t>
  </si>
  <si>
    <t>Pune: April PG</t>
  </si>
  <si>
    <t>MBA1</t>
  </si>
  <si>
    <t>Tution fee 13000, April 3000</t>
  </si>
  <si>
    <t>E Bill</t>
  </si>
  <si>
    <t>Pune: Expense</t>
  </si>
  <si>
    <t>Data Science 9000</t>
  </si>
  <si>
    <t>Pune: May PG</t>
  </si>
  <si>
    <t>MBA2</t>
  </si>
  <si>
    <t xml:space="preserve">May  </t>
  </si>
  <si>
    <t>E bill</t>
  </si>
  <si>
    <t>Nisha-Amity Form</t>
  </si>
  <si>
    <t>Pune+Delhi: Expense</t>
  </si>
  <si>
    <t>MBA3</t>
  </si>
  <si>
    <t>Pune: June PG</t>
  </si>
  <si>
    <t xml:space="preserve">June  </t>
  </si>
  <si>
    <t>MBA4</t>
  </si>
  <si>
    <t xml:space="preserve">July  </t>
  </si>
  <si>
    <t>clg 1st sem fee</t>
  </si>
  <si>
    <t>home, self</t>
  </si>
  <si>
    <t>Diwali tkt</t>
  </si>
  <si>
    <t>Nisha-Uniform</t>
  </si>
  <si>
    <t>Paytm july23</t>
  </si>
  <si>
    <t>MBA5</t>
  </si>
  <si>
    <t>Nisha-colllege 1st Sem fee</t>
  </si>
  <si>
    <t>Mathura tkt 526, 3327 delhi</t>
  </si>
  <si>
    <t>AUG_SEPT SELF</t>
  </si>
  <si>
    <t>train tkt dli to ghar to delhi</t>
  </si>
  <si>
    <t>home, self: Mobile Recharge</t>
  </si>
  <si>
    <t>Nisha Hostel-Hostel- AUG</t>
  </si>
  <si>
    <t>Nisha Expense-aug sept</t>
  </si>
  <si>
    <t>Nisha-Patne Arrangement</t>
  </si>
  <si>
    <t>Delhi Paytm aug 23</t>
  </si>
  <si>
    <t>MBA6</t>
  </si>
  <si>
    <t>electric bill</t>
  </si>
  <si>
    <t>Medicine</t>
  </si>
  <si>
    <t>Mobile Recharge: home, self</t>
  </si>
  <si>
    <t>sept-oct : Nisha Expense</t>
  </si>
  <si>
    <t>SVM donation</t>
  </si>
  <si>
    <t>Hostel- sept</t>
  </si>
  <si>
    <t>Nisha-Phone</t>
  </si>
  <si>
    <t>Papa Balance</t>
  </si>
  <si>
    <t>Paytm sep 23</t>
  </si>
  <si>
    <t>MBA7</t>
  </si>
  <si>
    <t>CMA Form</t>
  </si>
  <si>
    <t>Dress+form</t>
  </si>
  <si>
    <t>Fastag</t>
  </si>
  <si>
    <t>oct-nov</t>
  </si>
  <si>
    <t>Paytm oct 23</t>
  </si>
  <si>
    <t>MBA8</t>
  </si>
  <si>
    <t>Diwali Kurta1450, 500 chath diwali khrcha</t>
  </si>
  <si>
    <t>Paytm nov 23</t>
  </si>
  <si>
    <t>nov-dec</t>
  </si>
  <si>
    <t>Hostel Oct</t>
  </si>
  <si>
    <t>MBA9</t>
  </si>
  <si>
    <t>Chanda</t>
  </si>
  <si>
    <t>Hostel Nov- Dec23</t>
  </si>
  <si>
    <t>E draw flat</t>
  </si>
  <si>
    <t>Dec-jan</t>
  </si>
  <si>
    <t>Paytm</t>
  </si>
  <si>
    <t>Credit Card</t>
  </si>
  <si>
    <t>MBA10</t>
  </si>
  <si>
    <t>Amity Exam Fee</t>
  </si>
  <si>
    <t>Clg 2nd sem fee</t>
  </si>
  <si>
    <t>Laptop Repair</t>
  </si>
  <si>
    <t>Jan-feb 1500, puja form 200</t>
  </si>
  <si>
    <t>Rhishikesh</t>
  </si>
  <si>
    <t>MBA11</t>
  </si>
  <si>
    <t>recharge</t>
  </si>
  <si>
    <t>Tution fee</t>
  </si>
  <si>
    <t>Hostel Jan-feb24</t>
  </si>
  <si>
    <t>Mine</t>
  </si>
  <si>
    <t>Mar Expense</t>
  </si>
  <si>
    <t>TKT +BLAZER</t>
  </si>
  <si>
    <t xml:space="preserve">5283.6        1320.9        return
3200        1500+1700        blazer
2653.6        1326.8        d to g-2
3980.4        1326.8        d to g 3
950                return 1
-1700                bitan bhai blazer
-1327                bitan bjai 1 tkt
13040.6                </t>
  </si>
  <si>
    <t>MBA12</t>
  </si>
  <si>
    <t>Puja beltron</t>
  </si>
  <si>
    <t>Car Insurance</t>
  </si>
  <si>
    <t>CREDIT CARD</t>
  </si>
  <si>
    <t xml:space="preserve">Cognizant Bonus </t>
  </si>
  <si>
    <t>Paytm: Delhi+Home</t>
  </si>
  <si>
    <t>Paytm 4500 cash, 3500 a/c</t>
  </si>
  <si>
    <t>Office Gift</t>
  </si>
  <si>
    <t>Nisha hostel March-april</t>
  </si>
  <si>
    <t>Expense April</t>
  </si>
  <si>
    <t>Dum Dum form</t>
  </si>
  <si>
    <t>DRCC Return</t>
  </si>
  <si>
    <t>MBA 1</t>
  </si>
  <si>
    <t>Engagement Kapda 5681: 2200 shoes, 2500 suit, 1000 alteration</t>
  </si>
  <si>
    <t>MAY</t>
  </si>
  <si>
    <t>including expense at home  mobile recharge, bday, etc</t>
  </si>
  <si>
    <t>Apple Macbook</t>
  </si>
  <si>
    <t>Delhi may, Nisha bottle</t>
  </si>
  <si>
    <t>MIT Transcript</t>
  </si>
  <si>
    <t>Internship</t>
  </si>
  <si>
    <t>June-july2500, 1000 remain from 40k loan</t>
  </si>
  <si>
    <t>delhi to bth</t>
  </si>
  <si>
    <t xml:space="preserve">3500scorpio, 1500,recharge 1800, nisha bag, puja phone repair, Home+ delhi </t>
  </si>
  <si>
    <t>1-2000, 2-2000, by prince 1600, 6- 500,15-2500,15- 300, 543</t>
  </si>
  <si>
    <t>Nisha hostel May-June</t>
  </si>
  <si>
    <t>July 1500</t>
  </si>
  <si>
    <t>Gkp-del, Pawan tkt</t>
  </si>
  <si>
    <t>Bike Servicing 1900+ Petrol 450</t>
  </si>
  <si>
    <t>9000+700 cash</t>
  </si>
  <si>
    <t xml:space="preserve">Recharge, paste
364        toothposte
249        priyanshu
249        nisha
249        maa
666        dongle
2545        pawan
249        puja
4571        </t>
  </si>
  <si>
    <t>Papa tkt 530, puja phn cover 115</t>
  </si>
  <si>
    <t>Shoe</t>
  </si>
  <si>
    <t>Aug 2000,500, 850 SBI PO</t>
  </si>
  <si>
    <t>Nisha hostel July 24</t>
  </si>
  <si>
    <t>Aug Exp 2500</t>
  </si>
  <si>
    <t>clg 3rd Sem Fee 2500</t>
  </si>
  <si>
    <t>Clg 3rd sem fee 51500 by drcc</t>
  </si>
  <si>
    <t>Ayan fee 800</t>
  </si>
  <si>
    <t>Sept3000, 30sep 2500</t>
  </si>
  <si>
    <t>Nisha hostel Aug 24-8500&amp; Sept Exp</t>
  </si>
  <si>
    <t>1000 monthly &amp; 500 Samyuktha Wedding gift</t>
  </si>
  <si>
    <t>Recharge, water bottle, rakhi gift</t>
  </si>
  <si>
    <t>Railway tkt</t>
  </si>
  <si>
    <t>Ayan fee 800 sep</t>
  </si>
  <si>
    <t>Dum Dum PW Class</t>
  </si>
  <si>
    <t xml:space="preserve">Recharge </t>
  </si>
  <si>
    <t>E Bill, Toilet Pipe</t>
  </si>
  <si>
    <t>BPSC class</t>
  </si>
  <si>
    <t>Pawan &amp; Rajan Med 2k, 300 petrol</t>
  </si>
  <si>
    <t xml:space="preserve">including metro rech 500 </t>
  </si>
  <si>
    <t>Nisha hostel Sept 24-8500&amp; OCT Exp, bday 500, 500</t>
  </si>
  <si>
    <t>Oct 3000, 14- 2000</t>
  </si>
  <si>
    <t>ICMAI Exam</t>
  </si>
  <si>
    <t>ANVT-GKP</t>
  </si>
  <si>
    <t xml:space="preserve">Oct  </t>
  </si>
  <si>
    <t>Papa tkt SV-ranchi</t>
  </si>
  <si>
    <t>Refund</t>
  </si>
  <si>
    <t>Including, 600 chimney installation, 1050 gas, and petrol 400</t>
  </si>
  <si>
    <t>trolley</t>
  </si>
  <si>
    <t>Phone</t>
  </si>
  <si>
    <t>Nov, med 1080</t>
  </si>
  <si>
    <t>Nisha hostel Oct 24-8500&amp; Nov Exp3500</t>
  </si>
  <si>
    <t>Dec4000, 22-1000</t>
  </si>
  <si>
    <t>Home rech 250, grocery</t>
  </si>
  <si>
    <t>Train tkt Pawan-Puja GKP-DEL</t>
  </si>
  <si>
    <t>Blanket</t>
  </si>
  <si>
    <t>Nisha hostel Nov 24-8500&amp; dec Exp2500, 1000 16-winter</t>
  </si>
  <si>
    <t>GKP-DEL Rajan</t>
  </si>
  <si>
    <t>DEL-GKP Tkt 3 me, chacha chachi 7 feb</t>
  </si>
  <si>
    <t>Train tkt DEL-GKP Rajan</t>
  </si>
  <si>
    <t>Avenger parts</t>
  </si>
  <si>
    <t>Dehradun trip</t>
  </si>
  <si>
    <t xml:space="preserve">1 jan 4000, 21 Jan 1500  </t>
  </si>
  <si>
    <t>Clg 4th sem fee 54000 by drcc</t>
  </si>
  <si>
    <t>Nisha hostel Dec 24-8500&amp; jan Exp2500</t>
  </si>
  <si>
    <t>Jan hostel feb expense</t>
  </si>
  <si>
    <t>Mat Exam</t>
  </si>
  <si>
    <t>Papa tkt gkp-del</t>
  </si>
  <si>
    <t>Flipkart 1900, 500 cash</t>
  </si>
  <si>
    <t>Kapda</t>
  </si>
  <si>
    <t>Jan 7000, 3300 ,1150 ,275</t>
  </si>
  <si>
    <t>DEL to GKP papa, puja, pawan</t>
  </si>
  <si>
    <t>For Gyser from Papa</t>
  </si>
  <si>
    <t>Gyser</t>
  </si>
  <si>
    <t>Shadi</t>
  </si>
  <si>
    <t>Currency at home</t>
  </si>
  <si>
    <t>pawan ibps 750, nisha nptel 1000, puja police 500, bijli bill 1150, recharge</t>
  </si>
  <si>
    <t>Recharge by CC paid on 18 march</t>
  </si>
  <si>
    <t>Feb hostel, mar exp</t>
  </si>
  <si>
    <t>Pawan GKP-DEL</t>
  </si>
  <si>
    <t xml:space="preserve">LIC : Me &amp; Pawan </t>
  </si>
  <si>
    <t>800 tkt cancel,500 chicken, 700 puja clg, 500 petrol, 500 sabji, med</t>
  </si>
  <si>
    <t>Cash</t>
  </si>
  <si>
    <t>E bill- feb&amp; mar</t>
  </si>
  <si>
    <t>Dum Dum PW class 12</t>
  </si>
  <si>
    <t>GKP-ANVT- Rajan+alka</t>
  </si>
  <si>
    <t>8500+ 2500 Mar hoste, apr exp</t>
  </si>
  <si>
    <t>GKP-ANVT- Rajan</t>
  </si>
  <si>
    <t>Manali 12k stay, 6k para, 3600 expe</t>
  </si>
  <si>
    <t>ANVT-GKP- Rajan+Alka</t>
  </si>
  <si>
    <t>AC shifting</t>
  </si>
  <si>
    <t>Misc</t>
  </si>
  <si>
    <t>penula, delhi</t>
  </si>
  <si>
    <t xml:space="preserve">Cognizant April </t>
  </si>
  <si>
    <t>Car Insurence</t>
  </si>
  <si>
    <t>Alks shoes, jeans, maa chapal, puja chapal, phn cover</t>
  </si>
  <si>
    <t>8500+2500 May exp, apr hostel</t>
  </si>
  <si>
    <t>Bike Service</t>
  </si>
  <si>
    <t>Till 21 May+ 3000 till may end</t>
  </si>
  <si>
    <t>Ebill</t>
  </si>
  <si>
    <t>2 Fan-2200,889- shyama dress, puja dress- 598, alka-3365, delhi -1000, burger 790, 320 washing pipe=9162</t>
  </si>
  <si>
    <t>3276 recharge+ advi gift, 1595 alka gift</t>
  </si>
  <si>
    <t>8500+3500 June exp, May hostel</t>
  </si>
  <si>
    <t>Alks BPSC Class</t>
  </si>
  <si>
    <t>June till 30</t>
  </si>
  <si>
    <t>Cognizant June</t>
  </si>
  <si>
    <t>8500+2500 July exp, June hostel, 5000 for internship walkway</t>
  </si>
  <si>
    <t>873 bike insurance, 1798 stand fan, 643 ration, 657 umbrella+kismis, 576 sofacover,  318 bottle</t>
  </si>
  <si>
    <t>Recharge 1400</t>
  </si>
  <si>
    <t>1 July to 8 July</t>
  </si>
  <si>
    <t>ANVT- GKP Rajan</t>
  </si>
  <si>
    <t>Kismish, mixture, biscuit, almond, chacha gift=1039</t>
  </si>
  <si>
    <t>9 July to 30 july</t>
  </si>
  <si>
    <t>Cognizant July</t>
  </si>
  <si>
    <t>August 4000+1000</t>
  </si>
  <si>
    <t>8500+1500 Aug exp, July hostel</t>
  </si>
  <si>
    <t>Gkp-ANVT Rajan</t>
  </si>
  <si>
    <t>Maa SBI</t>
  </si>
  <si>
    <t>Puja MA Adm</t>
  </si>
  <si>
    <t>1 Aug to 15 Aug 1875+507dress, + 500 Baniyan, underwear, 700 dry fruits, 200 bus</t>
  </si>
  <si>
    <t>ANVT-GKP 3, Rajan, Pawan, Chachi</t>
  </si>
  <si>
    <t>CMA</t>
  </si>
  <si>
    <t>16 Aug to 24 Aug 2979, 500 petrol, 27 Aug to 31 Aug 1000, 350 ayaan olympiad, 150 Momo</t>
  </si>
  <si>
    <t>Cream, mosquito net, Puja dress, Water Alarm, Fogg, Medicine</t>
  </si>
  <si>
    <t>Sept. 1- 5000, 27- 1000</t>
  </si>
  <si>
    <t>8500+2500 Sept exp, Aug hostel</t>
  </si>
  <si>
    <t>clg fee 5th sem</t>
  </si>
  <si>
    <t>Clg 5th sem fee 54000 by drcc</t>
  </si>
  <si>
    <t>GKP-ANVT 2, Chachi, Chacha</t>
  </si>
  <si>
    <t>Tshirt Jamunaha</t>
  </si>
  <si>
    <t>Ring</t>
  </si>
  <si>
    <t>Bike Insurance</t>
  </si>
  <si>
    <t>Provisional</t>
  </si>
  <si>
    <t>Stet Exam</t>
  </si>
  <si>
    <t>Fastag 1000, e bill august 166</t>
  </si>
  <si>
    <t>IBPS</t>
  </si>
  <si>
    <t>1 sept to 30 Sep</t>
  </si>
  <si>
    <t>Dmart, blinkit, kishmis, tshirt, pant=2400</t>
  </si>
  <si>
    <t>recharge 1100</t>
  </si>
  <si>
    <t xml:space="preserve">2500- 2 oct, 1000 -20 Oct </t>
  </si>
  <si>
    <t>8500+2500 Oct exp, Sept hostel, 500 bday</t>
  </si>
  <si>
    <t>1 Oct to 15 Oct- 7800, 1600 fk ration</t>
  </si>
  <si>
    <t>Almond, kishmis, misc</t>
  </si>
  <si>
    <t>16 Oct to 31 Oct : 3400 A/C, 5000 cash: 1500 chanda, 500 mela,1000 chanda</t>
  </si>
  <si>
    <t>Pawan, Rajan ,BTH-GKP</t>
  </si>
  <si>
    <t>5000 - 3 nov</t>
  </si>
  <si>
    <t>8500+2500 Nov exp, Oct hostel</t>
  </si>
  <si>
    <t>Dress</t>
  </si>
  <si>
    <t>Curtain *4, tshirt</t>
  </si>
  <si>
    <t>home 1 to 7 nov 1500, delhi 8 to 30 nov  7600</t>
  </si>
  <si>
    <t>4000 :2 Dec</t>
  </si>
  <si>
    <t>8500+2500 Dec exp, Nov hostel, 561 myntra</t>
  </si>
  <si>
    <t>Mobile Phone( 14128-8500(old phn ))</t>
  </si>
  <si>
    <t>Dec (376+630+1000)</t>
  </si>
  <si>
    <t>8 Dec: Maa Saree &amp; suit: 5000, 14 Dec: 1500 Babu Kada</t>
  </si>
  <si>
    <t>recharge 899, 707 wifi,209,209,209</t>
  </si>
  <si>
    <t>Tota Pilas: 327</t>
  </si>
  <si>
    <t>Rajan 3 Jan del-GKP</t>
  </si>
  <si>
    <t>Rajan 11 Feb del-GKP</t>
  </si>
  <si>
    <t xml:space="preserve">  December+1500+500</t>
  </si>
  <si>
    <t>Helmet</t>
  </si>
  <si>
    <t>6000 : 2dec</t>
  </si>
  <si>
    <t>Rajan's lower &amp; tshirt</t>
  </si>
  <si>
    <t>8500+2500+1000: 18Jan,- Jan exp, Dec hostel, 500 : 28 jan</t>
  </si>
  <si>
    <t>Jan (376+630)</t>
  </si>
  <si>
    <t>Beda</t>
  </si>
  <si>
    <t>Slice Return</t>
  </si>
  <si>
    <t>Return</t>
  </si>
  <si>
    <t xml:space="preserve"> 19 Jan GKP-ANVT : Rajan</t>
  </si>
  <si>
    <t>Puja Phone Repair: 750, E Bill Farm: 450</t>
  </si>
  <si>
    <t>500 for travelling</t>
  </si>
  <si>
    <t>3 month recharge: Puja, Dum Dum, Me, Alka</t>
  </si>
  <si>
    <t>2 jan:5000+735</t>
  </si>
  <si>
    <t>Gift , grocey, facewash</t>
  </si>
  <si>
    <t>Papa Flight Mumbai to GKP</t>
  </si>
  <si>
    <t>DDA Application</t>
  </si>
  <si>
    <t>Feb (376)</t>
  </si>
  <si>
    <t>8500+2500- Feb exp, Jan hostel</t>
  </si>
  <si>
    <t>4 Feb 2000,  19 Feb 2000</t>
  </si>
  <si>
    <t>Alka Feb</t>
  </si>
  <si>
    <t>E bill Farm</t>
  </si>
  <si>
    <t>Personal( Anniversery  Gift)</t>
  </si>
  <si>
    <t>clg 6th Sem fee</t>
  </si>
  <si>
    <t>r tkt for 5 Mar april rajan : GKP-DLI</t>
  </si>
  <si>
    <t>1 Feb:11 Feb : ₹4,968.89</t>
  </si>
  <si>
    <t>12 Feb: 28 Feb: 3195, Anniversery: 1000, 2000</t>
  </si>
  <si>
    <t>tkt for 30 apr rajan &amp; chachi: DLI-GKP</t>
  </si>
  <si>
    <t>2 : 4000, 20: 2000</t>
  </si>
  <si>
    <t>Ignou Admission MA</t>
  </si>
  <si>
    <t>Dry Fruits</t>
  </si>
  <si>
    <t>r tkt for 29 apr rajan: BTH-DLI</t>
  </si>
  <si>
    <t>Sling Bag: 200, chain : 250</t>
  </si>
  <si>
    <t>r tkt for 23 apr pawan : DLI-GKP</t>
  </si>
  <si>
    <t>r tkt for 30 apr pawan: BTH-DLI</t>
  </si>
  <si>
    <t>r tkt for 15 april rajan : DLI-GKP</t>
  </si>
  <si>
    <t>1 Mar: 7 Mar: 1361+500</t>
  </si>
  <si>
    <t>8500+2500- Mar exp, Feb hostel: 11000, 10 Mar: 1000, 19: 500</t>
  </si>
  <si>
    <t>Donation</t>
  </si>
  <si>
    <t>Mar (376+1000)</t>
  </si>
  <si>
    <t>Jammu</t>
  </si>
  <si>
    <t>Room rent for 16 march to 15 april: 12- 5000, 18- 7000</t>
  </si>
  <si>
    <t>AMC</t>
  </si>
  <si>
    <t>7 Mar: 31 Mar</t>
  </si>
  <si>
    <t>Self, wifi, dum dum, alka</t>
  </si>
  <si>
    <t>Fufa ji tkt: 22 mar del-gkp</t>
  </si>
  <si>
    <t>Alka PPF Account</t>
  </si>
  <si>
    <t>Rajan PPF Account:5000, 500: 30 May</t>
  </si>
  <si>
    <t>Pawan PPF Account</t>
  </si>
  <si>
    <t>Dry Fruits &amp; Paste</t>
  </si>
  <si>
    <t>MAT Exam Form 2200, Tshirt: 285</t>
  </si>
  <si>
    <t>Rajan Shoe</t>
  </si>
  <si>
    <t>Mar hostel 8500, apr: 2500,15- 500</t>
  </si>
  <si>
    <t>April 3: 2000</t>
  </si>
  <si>
    <t>Apr(376+1000)</t>
  </si>
  <si>
    <t>Wedding Purpose : 11: 10000, 24: 8000, 1000 (16400 ring)</t>
  </si>
  <si>
    <t>Room rent for 16 April to 15 May</t>
  </si>
  <si>
    <t>Wedding Kurta</t>
  </si>
  <si>
    <t>wifi 707, 666,666,151</t>
  </si>
  <si>
    <t>Pawan tkt dli to gkp 22 Apr 26</t>
  </si>
  <si>
    <t>Kundan Babu ki shadi &amp; Anuj Bhaiya ki shadi me</t>
  </si>
  <si>
    <t>Pawan tkt dli to gkp Cancel</t>
  </si>
  <si>
    <t>MBA Seat Booking</t>
  </si>
  <si>
    <t>Pawan tkt gkp to delhi: 30 apr 26</t>
  </si>
  <si>
    <t>Pawan tkt gkp to delhi: 30 apr 26 Cancel</t>
  </si>
  <si>
    <t>1 Apr: 15 Apr</t>
  </si>
  <si>
    <t>16 Apr : 30 Apr</t>
  </si>
  <si>
    <t>Room shifting, stool, umbrella,kurta, ration</t>
  </si>
  <si>
    <t>Trolley for wedding</t>
  </si>
  <si>
    <t>Apr hostel 8500, May: 3000, 18: 300</t>
  </si>
  <si>
    <t>LIC Pawan</t>
  </si>
  <si>
    <t>LIC Rajan</t>
  </si>
  <si>
    <t>Puja Practical Fee</t>
  </si>
  <si>
    <t>Railway Tkt Rajan Gkp to del</t>
  </si>
  <si>
    <t>Dum Dum admission Registration</t>
  </si>
  <si>
    <t>Gas</t>
  </si>
  <si>
    <t>Room rent for 16 May to 15 June</t>
  </si>
  <si>
    <t>Car Insurance: 2471, Cream: 639</t>
  </si>
  <si>
    <t>Recharge 666,101</t>
  </si>
  <si>
    <t>May (376)</t>
  </si>
  <si>
    <t>E bill 300, Fastag 200</t>
  </si>
  <si>
    <t>Alka May</t>
  </si>
  <si>
    <t>Purse, Table Lamp,Phone Cover, Photo frame, Pawan Shoe, Grocery</t>
  </si>
  <si>
    <t>21 May : 31 May</t>
  </si>
  <si>
    <t>1 May: 20 May</t>
  </si>
  <si>
    <t>May hostel 8500, June: 2500</t>
  </si>
  <si>
    <t>June(376)</t>
  </si>
  <si>
    <t>Delhi Expense</t>
  </si>
  <si>
    <t>1 jun to 30 jun</t>
  </si>
  <si>
    <t>Room rent for 16 June to 15 July</t>
  </si>
  <si>
    <t>FD</t>
  </si>
  <si>
    <t>Slice/ tuna chacha</t>
  </si>
  <si>
    <t>Recharge 899,666, 219</t>
  </si>
  <si>
    <t>Hostel June</t>
  </si>
  <si>
    <t xml:space="preserve">Alka. </t>
  </si>
  <si>
    <t>MIsbalance not getting the value(1214 till 9 jun)</t>
  </si>
  <si>
    <t>11250-5000(21/5)-1971(07/09) Ebill + 500 folding- 575 wire</t>
  </si>
  <si>
    <t>Electricity Purpose</t>
  </si>
  <si>
    <t>Name#</t>
  </si>
  <si>
    <t xml:space="preserve">Hafta  </t>
  </si>
  <si>
    <t xml:space="preserve">tkt  </t>
  </si>
  <si>
    <t>Inv</t>
  </si>
  <si>
    <t>"Dheeeaj thawe 210, 550, 70 -30-20-400
 50 jhanda, 50 dudh,1500, 40mala, 25 -600-200
 =1045"</t>
  </si>
  <si>
    <t>flight</t>
  </si>
  <si>
    <t xml:space="preserve">Ignore Return </t>
  </si>
  <si>
    <t>Mausi phn</t>
  </si>
  <si>
    <t>QH</t>
  </si>
  <si>
    <t>GKP-DEL 21/05/2023 Abhinav &amp; Khushboo Train</t>
  </si>
  <si>
    <t xml:space="preserve">DEL-GKP 02/06/2023 Durgesh Kumar </t>
  </si>
  <si>
    <t>Mausa ji phn</t>
  </si>
  <si>
    <t>DEL-GKP 11/11/2023 Durgesh&amp; Purnima 2626489356</t>
  </si>
  <si>
    <t xml:space="preserve">GKP-DEL 23/11/2023 Durgesh&amp; Purnima </t>
  </si>
  <si>
    <t>form</t>
  </si>
  <si>
    <t>ankit job</t>
  </si>
  <si>
    <t>Cancellation for 1 from 14 jul 11/11/2023 Purnima Kumari 2626489356</t>
  </si>
  <si>
    <t>Laptop</t>
  </si>
  <si>
    <t>rech</t>
  </si>
  <si>
    <t>cash for Newta</t>
  </si>
  <si>
    <t xml:space="preserve">Rcv  From Chacha </t>
  </si>
  <si>
    <t>BRL-DEL 00/01/1900 2 Flight</t>
  </si>
  <si>
    <t>DEL-GKP 00/01/1900 1 Flight</t>
  </si>
  <si>
    <t>BLR-DEL 00/01/1900 1 Flight</t>
  </si>
  <si>
    <t xml:space="preserve">DEL-GKP 02/02/2024 Durgesh Kumar </t>
  </si>
  <si>
    <t>coaching</t>
  </si>
  <si>
    <t>GKP-DEL 10/02/2024 Durgesh Kumar Train</t>
  </si>
  <si>
    <t>udhari</t>
  </si>
  <si>
    <t xml:space="preserve">Blazzer 00/01/1900  </t>
  </si>
  <si>
    <t>DEL-GKP 19/08/1903 paid by Rajan Train</t>
  </si>
  <si>
    <t xml:space="preserve">GKP-DEL 00/01/1900  </t>
  </si>
  <si>
    <t>GKP-BLR 26/04/2024 1 Flight</t>
  </si>
  <si>
    <t>GKP-DEL 28/04/2024 1 Train</t>
  </si>
  <si>
    <t>BLR-GKP 28/10/2024 2 train</t>
  </si>
  <si>
    <t>DEL-GKP 29/10/2024 1 train</t>
  </si>
  <si>
    <t>DEL-BLR 09/08/2024 5623 Flight</t>
  </si>
  <si>
    <t>BLR-DEL 17/08/2024 1 Flight</t>
  </si>
  <si>
    <t xml:space="preserve">tkt pune to jblpur </t>
  </si>
  <si>
    <t>GKP-BLR 13/11/2024 1 Flight</t>
  </si>
  <si>
    <t>Rcv Bhabhi</t>
  </si>
  <si>
    <t>GKP-DXB 23/11/2024 17216 Flight</t>
  </si>
  <si>
    <t>Flight</t>
  </si>
  <si>
    <t>DEL-GKP 07/02/2025 Cancel tkt</t>
  </si>
  <si>
    <t>BLR-GKP 03/02/2025  Flight</t>
  </si>
  <si>
    <t>GKP-Del 22/02/2025  R Tkt</t>
  </si>
  <si>
    <t>DEL-GKP 06/02/2025  R Tkt</t>
  </si>
  <si>
    <t>Train tkt del to GKP</t>
  </si>
  <si>
    <t>Ignore 10*100 Currency</t>
  </si>
  <si>
    <t>Stall 00/01/1900  Stall</t>
  </si>
  <si>
    <t>GKP-BLR 08/03/1943 Flight one card flight EMI</t>
  </si>
  <si>
    <t>Urgent</t>
  </si>
  <si>
    <t>Gift dress 00/01/1900  alka</t>
  </si>
  <si>
    <t>Sofa Paid 00/01/1900  Sofa</t>
  </si>
  <si>
    <t>old</t>
  </si>
  <si>
    <t>purse</t>
  </si>
  <si>
    <t xml:space="preserve">Paid to Chacha </t>
  </si>
  <si>
    <t>bike service</t>
  </si>
  <si>
    <t>Rcv 5k rcv- 1k at home  Bhabhi</t>
  </si>
  <si>
    <t>DEL-GKP 15/10/2025 Durgesh Kumar Train</t>
  </si>
  <si>
    <t>Bike waste</t>
  </si>
  <si>
    <t>GKP-DEL 01/11/2025 Durgesh Kumar Train</t>
  </si>
  <si>
    <t>phnpe</t>
  </si>
  <si>
    <t>tkt</t>
  </si>
  <si>
    <t>tkt cancel</t>
  </si>
  <si>
    <t>cancel fee</t>
  </si>
  <si>
    <t>Med</t>
  </si>
  <si>
    <t xml:space="preserve">Tkt  gkp-pune </t>
  </si>
  <si>
    <t>Chandni chwk</t>
  </si>
  <si>
    <t>Rcv 00/01/1900 Misc+ Light 600+200</t>
  </si>
  <si>
    <t>GKP-BLR 07/11/2025 Purnima Kumari Flight</t>
  </si>
  <si>
    <t>GKP-DUBAI 00/01/1900 Pappu Bhaiya Flight</t>
  </si>
  <si>
    <t>Return gkp-pune Cancel</t>
  </si>
  <si>
    <t>Sunil Chacha med</t>
  </si>
  <si>
    <t>slice</t>
  </si>
  <si>
    <t>LIC</t>
  </si>
  <si>
    <t>Rent</t>
  </si>
  <si>
    <t>Frd's Phn: 35003</t>
  </si>
  <si>
    <t>2996 cc</t>
  </si>
  <si>
    <t>Gudu</t>
  </si>
  <si>
    <t>Break FD</t>
  </si>
  <si>
    <t>For FD</t>
  </si>
  <si>
    <t>Created FD</t>
  </si>
  <si>
    <t>EMI 2(10 Nov 25)</t>
  </si>
  <si>
    <t>EMI 3(24 Dec 25)</t>
  </si>
  <si>
    <t>Fatsag</t>
  </si>
  <si>
    <t>Slice 1</t>
  </si>
  <si>
    <t>OneCard:12929 1 of 6</t>
  </si>
  <si>
    <t>EMI 4</t>
  </si>
  <si>
    <t>Chicken</t>
  </si>
  <si>
    <t>EMI 2</t>
  </si>
  <si>
    <t>slice-phnpe</t>
  </si>
  <si>
    <t>Bheem Shah</t>
  </si>
  <si>
    <t>Slice 2</t>
  </si>
  <si>
    <t>Nisha Fee CC</t>
  </si>
  <si>
    <t>OneCard:12929 2 of 6</t>
  </si>
  <si>
    <t>OneCard: 9421 1 of 6</t>
  </si>
  <si>
    <t>EMI 5</t>
  </si>
  <si>
    <t>EMI 3</t>
  </si>
  <si>
    <t>r tkt for 5 Mar april : GKP-DLI</t>
  </si>
  <si>
    <t>GKP-PUN</t>
  </si>
  <si>
    <t>Slice 3</t>
  </si>
  <si>
    <t>Ignore Return- 7900</t>
  </si>
  <si>
    <t>tkt PNBE-Pune Choubey</t>
  </si>
  <si>
    <t>OneCard:12929 3 of 6</t>
  </si>
  <si>
    <t>OneCard: 9421 2 of 6</t>
  </si>
  <si>
    <t>PUN-GKP</t>
  </si>
  <si>
    <t>tkt Pune-GKP Choubey</t>
  </si>
  <si>
    <t xml:space="preserve">Currency Currency Durgesh Kumar </t>
  </si>
  <si>
    <t>Credit card</t>
  </si>
  <si>
    <t>Slice 4</t>
  </si>
  <si>
    <t>OneCard: 9421 3 of 6</t>
  </si>
  <si>
    <t>OneCard:12929 4 of 6</t>
  </si>
  <si>
    <t>Onecard: 13385 1 of 3</t>
  </si>
  <si>
    <t>Onecard: 8315</t>
  </si>
  <si>
    <t>CC(2 Mar 26)</t>
  </si>
  <si>
    <t xml:space="preserve">Bitan Bhaiya anvt to gkp 23/04/2026 Durgesh Kumar </t>
  </si>
  <si>
    <t>Cash- Wedding</t>
  </si>
  <si>
    <t>Cash- Currency</t>
  </si>
  <si>
    <t>UPI- Mala:1800, Milk: 500*2,Auto Fare:1400</t>
  </si>
  <si>
    <t>UPI- Milk:252, Biscuit:680</t>
  </si>
  <si>
    <t>CC- Washing MC&amp; Fridge</t>
  </si>
  <si>
    <t>cc- tv, mixer, iron</t>
  </si>
  <si>
    <t>CC- AC</t>
  </si>
  <si>
    <t>Slice 5</t>
  </si>
  <si>
    <t>From Slice: 79000 (5260.42* 18): 5338</t>
  </si>
  <si>
    <t>Slice 6</t>
  </si>
  <si>
    <t>Slice 7</t>
  </si>
  <si>
    <t>Slice 8</t>
  </si>
  <si>
    <t>Slice 9</t>
  </si>
  <si>
    <t>OneCard:12929 5 of 6</t>
  </si>
  <si>
    <t>Onecard: 13385 2 of 3</t>
  </si>
  <si>
    <t>UPI- Electric</t>
  </si>
  <si>
    <t>Cash- Return</t>
  </si>
  <si>
    <t>Flight EMI</t>
  </si>
  <si>
    <t>Vikas Bhaiya</t>
  </si>
  <si>
    <t>EMI 6</t>
  </si>
  <si>
    <t>OneCard:12929 6 of 6</t>
  </si>
  <si>
    <t>Onecard: 13385 3 of 3</t>
  </si>
  <si>
    <t>Slice 1/18</t>
  </si>
  <si>
    <t>Tuna chacha</t>
  </si>
  <si>
    <t>Nagendra jaiswal</t>
  </si>
  <si>
    <t xml:space="preserve">Ignore Currency </t>
  </si>
  <si>
    <t>Date</t>
  </si>
  <si>
    <t>Desc</t>
  </si>
  <si>
    <t>Txn</t>
  </si>
  <si>
    <t>Account</t>
  </si>
  <si>
    <t>Amount</t>
  </si>
  <si>
    <t>Balance</t>
  </si>
  <si>
    <t>Papa Expense</t>
  </si>
  <si>
    <t>Shadi Expense</t>
  </si>
  <si>
    <t>Due Dt</t>
  </si>
  <si>
    <t>Paid Amt</t>
  </si>
  <si>
    <t>Pay Dt</t>
  </si>
  <si>
    <t>-</t>
  </si>
  <si>
    <t>Total Balance</t>
  </si>
  <si>
    <t xml:space="preserve">Arranged Currency </t>
  </si>
  <si>
    <t>ACTUAL DT</t>
  </si>
  <si>
    <t>EXPECTED DT</t>
  </si>
  <si>
    <t>College fee</t>
  </si>
  <si>
    <t>Rcv by DRCC</t>
  </si>
  <si>
    <t>UTR No</t>
  </si>
  <si>
    <t>Lotan BABA</t>
  </si>
  <si>
    <t>Debit</t>
  </si>
  <si>
    <t>inner, ganji, janghiya</t>
  </si>
  <si>
    <t>SEM 1</t>
  </si>
  <si>
    <t>JULY 23- DEC 23</t>
  </si>
  <si>
    <t>PAID SELF</t>
  </si>
  <si>
    <t>Loader</t>
  </si>
  <si>
    <t>Credit</t>
  </si>
  <si>
    <t>Hair cut</t>
  </si>
  <si>
    <t>SEM 2</t>
  </si>
  <si>
    <t>JAN 24- JUNE 24</t>
  </si>
  <si>
    <t>PAID BY DRCC</t>
  </si>
  <si>
    <t>Dewanti Enterprises</t>
  </si>
  <si>
    <t>AC Fitting</t>
  </si>
  <si>
    <t>SEM 3</t>
  </si>
  <si>
    <t>JULY 24- DEC 24</t>
  </si>
  <si>
    <t>Deepak Enterprises</t>
  </si>
  <si>
    <t>Room Carpet</t>
  </si>
  <si>
    <t>SEM 4</t>
  </si>
  <si>
    <t>JAN 25- JUNE 25</t>
  </si>
  <si>
    <t>Loader manjesh-800, 4500</t>
  </si>
  <si>
    <t>Coat Pant shirt</t>
  </si>
  <si>
    <t>SEM 5</t>
  </si>
  <si>
    <t>JULY 25- DEC 25</t>
  </si>
  <si>
    <t>Return by DRCC</t>
  </si>
  <si>
    <t>Krishna Shah</t>
  </si>
  <si>
    <t>Shirt, shocks, tie</t>
  </si>
  <si>
    <t>SEM 6</t>
  </si>
  <si>
    <t>JAN 26- JUNE 26</t>
  </si>
  <si>
    <t>Pawan Blazer</t>
  </si>
  <si>
    <t>SEM 7</t>
  </si>
  <si>
    <t>JULY 26- DEC 26</t>
  </si>
  <si>
    <t>Tiwari Jee</t>
  </si>
  <si>
    <t>Yellow kurta</t>
  </si>
  <si>
    <t>SEM 8</t>
  </si>
  <si>
    <t>JAN 27- JUNE 27</t>
  </si>
  <si>
    <t>Jugeshwar Choudhari</t>
  </si>
  <si>
    <t>Sherwani</t>
  </si>
  <si>
    <t>Asgar Ali</t>
  </si>
  <si>
    <t>Santosh mishra ranchi</t>
  </si>
  <si>
    <t>Shoes</t>
  </si>
  <si>
    <t>Bunela verma</t>
  </si>
  <si>
    <t>Trolley</t>
  </si>
  <si>
    <t>puja/nisha</t>
  </si>
  <si>
    <t xml:space="preserve">General use </t>
  </si>
  <si>
    <t>Sandeep Verma</t>
  </si>
  <si>
    <t xml:space="preserve">pawan  </t>
  </si>
  <si>
    <t>Binod Kr Mishra</t>
  </si>
  <si>
    <t>Paneer, cream, Mashroom</t>
  </si>
  <si>
    <t>cash return by prakash chacha</t>
  </si>
  <si>
    <t>Tiwari ji.
 Nilam tiwari</t>
  </si>
  <si>
    <t>fastag</t>
  </si>
  <si>
    <t>Sunil chacha for laptop</t>
  </si>
  <si>
    <t>puja purse, watch, sandle, general daily use, pawan watch, tshirt, track pant, perfume,</t>
  </si>
  <si>
    <t>Pradeep Sharma</t>
  </si>
  <si>
    <t>Parda hanger, pen drive</t>
  </si>
  <si>
    <t>Deepak Engineering</t>
  </si>
  <si>
    <t>Hanger, table</t>
  </si>
  <si>
    <t>Bunela</t>
  </si>
  <si>
    <t>Fan</t>
  </si>
  <si>
    <t>Diwakar Singh</t>
  </si>
  <si>
    <t>Camera</t>
  </si>
  <si>
    <t>Rakesh Gupta</t>
  </si>
  <si>
    <t>Currency Rcv</t>
  </si>
  <si>
    <t>Prakash Chacha</t>
  </si>
  <si>
    <t>Sanjeev</t>
  </si>
  <si>
    <t>Bimlesh Kumar Mishra</t>
  </si>
  <si>
    <t>Car driver</t>
  </si>
  <si>
    <t>petrol</t>
  </si>
  <si>
    <t>Pradeep sharma</t>
  </si>
  <si>
    <t>camera</t>
  </si>
  <si>
    <t>Mastkim Ansari</t>
  </si>
  <si>
    <t>500 puja, nisha, 1000 advika, 1000 Navya</t>
  </si>
  <si>
    <t>Rakesh Kumar Gupta</t>
  </si>
  <si>
    <t>rani 4000, 500 puja nisha</t>
  </si>
  <si>
    <t>rani payal++</t>
  </si>
  <si>
    <t>Rajan Kumar singh
Inverter Battery</t>
  </si>
  <si>
    <t>rani ki beti kada</t>
  </si>
  <si>
    <t>Car insurance</t>
  </si>
  <si>
    <t>Rakesh kumar</t>
  </si>
  <si>
    <t>Nos</t>
  </si>
  <si>
    <t>Bunela Verma</t>
  </si>
  <si>
    <t>Car Services</t>
  </si>
  <si>
    <t>Ram Kumar yadav (6203296622)</t>
  </si>
  <si>
    <t>Shravan Kumar</t>
  </si>
  <si>
    <t>Arranged</t>
  </si>
  <si>
    <t>Manohar Mishra</t>
  </si>
  <si>
    <t>Vinod Mishra karnpura</t>
  </si>
  <si>
    <t>Ujjwal- Farm</t>
  </si>
  <si>
    <t>Total Kept</t>
  </si>
  <si>
    <t>Dhananjay Kahrwar</t>
  </si>
  <si>
    <t>Rakesh Kumar</t>
  </si>
  <si>
    <t>Tiwari Jee (TRANSFER FROM 34520714998 SANJIVANI VIKAS FOUNDA - 020499342540259072 MoneyTRF TXN @KO 1A795900)</t>
  </si>
  <si>
    <t>Car service</t>
  </si>
  <si>
    <t>Note</t>
  </si>
  <si>
    <t>Count</t>
  </si>
  <si>
    <t>Total Currency</t>
  </si>
  <si>
    <t>Status</t>
  </si>
  <si>
    <t>Dhananjay Kharwar</t>
  </si>
  <si>
    <t>Sanskar Kumar</t>
  </si>
  <si>
    <t>Parchawan</t>
  </si>
  <si>
    <t>Bike Battery</t>
  </si>
  <si>
    <t>with me</t>
  </si>
  <si>
    <t>Seema Misha</t>
  </si>
  <si>
    <t>Ravi Kumar</t>
  </si>
  <si>
    <t>Larki dekhne waste chacha ko</t>
  </si>
  <si>
    <t>Sunil Mishra</t>
  </si>
  <si>
    <t>Akhilesh Barnwal</t>
  </si>
  <si>
    <t>📊  FINANCE EXECUTIVE DASHBOARD</t>
  </si>
  <si>
    <t>Y E A R</t>
  </si>
  <si>
    <t>L A S T   U P D A T E D</t>
  </si>
  <si>
    <t>Smart insights into your money, at a glance</t>
  </si>
  <si>
    <t>💰</t>
  </si>
  <si>
    <t>T O T A L   I N C O M E</t>
  </si>
  <si>
    <t>💸</t>
  </si>
  <si>
    <t>T O T A L   E X P E N S E</t>
  </si>
  <si>
    <t>📈</t>
  </si>
  <si>
    <t>T O T A L   I N V E S T M E N T</t>
  </si>
  <si>
    <t>🏦</t>
  </si>
  <si>
    <t>N E T   S A V I N G S</t>
  </si>
  <si>
    <t>🎯</t>
  </si>
  <si>
    <t>S A V I N G S   R A T E</t>
  </si>
  <si>
    <t>🧾</t>
  </si>
  <si>
    <t>T R A N S A C T I O N S</t>
  </si>
  <si>
    <t>Target: 20%+</t>
  </si>
  <si>
    <t>entries logged</t>
  </si>
  <si>
    <t>📈  MONTHLY INCOME VS EXPENSE</t>
  </si>
  <si>
    <t>🍩  EXPENSE BY CATEGORY (live)</t>
  </si>
  <si>
    <t>🏆  TOP 6 EXPENSE CATEGORIES (live)</t>
  </si>
  <si>
    <t>🔧 chart data — all formulas, do not edit</t>
  </si>
  <si>
    <t>All categories (live from Settings) -&gt; ranked</t>
  </si>
  <si>
    <t>Month</t>
  </si>
  <si>
    <t>SavingsRate</t>
  </si>
  <si>
    <t>Category</t>
  </si>
  <si>
    <t>PaymentMode</t>
  </si>
  <si>
    <t>Type</t>
  </si>
  <si>
    <t>Lender</t>
  </si>
  <si>
    <t>Debit Card</t>
  </si>
  <si>
    <t>Jun</t>
  </si>
  <si>
    <t>Cheque</t>
  </si>
  <si>
    <t>Jul</t>
  </si>
  <si>
    <t>Sep</t>
  </si>
  <si>
    <t>🏅  TOP 5 LENDING BALANCES (live)</t>
  </si>
  <si>
    <t>💳  EXPENSE BY PAYMENT METHOD</t>
  </si>
  <si>
    <t>📉  MONTHLY SAVINGS RATE %</t>
  </si>
  <si>
    <t>🥇</t>
  </si>
  <si>
    <t>🥈</t>
  </si>
  <si>
    <t>🥉</t>
  </si>
  <si>
    <t>🏅</t>
  </si>
  <si>
    <t>🍰  TRANSACTION MIX</t>
  </si>
  <si>
    <t>⚖️  EXPENSE-TO-INCOME RATIO</t>
  </si>
  <si>
    <t>📅  YEAR-WISE SUMMARY (live)</t>
  </si>
  <si>
    <t>Ratio</t>
  </si>
  <si>
    <t>Net Savings</t>
  </si>
  <si>
    <t>Expense as % of Income this year — lower is healthier</t>
  </si>
  <si>
    <t>All values in ₹ (INR)  |  100% formula-driven from Transactions, Cashflow &amp; Settings  |  Change YEAR above to explore any year</t>
  </si>
  <si>
    <t>▼ Choose year from dropdown</t>
  </si>
  <si>
    <t>▼ Choose month from dropdown</t>
  </si>
  <si>
    <t>➕ QUICK ADD</t>
  </si>
  <si>
    <t>TRANSACTION TYPE</t>
  </si>
  <si>
    <t>PAYMENT MODE</t>
  </si>
  <si>
    <t>CASHFLOW TYPE</t>
  </si>
  <si>
    <t>🔗 QUICK ACTIONS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</si>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</sst>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3" formatCode="_(* #,##0.00_);_(* \(#,##0.00\);_(* &quot;-&quot;??_);_(@_)"/>
    <numFmt numFmtId="164" formatCode="\₹#,##0"/>
    <numFmt numFmtId="165" formatCode="0.0%"/>
    <numFmt numFmtId="166" formatCode="\₹#,##0;&quot;(₹&quot;#,##0\);\-"/>
    <numFmt numFmtId="167" formatCode="0.0%;\(0.0%\);\-"/>
    <numFmt numFmtId="168" formatCode="d&quot;-&quot;mmm&quot;-&quot;yyyy"/>
    <numFmt numFmtId="169" formatCode="d\ mmm"/>
    <numFmt numFmtId="170" formatCode="d\ mmmm"/>
    <numFmt numFmtId="171" formatCode="d\ mmm\ yy"/>
    <numFmt numFmtId="172" formatCode="dd\-mmm\-yyyy"/>
    <numFmt numFmtId="173" formatCode="d/m/yy"/>
    <numFmt numFmtId="174" formatCode="dd/mm/yy"/>
    <numFmt numFmtId="175" formatCode="[$₹]#,##0.00"/>
    <numFmt numFmtId="176" formatCode="dd\ mmm\ yyyy"/>
  </numFmts>
  <fonts count="169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rgb="FFFFFFFF"/>
      <name val="Calibri"/>
      <family val="2"/>
      <charset val="1"/>
    </font>
    <font>
      <b/>
      <sz val="18"/>
      <color theme="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9"/>
      <color rgb="FF9CA3AF"/>
      <name val="Calibri"/>
      <family val="2"/>
      <charset val="1"/>
    </font>
    <font>
      <b/>
      <sz val="8"/>
      <color rgb="FF9CA3AF"/>
      <name val="Calibri"/>
      <family val="2"/>
      <charset val="1"/>
    </font>
    <font>
      <b/>
      <sz val="11"/>
      <color rgb="FFD97706"/>
      <name val="Calibri"/>
      <family val="2"/>
      <charset val="1"/>
    </font>
    <font>
      <b/>
      <sz val="11"/>
      <color rgb="FF7C3AED"/>
      <name val="Calibri"/>
      <family val="2"/>
      <charset val="1"/>
    </font>
    <font>
      <i/>
      <sz val="9"/>
      <color rgb="FF9CA3AF"/>
      <name val="Calibri"/>
      <family val="2"/>
      <charset val="1"/>
    </font>
    <font>
      <b/>
      <sz val="7"/>
      <color rgb="FF9CA3AF"/>
      <name val="Calibri"/>
      <family val="2"/>
      <charset val="1"/>
    </font>
    <font>
      <b/>
      <sz val="8"/>
      <color rgb="FF059669"/>
      <name val="Calibri"/>
      <family val="2"/>
      <charset val="1"/>
    </font>
    <font>
      <b/>
      <sz val="8"/>
      <color rgb="FFDC2626"/>
      <name val="Calibri"/>
      <family val="2"/>
      <charset val="1"/>
    </font>
    <font>
      <b/>
      <sz val="8"/>
      <color rgb="FF7C3AED"/>
      <name val="Calibri"/>
      <family val="2"/>
      <charset val="1"/>
    </font>
    <font>
      <b/>
      <sz val="10"/>
      <color rgb="FF111827"/>
      <name val="Calibri"/>
      <family val="2"/>
      <charset val="1"/>
    </font>
    <font>
      <b/>
      <sz val="10"/>
      <color rgb="FF059669"/>
      <name val="Calibri"/>
      <family val="2"/>
      <charset val="1"/>
    </font>
    <font>
      <b/>
      <sz val="10"/>
      <color rgb="FFDC2626"/>
      <name val="Calibri"/>
      <family val="2"/>
      <charset val="1"/>
    </font>
    <font>
      <b/>
      <sz val="10"/>
      <color rgb="FF7C3AED"/>
      <name val="Calibri"/>
      <family val="2"/>
      <charset val="1"/>
    </font>
    <font>
      <b/>
      <sz val="10"/>
      <color rgb="FFD97706"/>
      <name val="Calibri"/>
      <family val="2"/>
      <charset val="1"/>
    </font>
    <font>
      <b/>
      <sz val="9"/>
      <color rgb="FF059669"/>
      <name val="Calibri"/>
      <family val="2"/>
      <charset val="1"/>
    </font>
    <font>
      <b/>
      <sz val="22"/>
      <color rgb="FF059669"/>
      <name val="Calibri"/>
      <family val="2"/>
      <charset val="1"/>
    </font>
    <font>
      <b/>
      <sz val="22"/>
      <color rgb="FFDC2626"/>
      <name val="Calibri"/>
      <family val="2"/>
      <charset val="1"/>
    </font>
    <font>
      <b/>
      <sz val="22"/>
      <color rgb="FF7C3AED"/>
      <name val="Calibri"/>
      <family val="2"/>
      <charset val="1"/>
    </font>
    <font>
      <sz val="9"/>
      <color rgb="FF475569"/>
      <name val="Courier New"/>
      <family val="1"/>
      <charset val="1"/>
    </font>
    <font>
      <sz val="10"/>
      <name val="Arial"/>
      <family val="2"/>
      <charset val="1"/>
    </font>
    <font>
      <b/>
      <sz val="9"/>
      <color rgb="FFFFFFFF"/>
      <name val="Arial"/>
      <family val="2"/>
      <charset val="1"/>
    </font>
    <font>
      <b/>
      <sz val="10"/>
      <color rgb="FF334155"/>
      <name val="Arial"/>
      <family val="2"/>
      <charset val="1"/>
    </font>
    <font>
      <b/>
      <sz val="10"/>
      <color rgb="FF1E40AF"/>
      <name val="Arial"/>
      <family val="2"/>
      <charset val="1"/>
    </font>
    <font>
      <sz val="10"/>
      <color rgb="FF991B1B"/>
      <name val="Arial"/>
      <family val="2"/>
      <charset val="1"/>
    </font>
    <font>
      <sz val="10"/>
      <color rgb="FF5B21B6"/>
      <name val="Arial"/>
      <family val="2"/>
      <charset val="1"/>
    </font>
    <font>
      <sz val="10"/>
      <color rgb="FF78350F"/>
      <name val="Arial"/>
      <family val="2"/>
      <charset val="1"/>
    </font>
    <font>
      <sz val="10"/>
      <color rgb="FF7C3AED"/>
      <name val="Arial"/>
      <family val="2"/>
      <charset val="1"/>
    </font>
    <font>
      <sz val="9"/>
      <color rgb="FF334155"/>
      <name val="Arial"/>
      <family val="2"/>
      <charset val="1"/>
    </font>
    <font>
      <sz val="10"/>
      <color rgb="FF334155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9"/>
      <color rgb="FF2563EB"/>
      <name val="Calibri"/>
      <family val="2"/>
      <charset val="1"/>
    </font>
    <font>
      <sz val="10"/>
      <color rgb="FF374151"/>
      <name val="Calibri"/>
      <family val="2"/>
      <charset val="1"/>
    </font>
    <font>
      <b/>
      <sz val="10"/>
      <color rgb="FF2563EB"/>
      <name val="Calibri"/>
      <family val="2"/>
      <charset val="1"/>
    </font>
    <font>
      <b/>
      <sz val="9"/>
      <color rgb="FFD97706"/>
      <name val="Calibri"/>
      <family val="2"/>
      <charset val="1"/>
    </font>
    <font>
      <b/>
      <sz val="9"/>
      <color rgb="FF5B21B6"/>
      <name val="Arial"/>
      <family val="2"/>
      <charset val="1"/>
    </font>
    <font>
      <b/>
      <sz val="11"/>
      <name val="Arial"/>
      <family val="2"/>
      <charset val="1"/>
    </font>
    <font>
      <b/>
      <sz val="9"/>
      <color rgb="FFDC2626"/>
      <name val="Calibri"/>
      <family val="2"/>
      <charset val="1"/>
    </font>
    <font>
      <b/>
      <sz val="9"/>
      <color rgb="FF991B1B"/>
      <name val="Arial"/>
      <family val="2"/>
      <charset val="1"/>
    </font>
    <font>
      <b/>
      <sz val="9"/>
      <color rgb="FF4F46E5"/>
      <name val="Calibri"/>
      <family val="2"/>
      <charset val="1"/>
    </font>
    <font>
      <b/>
      <sz val="9"/>
      <color rgb="FF78350F"/>
      <name val="Arial"/>
      <family val="2"/>
      <charset val="1"/>
    </font>
    <font>
      <b/>
      <sz val="9"/>
      <color rgb="FF7C3AED"/>
      <name val="Calibri"/>
      <family val="2"/>
      <charset val="1"/>
    </font>
    <font>
      <i/>
      <sz val="8"/>
      <color rgb="FF94A3B8"/>
      <name val="Arial"/>
      <family val="2"/>
      <charset val="1"/>
    </font>
    <font>
      <b/>
      <sz val="9"/>
      <color rgb="FF0D9488"/>
      <name val="Calibri"/>
      <family val="2"/>
      <charset val="1"/>
    </font>
    <font>
      <b/>
      <u/>
      <sz val="10"/>
      <color rgb="FF2E75B6"/>
      <name val="Arial"/>
      <family val="2"/>
      <charset val="1"/>
    </font>
    <font>
      <sz val="9"/>
      <name val="Arial"/>
      <family val="2"/>
      <charset val="1"/>
    </font>
    <font>
      <sz val="9"/>
      <color rgb="FF94A3B8"/>
      <name val="Arial"/>
      <family val="2"/>
      <charset val="1"/>
    </font>
    <font>
      <b/>
      <sz val="15"/>
      <color rgb="FF7C3AED"/>
      <name val="Arial"/>
      <family val="2"/>
      <charset val="1"/>
    </font>
    <font>
      <sz val="10"/>
      <color rgb="FF000000"/>
      <name val="Arial"/>
      <family val="2"/>
      <charset val="1"/>
    </font>
    <font>
      <i/>
      <sz val="8"/>
      <color rgb="FFFFCDD2"/>
      <name val="Arial"/>
      <family val="2"/>
      <charset val="1"/>
    </font>
    <font>
      <b/>
      <sz val="8"/>
      <color rgb="FFFFFFFF"/>
      <name val="Arial"/>
      <family val="2"/>
      <charset val="1"/>
    </font>
    <font>
      <sz val="10"/>
      <color rgb="FF1E40AF"/>
      <name val="Arial"/>
      <family val="2"/>
      <charset val="1"/>
    </font>
    <font>
      <i/>
      <sz val="9"/>
      <color rgb="FF94A3B8"/>
      <name val="Arial"/>
      <family val="2"/>
      <charset val="1"/>
    </font>
    <font>
      <sz val="10"/>
      <color rgb="FF94A3B8"/>
      <name val="Arial"/>
      <family val="2"/>
      <charset val="1"/>
    </font>
    <font>
      <i/>
      <sz val="8"/>
      <color rgb="FFDCFCE7"/>
      <name val="Arial"/>
      <family val="2"/>
      <charset val="1"/>
    </font>
    <font>
      <sz val="10"/>
      <color rgb="FF475569"/>
      <name val="Arial"/>
      <family val="2"/>
      <charset val="1"/>
    </font>
    <font>
      <b/>
      <sz val="10"/>
      <color rgb="FF065F46"/>
      <name val="Arial"/>
      <family val="2"/>
      <charset val="1"/>
    </font>
    <font>
      <b/>
      <sz val="10"/>
      <color rgb="FF991B1B"/>
      <name val="Arial"/>
      <family val="2"/>
      <charset val="1"/>
    </font>
    <font>
      <b/>
      <sz val="10"/>
      <color rgb="FF5B21B6"/>
      <name val="Arial"/>
      <family val="2"/>
      <charset val="1"/>
    </font>
    <font>
      <b/>
      <sz val="10"/>
      <color rgb="FF78350F"/>
      <name val="Arial"/>
      <family val="2"/>
      <charset val="1"/>
    </font>
    <font>
      <sz val="9"/>
      <color rgb="FF64748B"/>
      <name val="Arial"/>
      <family val="2"/>
      <charset val="1"/>
    </font>
    <font>
      <b/>
      <sz val="9"/>
      <color rgb="FF94A3B8"/>
      <name val="Arial"/>
      <family val="2"/>
      <charset val="1"/>
    </font>
    <font>
      <sz val="9"/>
      <color rgb="FFF1F5F9"/>
      <name val="Arial"/>
      <family val="2"/>
      <charset val="1"/>
    </font>
    <font>
      <b/>
      <sz val="9"/>
      <color rgb="FF065F46"/>
      <name val="Arial"/>
      <family val="2"/>
      <charset val="1"/>
    </font>
    <font>
      <b/>
      <sz val="9"/>
      <color rgb="FF0C4A6E"/>
      <name val="Arial"/>
      <family val="2"/>
      <charset val="1"/>
    </font>
    <font>
      <b/>
      <sz val="9"/>
      <color rgb="FF92400E"/>
      <name val="Arial"/>
      <family val="2"/>
      <charset val="1"/>
    </font>
    <font>
      <b/>
      <sz val="14"/>
      <color rgb="FF065F46"/>
      <name val="Arial"/>
      <family val="2"/>
      <charset val="1"/>
    </font>
    <font>
      <b/>
      <sz val="14"/>
      <color rgb="FF991B1B"/>
      <name val="Arial"/>
      <family val="2"/>
      <charset val="1"/>
    </font>
    <font>
      <b/>
      <sz val="14"/>
      <color rgb="FF5B21B6"/>
      <name val="Arial"/>
      <family val="2"/>
      <charset val="1"/>
    </font>
    <font>
      <b/>
      <sz val="14"/>
      <color rgb="FF78350F"/>
      <name val="Arial"/>
      <family val="2"/>
      <charset val="1"/>
    </font>
    <font>
      <b/>
      <sz val="14"/>
      <color rgb="FF0C4A6E"/>
      <name val="Arial"/>
      <family val="2"/>
      <charset val="1"/>
    </font>
    <font>
      <b/>
      <sz val="12"/>
      <color rgb="FF92400E"/>
      <name val="Arial"/>
      <family val="2"/>
      <charset val="1"/>
    </font>
    <font>
      <sz val="10"/>
      <color rgb="FF065F46"/>
      <name val="Arial"/>
      <family val="2"/>
      <charset val="1"/>
    </font>
    <font>
      <sz val="10"/>
      <color theme="1"/>
      <name val="Arial"/>
      <family val="2"/>
      <charset val="1"/>
    </font>
    <font>
      <sz val="11"/>
      <color theme="1"/>
      <name val="Calibri"/>
      <family val="2"/>
      <charset val="1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10"/>
      <name val="Arial Unicode MS"/>
      <family val="2"/>
    </font>
    <font>
      <sz val="10"/>
      <color rgb="FF00000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9"/>
      <color rgb="FF9CA3AF"/>
      <name val="Calibri"/>
      <family val="2"/>
      <scheme val="minor"/>
    </font>
    <font>
      <sz val="9"/>
      <color rgb="FF374151"/>
      <name val="Calibri"/>
      <family val="2"/>
      <scheme val="minor"/>
    </font>
    <font>
      <sz val="9"/>
      <color rgb="FF94A3B8"/>
      <name val="Calibri"/>
      <family val="2"/>
      <scheme val="minor"/>
    </font>
    <font>
      <sz val="9"/>
      <color rgb="FF475569"/>
      <name val="Calibri"/>
      <family val="2"/>
      <scheme val="minor"/>
    </font>
    <font>
      <sz val="18"/>
      <color rgb="FFFFFFFF"/>
      <name val="Calibri"/>
      <family val="2"/>
      <scheme val="minor"/>
    </font>
    <font>
      <sz val="8"/>
      <color rgb="FF9CA3AF"/>
      <name val="Calibri"/>
      <family val="2"/>
      <scheme val="minor"/>
    </font>
    <font>
      <sz val="9"/>
      <color rgb="FF059669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1E40AF"/>
      <name val="Calibri"/>
      <family val="2"/>
      <scheme val="minor"/>
    </font>
    <font>
      <b/>
      <sz val="12"/>
      <color theme="8" tint="-0.249977111117893"/>
      <name val="Calibri"/>
      <family val="2"/>
      <charset val="1"/>
    </font>
    <font>
      <b/>
      <sz val="22"/>
      <color theme="8" tint="-0.249977111117893"/>
      <name val="Calibri"/>
      <family val="2"/>
      <charset val="1"/>
    </font>
    <font>
      <b/>
      <sz val="14"/>
      <color theme="8" tint="-0.249977111117893"/>
      <name val="Arial"/>
      <family val="2"/>
      <charset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FF0000"/>
      <name val="Calibri"/>
      <family val="2"/>
    </font>
    <font>
      <b/>
      <sz val="12"/>
      <color theme="6" tint="-0.249977111117893"/>
      <name val="Calibri"/>
      <family val="2"/>
      <charset val="1"/>
    </font>
    <font>
      <b/>
      <sz val="22"/>
      <color theme="6" tint="-0.249977111117893"/>
      <name val="Calibri"/>
      <family val="2"/>
      <charset val="1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12529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rgb="FF22222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305496"/>
      <name val="Calibri"/>
      <family val="2"/>
      <scheme val="minor"/>
    </font>
    <font>
      <sz val="11"/>
      <color rgb="FF305496"/>
      <name val="Calibri"/>
      <family val="2"/>
      <scheme val="minor"/>
    </font>
    <font>
      <b/>
      <sz val="11"/>
      <color rgb="FFC65911"/>
      <name val="Calibri"/>
      <family val="2"/>
      <scheme val="minor"/>
    </font>
    <font>
      <sz val="11"/>
      <color rgb="FFC65911"/>
      <name val="Calibri"/>
      <family val="2"/>
      <scheme val="minor"/>
    </font>
    <font>
      <sz val="11"/>
      <color rgb="FF548235"/>
      <name val="Calibri"/>
      <family val="2"/>
      <scheme val="minor"/>
    </font>
    <font>
      <b/>
      <sz val="11"/>
      <color rgb="FF548235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9"/>
      <color rgb="FFFFFFFF"/>
      <name val="Arial"/>
      <family val="2"/>
    </font>
    <font>
      <b/>
      <sz val="9"/>
      <color rgb="FF5B21B6"/>
      <name val="Arial"/>
      <family val="2"/>
    </font>
    <font>
      <b/>
      <sz val="12"/>
      <color rgb="FF5B21B6"/>
      <name val="Arial"/>
      <family val="2"/>
    </font>
    <font>
      <sz val="9"/>
      <color rgb="FF334155"/>
      <name val="Courier New"/>
      <family val="3"/>
    </font>
    <font>
      <b/>
      <sz val="11"/>
      <name val="Arial"/>
      <family val="2"/>
    </font>
    <font>
      <b/>
      <sz val="9"/>
      <color rgb="FF991B1B"/>
      <name val="Arial"/>
      <family val="2"/>
    </font>
    <font>
      <b/>
      <sz val="12"/>
      <color rgb="FF991B1B"/>
      <name val="Arial"/>
      <family val="2"/>
    </font>
    <font>
      <b/>
      <sz val="9"/>
      <color rgb="FF78350F"/>
      <name val="Arial"/>
      <family val="2"/>
    </font>
    <font>
      <b/>
      <sz val="12"/>
      <color rgb="FF78350F"/>
      <name val="Arial"/>
      <family val="2"/>
    </font>
    <font>
      <i/>
      <sz val="8"/>
      <color rgb="FF94A3B8"/>
      <name val="Arial"/>
      <family val="2"/>
    </font>
    <font>
      <b/>
      <sz val="8"/>
      <color rgb="FF9CA3AF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theme="8" tint="-0.249977111117893"/>
      <name val="Calibri"/>
      <family val="2"/>
      <charset val="1"/>
    </font>
    <font>
      <sz val="10"/>
      <color theme="1"/>
      <name val="Calibri"/>
      <family val="2"/>
      <charset val="1"/>
    </font>
    <font>
      <b/>
      <sz val="10"/>
      <color rgb="FF9CA3AF"/>
      <name val="Calibri"/>
      <family val="2"/>
      <charset val="1"/>
    </font>
    <font>
      <b/>
      <sz val="10"/>
      <color rgb="FF0D9488"/>
      <name val="Calibri"/>
      <family val="2"/>
      <charset val="1"/>
    </font>
    <font>
      <i/>
      <sz val="10"/>
      <color rgb="FF9CA3AF"/>
      <name val="Calibri"/>
      <family val="2"/>
      <charset val="1"/>
    </font>
    <font>
      <b/>
      <sz val="10"/>
      <color theme="9" tint="-0.249977111117893"/>
      <name val="Calibri"/>
      <family val="2"/>
      <charset val="1"/>
    </font>
    <font>
      <b/>
      <sz val="22"/>
      <color rgb="FFFFFFFF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0"/>
      <name val="Calibri"/>
      <family val="2"/>
      <scheme val="minor"/>
    </font>
    <font>
      <sz val="9"/>
      <color rgb="FF9CA3AF"/>
      <name val="Calibri"/>
      <family val="2"/>
    </font>
    <font>
      <sz val="12"/>
      <color rgb="FF000000"/>
      <name val="Aptos Narrow"/>
    </font>
    <font>
      <sz val="11"/>
      <color theme="1"/>
      <name val="Calibri"/>
      <family val="2"/>
      <charset val="1"/>
    </font>
    <font>
      <b/>
      <sz val="19"/>
      <color rgb="FFFFFFFF"/>
      <name val="Calibri"/>
      <family val="2"/>
    </font>
    <font>
      <b/>
      <sz val="9"/>
      <color rgb="FF64748B"/>
      <name val="Calibri"/>
      <family val="2"/>
    </font>
    <font>
      <b/>
      <sz val="18"/>
      <color rgb="FF1E293B"/>
      <name val="Calibri"/>
      <family val="2"/>
    </font>
    <font>
      <sz val="10"/>
      <color rgb="FFD6E0FF"/>
      <name val="Calibri"/>
      <family val="2"/>
    </font>
    <font>
      <sz val="15"/>
      <color rgb="FFFFFFFF"/>
      <name val="Calibri"/>
      <family val="2"/>
    </font>
    <font>
      <b/>
      <sz val="8"/>
      <color rgb="FF64748B"/>
      <name val="Calibri"/>
      <family val="2"/>
    </font>
    <font>
      <b/>
      <sz val="20"/>
      <color rgb="FF1E293B"/>
      <name val="Calibri"/>
      <family val="2"/>
    </font>
    <font>
      <i/>
      <sz val="8"/>
      <color rgb="FF64748B"/>
      <name val="Calibri"/>
      <family val="2"/>
    </font>
    <font>
      <b/>
      <sz val="11"/>
      <color rgb="FF1E293B"/>
      <name val="Calibri"/>
      <family val="2"/>
    </font>
    <font>
      <u/>
      <sz val="10"/>
      <color rgb="FF1E4FD6"/>
      <name val="Calibri"/>
      <family val="2"/>
    </font>
    <font>
      <sz val="13"/>
      <name val="Calibri"/>
      <family val="2"/>
    </font>
    <font>
      <sz val="10"/>
      <color rgb="FF1E293B"/>
      <name val="Calibri"/>
      <family val="2"/>
    </font>
    <font>
      <b/>
      <sz val="10"/>
      <color rgb="FF1E293B"/>
      <name val="Calibri"/>
      <family val="2"/>
    </font>
    <font>
      <b/>
      <sz val="32"/>
      <color rgb="FF1E4FD6"/>
      <name val="Calibri"/>
      <family val="2"/>
    </font>
    <font>
      <sz val="9"/>
      <color rgb="FF64748B"/>
      <name val="Calibri"/>
      <family val="2"/>
    </font>
    <font>
      <b/>
      <sz val="10"/>
      <color rgb="FFFFFFFF"/>
      <name val="Calibri"/>
      <family val="2"/>
    </font>
  </fonts>
  <fills count="71">
    <fill>
      <patternFill patternType="none"/>
    </fill>
    <fill>
      <patternFill patternType="gray125"/>
    </fill>
    <fill>
      <patternFill patternType="solid">
        <fgColor theme="3"/>
        <bgColor rgb="FF0C4A6E"/>
      </patternFill>
    </fill>
    <fill>
      <patternFill patternType="solid">
        <fgColor rgb="FFF8F9FC"/>
        <bgColor rgb="FFF8FAFC"/>
      </patternFill>
    </fill>
    <fill>
      <patternFill patternType="solid">
        <fgColor rgb="FF7C3AED"/>
        <bgColor rgb="FF4F46E5"/>
      </patternFill>
    </fill>
    <fill>
      <patternFill patternType="solid">
        <fgColor rgb="FF0D9488"/>
        <bgColor rgb="FF059669"/>
      </patternFill>
    </fill>
    <fill>
      <patternFill patternType="solid">
        <fgColor rgb="FFD97706"/>
        <bgColor rgb="FFEE3333"/>
      </patternFill>
    </fill>
    <fill>
      <patternFill patternType="solid">
        <fgColor rgb="FFCCFBF1"/>
        <bgColor rgb="FFD1FAE5"/>
      </patternFill>
    </fill>
    <fill>
      <patternFill patternType="solid">
        <fgColor rgb="FFF1F3F9"/>
        <bgColor rgb="FFF1F5F9"/>
      </patternFill>
    </fill>
    <fill>
      <patternFill patternType="solid">
        <fgColor rgb="FFDBEAFE"/>
        <bgColor rgb="FFDAEAF6"/>
      </patternFill>
    </fill>
    <fill>
      <patternFill patternType="solid">
        <fgColor rgb="FFD1FAE5"/>
        <bgColor rgb="FFCCFBF1"/>
      </patternFill>
    </fill>
    <fill>
      <patternFill patternType="solid">
        <fgColor rgb="FFF6F8FF"/>
        <bgColor rgb="FFF8F9FC"/>
      </patternFill>
    </fill>
    <fill>
      <patternFill patternType="solid">
        <fgColor rgb="FFEDE9FE"/>
        <bgColor rgb="FFE0E7FF"/>
      </patternFill>
    </fill>
    <fill>
      <patternFill patternType="solid">
        <fgColor rgb="FFFEE2E2"/>
        <bgColor rgb="FFEDE9FE"/>
      </patternFill>
    </fill>
    <fill>
      <patternFill patternType="solid">
        <fgColor rgb="FFFFFFFF"/>
        <bgColor rgb="FFF8FAFC"/>
      </patternFill>
    </fill>
    <fill>
      <patternFill patternType="solid">
        <fgColor rgb="FFFEF3C7"/>
        <bgColor rgb="FFFEF9C3"/>
      </patternFill>
    </fill>
    <fill>
      <patternFill patternType="darkGray">
        <fgColor rgb="FF1A2847"/>
        <bgColor rgb="FF1F3864"/>
      </patternFill>
    </fill>
    <fill>
      <patternFill patternType="solid">
        <fgColor rgb="FFF8FAFC"/>
        <bgColor rgb="FFF8F9FC"/>
      </patternFill>
    </fill>
    <fill>
      <patternFill patternType="solid">
        <fgColor rgb="FFEFF6FF"/>
        <bgColor rgb="FFF1F5F9"/>
      </patternFill>
    </fill>
    <fill>
      <patternFill patternType="solid">
        <fgColor rgb="FF334155"/>
        <bgColor rgb="FF374151"/>
      </patternFill>
    </fill>
    <fill>
      <patternFill patternType="solid">
        <fgColor rgb="FFFEF9C3"/>
        <bgColor rgb="FFFEF3C7"/>
      </patternFill>
    </fill>
    <fill>
      <patternFill patternType="solid">
        <fgColor rgb="FF1F3864"/>
        <bgColor rgb="FF334155"/>
      </patternFill>
    </fill>
    <fill>
      <patternFill patternType="solid">
        <fgColor rgb="FFEBF3FB"/>
        <bgColor rgb="FFF1F3F9"/>
      </patternFill>
    </fill>
    <fill>
      <patternFill patternType="solid">
        <fgColor rgb="FFF5F3FF"/>
        <bgColor rgb="FFF1F3F9"/>
      </patternFill>
    </fill>
    <fill>
      <patternFill patternType="solid">
        <fgColor rgb="FFF1F5F9"/>
        <bgColor rgb="FFF1F3F9"/>
      </patternFill>
    </fill>
    <fill>
      <patternFill patternType="solid">
        <fgColor rgb="FF991B1B"/>
        <bgColor rgb="FF78350F"/>
      </patternFill>
    </fill>
    <fill>
      <patternFill patternType="darkGray">
        <fgColor rgb="FF475569"/>
        <bgColor rgb="FF536177"/>
      </patternFill>
    </fill>
    <fill>
      <patternFill patternType="solid">
        <fgColor rgb="FF065F46"/>
        <bgColor rgb="FF195427"/>
      </patternFill>
    </fill>
    <fill>
      <patternFill patternType="solid">
        <fgColor rgb="FF475569"/>
        <bgColor rgb="FF536177"/>
      </patternFill>
    </fill>
    <fill>
      <patternFill patternType="solid">
        <fgColor rgb="FFE0F2FE"/>
        <bgColor rgb="FFEBF3FB"/>
      </patternFill>
    </fill>
    <fill>
      <patternFill patternType="solid">
        <fgColor rgb="FFFFF7ED"/>
        <bgColor rgb="FFFFF5F5"/>
      </patternFill>
    </fill>
    <fill>
      <patternFill patternType="solid">
        <fgColor theme="2" tint="-9.9978637043366805E-2"/>
        <bgColor rgb="FFF8FAF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rgb="FFE0E7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rgb="FFEDE9FE"/>
      </patternFill>
    </fill>
    <fill>
      <patternFill patternType="solid">
        <fgColor rgb="FFD9E1F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rgb="FFE0E7FF"/>
      </patternFill>
    </fill>
    <fill>
      <patternFill patternType="solid">
        <fgColor theme="6" tint="0.79998168889431442"/>
        <bgColor rgb="FFEDE9FE"/>
      </patternFill>
    </fill>
    <fill>
      <patternFill patternType="solid">
        <fgColor rgb="FFFFFFFF"/>
        <bgColor rgb="FFFFFFFF"/>
      </patternFill>
    </fill>
    <fill>
      <patternFill patternType="solid">
        <fgColor rgb="FFCFE2F3"/>
        <bgColor rgb="FFCFE2F3"/>
      </patternFill>
    </fill>
    <fill>
      <patternFill patternType="solid">
        <fgColor rgb="FFFFF2CC"/>
        <bgColor rgb="FFFFF2CC"/>
      </patternFill>
    </fill>
    <fill>
      <patternFill patternType="solid">
        <fgColor rgb="FF00FF00"/>
        <bgColor rgb="FF00FF00"/>
      </patternFill>
    </fill>
    <fill>
      <patternFill patternType="solid">
        <fgColor rgb="FFB0B3B2"/>
        <bgColor rgb="FFB0B3B2"/>
      </patternFill>
    </fill>
    <fill>
      <patternFill patternType="solid">
        <fgColor rgb="FFD4D4D4"/>
        <bgColor rgb="FFD4D4D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darkGray">
        <fgColor rgb="FF475569"/>
        <bgColor theme="5" tint="0.79998168889431442"/>
      </patternFill>
    </fill>
    <fill>
      <patternFill patternType="solid">
        <fgColor theme="5" tint="0.79998168889431442"/>
        <bgColor rgb="FFF8F9FC"/>
      </patternFill>
    </fill>
    <fill>
      <patternFill patternType="solid">
        <fgColor theme="5" tint="0.79998168889431442"/>
        <bgColor rgb="FFF8FAFC"/>
      </patternFill>
    </fill>
    <fill>
      <patternFill patternType="solid">
        <fgColor theme="5" tint="0.59999389629810485"/>
        <bgColor rgb="FFF8FAFC"/>
      </patternFill>
    </fill>
    <fill>
      <patternFill patternType="solid">
        <fgColor rgb="FFA4C2F4"/>
        <bgColor rgb="FFA4C2F4"/>
      </patternFill>
    </fill>
    <fill>
      <patternFill patternType="solid">
        <fgColor rgb="FFB7E1CD"/>
        <bgColor rgb="FFB7E1CD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4C7C3"/>
        <bgColor rgb="FFF4C7C3"/>
      </patternFill>
    </fill>
    <fill>
      <patternFill patternType="solid">
        <fgColor rgb="FFDAEEF3"/>
        <bgColor rgb="FFDAEEF3"/>
      </patternFill>
    </fill>
    <fill>
      <patternFill patternType="none"/>
    </fill>
    <fill>
      <patternFill patternType="solid">
        <fgColor rgb="FFF4F6FB"/>
      </patternFill>
    </fill>
    <fill>
      <patternFill patternType="solid">
        <fgColor rgb="FF1E4FD6"/>
      </patternFill>
    </fill>
    <fill>
      <patternFill patternType="solid">
        <fgColor rgb="FFFFFFFF"/>
      </patternFill>
    </fill>
    <fill>
      <patternFill patternType="solid">
        <fgColor rgb="FF3B6FF6"/>
      </patternFill>
    </fill>
    <fill>
      <patternFill patternType="solid">
        <fgColor rgb="FFE5484D"/>
      </patternFill>
    </fill>
    <fill>
      <patternFill patternType="solid">
        <fgColor rgb="FF8B5CF6"/>
      </patternFill>
    </fill>
    <fill>
      <patternFill patternType="solid">
        <fgColor rgb="FF16A085"/>
      </patternFill>
    </fill>
    <fill>
      <patternFill patternType="solid">
        <fgColor rgb="FFF5A623"/>
      </patternFill>
    </fill>
    <fill>
      <patternFill patternType="solid">
        <fgColor rgb="FF06B6D4"/>
      </patternFill>
    </fill>
  </fills>
  <borders count="119">
    <border>
      <left/>
      <right/>
      <top/>
      <bottom/>
      <diagonal/>
    </border>
    <border>
      <left style="medium">
        <color rgb="FF0D9488"/>
      </left>
      <right style="medium">
        <color rgb="FF0D9488"/>
      </right>
      <top style="medium">
        <color rgb="FF0D9488"/>
      </top>
      <bottom style="medium">
        <color rgb="FF0D9488"/>
      </bottom>
      <diagonal/>
    </border>
    <border>
      <left/>
      <right/>
      <top/>
      <bottom style="medium">
        <color rgb="FFD97706"/>
      </bottom>
      <diagonal/>
    </border>
    <border>
      <left/>
      <right/>
      <top/>
      <bottom style="medium">
        <color rgb="FF7C3AED"/>
      </bottom>
      <diagonal/>
    </border>
    <border>
      <left style="medium">
        <color rgb="FF2667E6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 style="thin">
        <color rgb="FFE5E7EB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 style="thin">
        <color rgb="FF7C3AED"/>
      </left>
      <right style="thin">
        <color rgb="FF7C3AED"/>
      </right>
      <top style="thin">
        <color rgb="FF7C3AED"/>
      </top>
      <bottom style="thin">
        <color rgb="FF7C3AED"/>
      </bottom>
      <diagonal/>
    </border>
    <border>
      <left/>
      <right/>
      <top/>
      <bottom style="medium">
        <color rgb="FF0D9488"/>
      </bottom>
      <diagonal/>
    </border>
    <border>
      <left style="thick">
        <color rgb="FFEE3333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 style="thick">
        <color rgb="FF0CB55F"/>
      </left>
      <right/>
      <top style="thin">
        <color rgb="FFE5E7EB"/>
      </top>
      <bottom/>
      <diagonal/>
    </border>
    <border>
      <left style="thick">
        <color rgb="FFEE3333"/>
      </left>
      <right/>
      <top style="thin">
        <color rgb="FFE5E7EB"/>
      </top>
      <bottom/>
      <diagonal/>
    </border>
    <border>
      <left style="thick">
        <color rgb="FF7C3AED"/>
      </left>
      <right/>
      <top style="thin">
        <color rgb="FFE5E7EB"/>
      </top>
      <bottom/>
      <diagonal/>
    </border>
    <border>
      <left style="medium">
        <color rgb="FF0D9488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 style="thick">
        <color rgb="FF7C3AED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 style="thick">
        <color rgb="FF0CB55F"/>
      </left>
      <right/>
      <top/>
      <bottom style="thin">
        <color rgb="FFE5E7EB"/>
      </bottom>
      <diagonal/>
    </border>
    <border>
      <left style="thick">
        <color rgb="FFEE3333"/>
      </left>
      <right/>
      <top/>
      <bottom style="thin">
        <color rgb="FFE5E7EB"/>
      </bottom>
      <diagonal/>
    </border>
    <border>
      <left style="thick">
        <color rgb="FF7C3AED"/>
      </left>
      <right/>
      <top/>
      <bottom style="thin">
        <color rgb="FFE5E7EB"/>
      </bottom>
      <diagonal/>
    </border>
    <border>
      <left style="thick">
        <color rgb="FFD97706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/>
      <right/>
      <top style="medium">
        <color rgb="FF7C3AED"/>
      </top>
      <bottom/>
      <diagonal/>
    </border>
    <border>
      <left style="medium">
        <color rgb="FF0CB55F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 style="thin">
        <color rgb="FFCBD5E1"/>
      </left>
      <right/>
      <top style="thin">
        <color rgb="FFCBD5E1"/>
      </top>
      <bottom style="thin">
        <color rgb="FFCBD5E1"/>
      </bottom>
      <diagonal/>
    </border>
    <border>
      <left style="medium">
        <color rgb="FFD97706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 style="medium">
        <color rgb="FFEE3333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 style="medium">
        <color rgb="FF4F46E5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 style="medium">
        <color rgb="FF7C3AED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 style="medium">
        <color rgb="FF9FA5AF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 style="thin">
        <color rgb="FFE5E7EB"/>
      </left>
      <right style="thin">
        <color rgb="FFE5E7EB"/>
      </right>
      <top style="thin">
        <color rgb="FFE5E7EB"/>
      </top>
      <bottom/>
      <diagonal/>
    </border>
    <border>
      <left/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ck">
        <color rgb="FF7C3AED"/>
      </left>
      <right/>
      <top style="thin">
        <color rgb="FFE5E7EB"/>
      </top>
      <bottom style="thin">
        <color rgb="FFE5E7EB"/>
      </bottom>
      <diagonal/>
    </border>
    <border>
      <left style="thin">
        <color rgb="FFE5E7EB"/>
      </left>
      <right style="thin">
        <color rgb="FFE5E7EB"/>
      </right>
      <top/>
      <bottom style="thin">
        <color rgb="FFE5E7EB"/>
      </bottom>
      <diagonal/>
    </border>
    <border>
      <left/>
      <right style="thick">
        <color rgb="FF7C3AED"/>
      </right>
      <top style="thin">
        <color rgb="FFE5E7EB"/>
      </top>
      <bottom style="thin">
        <color rgb="FFE5E7EB"/>
      </bottom>
      <diagonal/>
    </border>
    <border>
      <left style="thick">
        <color rgb="FFEE3333"/>
      </left>
      <right/>
      <top style="thin">
        <color rgb="FFE5E7EB"/>
      </top>
      <bottom style="thin">
        <color rgb="FFE5E7EB"/>
      </bottom>
      <diagonal/>
    </border>
    <border>
      <left style="thin">
        <color rgb="FFCBD5E1"/>
      </left>
      <right/>
      <top/>
      <bottom style="thin">
        <color rgb="FFCBD5E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4472C4"/>
      </bottom>
      <diagonal/>
    </border>
    <border>
      <left style="medium">
        <color rgb="FFCCCCCC"/>
      </left>
      <right/>
      <top style="medium">
        <color rgb="FFCCCCCC"/>
      </top>
      <bottom style="medium">
        <color rgb="FF4472C4"/>
      </bottom>
      <diagonal/>
    </border>
    <border>
      <left/>
      <right/>
      <top style="medium">
        <color rgb="FFCCCCCC"/>
      </top>
      <bottom style="medium">
        <color rgb="FF4472C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4472C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ED7D31"/>
      </bottom>
      <diagonal/>
    </border>
    <border>
      <left style="medium">
        <color rgb="FFCCCCCC"/>
      </left>
      <right/>
      <top style="medium">
        <color rgb="FFCCCCCC"/>
      </top>
      <bottom style="medium">
        <color rgb="FFED7D31"/>
      </bottom>
      <diagonal/>
    </border>
    <border>
      <left/>
      <right/>
      <top style="medium">
        <color rgb="FFCCCCCC"/>
      </top>
      <bottom style="medium">
        <color rgb="FFED7D31"/>
      </bottom>
      <diagonal/>
    </border>
    <border>
      <left/>
      <right style="medium">
        <color rgb="FFCCCCCC"/>
      </right>
      <top style="medium">
        <color rgb="FFCCCCCC"/>
      </top>
      <bottom style="medium">
        <color rgb="FFED7D3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FFC000"/>
      </bottom>
      <diagonal/>
    </border>
    <border>
      <left style="medium">
        <color rgb="FFFFC000"/>
      </left>
      <right style="medium">
        <color rgb="FFFFC000"/>
      </right>
      <top style="medium">
        <color rgb="FFCCCCCC"/>
      </top>
      <bottom style="medium">
        <color rgb="FFFFC000"/>
      </bottom>
      <diagonal/>
    </border>
    <border>
      <left style="medium">
        <color rgb="FFCCCCCC"/>
      </left>
      <right style="medium">
        <color rgb="FFFFC000"/>
      </right>
      <top style="medium">
        <color rgb="FFCCCCCC"/>
      </top>
      <bottom style="medium">
        <color rgb="FF8EA9DB"/>
      </bottom>
      <diagonal/>
    </border>
    <border>
      <left style="medium">
        <color rgb="FFFFC000"/>
      </left>
      <right style="medium">
        <color rgb="FF8EA9DB"/>
      </right>
      <top style="medium">
        <color rgb="FFCCCCCC"/>
      </top>
      <bottom style="medium">
        <color rgb="FFFFC000"/>
      </bottom>
      <diagonal/>
    </border>
    <border>
      <left style="medium">
        <color rgb="FFCCCCCC"/>
      </left>
      <right style="medium">
        <color rgb="FF8EA9DB"/>
      </right>
      <top style="medium">
        <color rgb="FFCCCCCC"/>
      </top>
      <bottom style="medium">
        <color rgb="FF8EA9DB"/>
      </bottom>
      <diagonal/>
    </border>
    <border>
      <left style="medium">
        <color rgb="FFFFC000"/>
      </left>
      <right style="medium">
        <color rgb="FFFFC000"/>
      </right>
      <top style="medium">
        <color rgb="FFCCCCCC"/>
      </top>
      <bottom style="medium">
        <color rgb="FF8EA9DB"/>
      </bottom>
      <diagonal/>
    </border>
    <border>
      <left style="medium">
        <color rgb="FF8EA9DB"/>
      </left>
      <right style="medium">
        <color rgb="FF8EA9DB"/>
      </right>
      <top style="medium">
        <color rgb="FFCCCCCC"/>
      </top>
      <bottom style="medium">
        <color rgb="FF8EA9DB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FFC000"/>
      </right>
      <top style="medium">
        <color rgb="FFCCCCCC"/>
      </top>
      <bottom style="medium">
        <color rgb="FFFFC000"/>
      </bottom>
      <diagonal/>
    </border>
    <border>
      <left style="medium">
        <color rgb="FFFFC000"/>
      </left>
      <right style="medium">
        <color rgb="FF8EA9DB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8EA9DB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8EA9DB"/>
      </right>
      <top style="medium">
        <color rgb="FFCCCCCC"/>
      </top>
      <bottom style="medium">
        <color rgb="FFFFC000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/>
      <right/>
      <top/>
      <bottom style="thin">
        <color rgb="FFCBD5E1"/>
      </bottom>
      <diagonal/>
    </border>
    <border>
      <left/>
      <right style="thin">
        <color rgb="FFCBD5E1"/>
      </right>
      <top/>
      <bottom style="thin">
        <color rgb="FFCBD5E1"/>
      </bottom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/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/>
      <top style="thin">
        <color rgb="FFCBD5E1"/>
      </top>
      <bottom/>
      <diagonal/>
    </border>
    <border>
      <left/>
      <right style="thin">
        <color rgb="FFE5E7EB"/>
      </right>
      <top style="thin">
        <color rgb="FFE5E7EB"/>
      </top>
      <bottom style="thin">
        <color rgb="FFE5E7EB"/>
      </bottom>
      <diagonal/>
    </border>
    <border>
      <left/>
      <right style="thin">
        <color theme="2"/>
      </right>
      <top/>
      <bottom/>
      <diagonal/>
    </border>
    <border>
      <left style="thin">
        <color theme="0" tint="-0.14999847407452621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/>
      <right/>
      <top/>
      <bottom style="thin">
        <color rgb="FFE5E7EB"/>
      </bottom>
      <diagonal/>
    </border>
    <border>
      <left/>
      <right/>
      <top/>
      <bottom style="thin">
        <color rgb="FF000000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rgb="FF4BACC6"/>
      </left>
      <right style="thin">
        <color rgb="FF4BACC6"/>
      </right>
      <top style="thin">
        <color rgb="FF4BACC6"/>
      </top>
      <bottom style="thin">
        <color rgb="FF4BACC6"/>
      </bottom>
      <diagonal/>
    </border>
    <border>
      <left style="thick">
        <color rgb="FF3B6FF6"/>
      </left>
      <right/>
      <top style="thin">
        <color rgb="FFEEF1F6"/>
      </top>
      <bottom/>
      <diagonal/>
    </border>
    <border>
      <left style="thin">
        <color rgb="FFEEF1F6"/>
      </left>
      <right style="thin">
        <color rgb="FFC7CFDC"/>
      </right>
      <top style="thin">
        <color rgb="FFEEF1F6"/>
      </top>
      <bottom style="thin">
        <color rgb="FFC7CFDC"/>
      </bottom>
      <diagonal/>
    </border>
    <border>
      <left style="thick">
        <color rgb="FFE5484D"/>
      </left>
      <right/>
      <top style="thin">
        <color rgb="FFEEF1F6"/>
      </top>
      <bottom/>
      <diagonal/>
    </border>
    <border>
      <left style="thick">
        <color rgb="FF8B5CF6"/>
      </left>
      <right/>
      <top style="thin">
        <color rgb="FFEEF1F6"/>
      </top>
      <bottom/>
      <diagonal/>
    </border>
    <border>
      <left style="thick">
        <color rgb="FF16A085"/>
      </left>
      <right/>
      <top style="thin">
        <color rgb="FFEEF1F6"/>
      </top>
      <bottom/>
      <diagonal/>
    </border>
    <border>
      <left style="thick">
        <color rgb="FFF5A623"/>
      </left>
      <right/>
      <top style="thin">
        <color rgb="FFEEF1F6"/>
      </top>
      <bottom/>
      <diagonal/>
    </border>
    <border>
      <left style="thick">
        <color rgb="FF06B6D4"/>
      </left>
      <right/>
      <top style="thin">
        <color rgb="FFEEF1F6"/>
      </top>
      <bottom/>
      <diagonal/>
    </border>
    <border>
      <left style="thick">
        <color rgb="FF3B6FF6"/>
      </left>
      <right/>
      <top/>
      <bottom style="thin">
        <color rgb="FFC7CFDC"/>
      </bottom>
      <diagonal/>
    </border>
    <border>
      <left style="thin">
        <color rgb="FFEEF1F6"/>
      </left>
      <right style="thin">
        <color rgb="FFC7CFDC"/>
      </right>
      <top/>
      <bottom style="thin">
        <color rgb="FFC7CFDC"/>
      </bottom>
      <diagonal/>
    </border>
    <border>
      <left style="thick">
        <color rgb="FFE5484D"/>
      </left>
      <right/>
      <top/>
      <bottom style="thin">
        <color rgb="FFC7CFDC"/>
      </bottom>
      <diagonal/>
    </border>
    <border>
      <left style="thick">
        <color rgb="FF8B5CF6"/>
      </left>
      <right/>
      <top/>
      <bottom style="thin">
        <color rgb="FFC7CFDC"/>
      </bottom>
      <diagonal/>
    </border>
    <border>
      <left style="thick">
        <color rgb="FF16A085"/>
      </left>
      <right/>
      <top/>
      <bottom style="thin">
        <color rgb="FFC7CFDC"/>
      </bottom>
      <diagonal/>
    </border>
    <border>
      <left style="thick">
        <color rgb="FFF5A623"/>
      </left>
      <right/>
      <top/>
      <bottom style="thin">
        <color rgb="FFC7CFDC"/>
      </bottom>
      <diagonal/>
    </border>
    <border>
      <left style="thick">
        <color rgb="FF06B6D4"/>
      </left>
      <right/>
      <top/>
      <bottom style="thin">
        <color rgb="FFC7CFDC"/>
      </bottom>
      <diagonal/>
    </border>
    <border>
      <left style="thick">
        <color rgb="FF3B6FF6"/>
      </left>
      <right/>
      <top/>
      <bottom style="thin">
        <color rgb="FFC7CFDC"/>
      </bottom>
      <diagonal/>
    </border>
    <border>
      <left style="thick">
        <color rgb="FFE5484D"/>
      </left>
      <right/>
      <top/>
      <bottom style="thin">
        <color rgb="FFC7CFDC"/>
      </bottom>
      <diagonal/>
    </border>
    <border>
      <left style="thick">
        <color rgb="FF8B5CF6"/>
      </left>
      <right/>
      <top/>
      <bottom style="thin">
        <color rgb="FFC7CFDC"/>
      </bottom>
      <diagonal/>
    </border>
    <border>
      <left style="thick">
        <color rgb="FF16A085"/>
      </left>
      <right/>
      <top/>
      <bottom style="thin">
        <color rgb="FFC7CFDC"/>
      </bottom>
      <diagonal/>
    </border>
    <border>
      <left style="thick">
        <color rgb="FFF5A623"/>
      </left>
      <right/>
      <top/>
      <bottom style="thin">
        <color rgb="FFC7CFDC"/>
      </bottom>
      <diagonal/>
    </border>
    <border>
      <left style="thick">
        <color rgb="FF06B6D4"/>
      </left>
      <right/>
      <top/>
      <bottom style="thin">
        <color rgb="FFC7CFDC"/>
      </bottom>
      <diagonal/>
    </border>
    <border>
      <left style="thick">
        <color rgb="FF3B6FF6"/>
      </left>
      <right/>
      <top/>
      <bottom/>
      <diagonal/>
    </border>
    <border>
      <left style="thick">
        <color rgb="FFE5484D"/>
      </left>
      <right/>
      <top/>
      <bottom/>
      <diagonal/>
    </border>
    <border>
      <left style="thick">
        <color rgb="FF8B5CF6"/>
      </left>
      <right/>
      <top/>
      <bottom/>
      <diagonal/>
    </border>
    <border>
      <left style="thick">
        <color rgb="FF16A085"/>
      </left>
      <right/>
      <top/>
      <bottom/>
      <diagonal/>
    </border>
    <border>
      <left style="thick">
        <color rgb="FFF5A623"/>
      </left>
      <right/>
      <top/>
      <bottom/>
      <diagonal/>
    </border>
    <border>
      <left style="thick">
        <color rgb="FF06B6D4"/>
      </left>
      <right/>
      <top/>
      <bottom/>
      <diagonal/>
    </border>
    <border>
      <left/>
      <right/>
      <top/>
      <bottom style="medium">
        <color rgb="FF1E4FD6"/>
      </bottom>
      <diagonal/>
    </border>
    <border>
      <left/>
      <right/>
      <top style="thin">
        <color rgb="FFEEF1F6"/>
      </top>
      <bottom style="thin">
        <color rgb="FFC7CFDC"/>
      </bottom>
      <diagonal/>
    </border>
    <border>
      <left/>
      <right style="thin">
        <color rgb="FFC7CFDC"/>
      </right>
      <top style="thin">
        <color rgb="FFEEF1F6"/>
      </top>
      <bottom style="thin">
        <color rgb="FFC7CFDC"/>
      </bottom>
      <diagonal/>
    </border>
    <border>
      <left/>
      <right/>
      <top style="thin">
        <color rgb="FFEEF1F6"/>
      </top>
      <bottom/>
      <diagonal/>
    </border>
    <border>
      <left/>
      <right style="thin">
        <color rgb="FFC7CFDC"/>
      </right>
      <top style="thin">
        <color rgb="FFEEF1F6"/>
      </top>
      <bottom/>
      <diagonal/>
    </border>
    <border>
      <left style="thin">
        <color rgb="FFEEF1F6"/>
      </left>
      <right/>
      <top/>
      <bottom/>
      <diagonal/>
    </border>
    <border>
      <left/>
      <right style="thin">
        <color rgb="FFC7CFDC"/>
      </right>
      <top/>
      <bottom/>
      <diagonal/>
    </border>
    <border>
      <left style="thin">
        <color rgb="FFEEF1F6"/>
      </left>
      <right/>
      <top/>
      <bottom style="thin">
        <color rgb="FFC7CFDC"/>
      </bottom>
      <diagonal/>
    </border>
    <border>
      <left/>
      <right/>
      <top/>
      <bottom style="thin">
        <color rgb="FFC7CFDC"/>
      </bottom>
      <diagonal/>
    </border>
    <border>
      <left/>
      <right style="thin">
        <color rgb="FFC7CFDC"/>
      </right>
      <top/>
      <bottom style="thin">
        <color rgb="FFC7CFDC"/>
      </bottom>
      <diagonal/>
    </border>
  </borders>
  <cellStyleXfs count="13">
    <xf numFmtId="0" fontId="0" fillId="0" borderId="0"/>
    <xf numFmtId="0" fontId="3" fillId="0" borderId="0"/>
    <xf numFmtId="0" fontId="82" fillId="0" borderId="0" applyNumberFormat="0" applyFill="0" applyBorder="0" applyAlignment="0" applyProtection="0"/>
    <xf numFmtId="0" fontId="84" fillId="0" borderId="0"/>
    <xf numFmtId="0" fontId="83" fillId="0" borderId="0"/>
    <xf numFmtId="0" fontId="83" fillId="0" borderId="0"/>
    <xf numFmtId="0" fontId="85" fillId="0" borderId="0"/>
    <xf numFmtId="0" fontId="85" fillId="0" borderId="0"/>
    <xf numFmtId="43" fontId="3" fillId="0" borderId="0" applyFont="0" applyFill="0" applyBorder="0" applyAlignment="0" applyProtection="0"/>
    <xf numFmtId="0" fontId="86" fillId="0" borderId="0"/>
    <xf numFmtId="0" fontId="80" fillId="0" borderId="0"/>
    <xf numFmtId="0" fontId="86" fillId="0" borderId="0"/>
    <xf numFmtId="9" fontId="80" fillId="0" borderId="0" applyFont="0" applyFill="0" applyBorder="0" applyAlignment="0" applyProtection="0"/>
  </cellStyleXfs>
  <cellXfs count="50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8" fillId="8" borderId="2" xfId="0" applyFont="1" applyFill="1" applyBorder="1" applyAlignment="1">
      <alignment horizontal="left" vertical="center"/>
    </xf>
    <xf numFmtId="0" fontId="9" fillId="8" borderId="2" xfId="0" applyFont="1" applyFill="1" applyBorder="1" applyAlignment="1">
      <alignment horizontal="center" vertical="center"/>
    </xf>
    <xf numFmtId="0" fontId="10" fillId="8" borderId="3" xfId="0" applyFont="1" applyFill="1" applyBorder="1" applyAlignment="1">
      <alignment horizontal="center" vertical="center"/>
    </xf>
    <xf numFmtId="164" fontId="17" fillId="11" borderId="5" xfId="0" applyNumberFormat="1" applyFont="1" applyFill="1" applyBorder="1" applyAlignment="1">
      <alignment horizontal="right" vertical="center"/>
    </xf>
    <xf numFmtId="164" fontId="18" fillId="11" borderId="5" xfId="0" applyNumberFormat="1" applyFont="1" applyFill="1" applyBorder="1" applyAlignment="1">
      <alignment horizontal="right" vertical="center"/>
    </xf>
    <xf numFmtId="164" fontId="19" fillId="11" borderId="5" xfId="0" applyNumberFormat="1" applyFont="1" applyFill="1" applyBorder="1" applyAlignment="1">
      <alignment horizontal="right" vertical="center"/>
    </xf>
    <xf numFmtId="164" fontId="17" fillId="14" borderId="5" xfId="0" applyNumberFormat="1" applyFont="1" applyFill="1" applyBorder="1" applyAlignment="1">
      <alignment horizontal="right" vertical="center"/>
    </xf>
    <xf numFmtId="164" fontId="18" fillId="14" borderId="5" xfId="0" applyNumberFormat="1" applyFont="1" applyFill="1" applyBorder="1" applyAlignment="1">
      <alignment horizontal="right" vertical="center"/>
    </xf>
    <xf numFmtId="164" fontId="19" fillId="14" borderId="5" xfId="0" applyNumberFormat="1" applyFont="1" applyFill="1" applyBorder="1" applyAlignment="1">
      <alignment horizontal="right" vertical="center"/>
    </xf>
    <xf numFmtId="0" fontId="26" fillId="14" borderId="0" xfId="0" applyFont="1" applyFill="1"/>
    <xf numFmtId="0" fontId="26" fillId="0" borderId="0" xfId="0" applyFont="1"/>
    <xf numFmtId="0" fontId="26" fillId="2" borderId="0" xfId="0" applyFont="1" applyFill="1"/>
    <xf numFmtId="0" fontId="27" fillId="16" borderId="18" xfId="0" applyFont="1" applyFill="1" applyBorder="1" applyAlignment="1">
      <alignment horizontal="center" vertical="center"/>
    </xf>
    <xf numFmtId="0" fontId="28" fillId="17" borderId="18" xfId="0" applyFont="1" applyFill="1" applyBorder="1" applyAlignment="1">
      <alignment horizontal="left" vertical="center"/>
    </xf>
    <xf numFmtId="166" fontId="29" fillId="18" borderId="18" xfId="0" applyNumberFormat="1" applyFont="1" applyFill="1" applyBorder="1" applyAlignment="1">
      <alignment horizontal="right" vertical="center"/>
    </xf>
    <xf numFmtId="166" fontId="30" fillId="17" borderId="18" xfId="0" applyNumberFormat="1" applyFont="1" applyFill="1" applyBorder="1" applyAlignment="1">
      <alignment horizontal="right" vertical="center"/>
    </xf>
    <xf numFmtId="166" fontId="31" fillId="17" borderId="18" xfId="0" applyNumberFormat="1" applyFont="1" applyFill="1" applyBorder="1" applyAlignment="1">
      <alignment horizontal="right" vertical="center"/>
    </xf>
    <xf numFmtId="167" fontId="32" fillId="17" borderId="18" xfId="0" applyNumberFormat="1" applyFont="1" applyFill="1" applyBorder="1" applyAlignment="1">
      <alignment horizontal="center" vertical="center"/>
    </xf>
    <xf numFmtId="0" fontId="33" fillId="17" borderId="18" xfId="0" applyFont="1" applyFill="1" applyBorder="1" applyAlignment="1">
      <alignment horizontal="left" vertical="center"/>
    </xf>
    <xf numFmtId="0" fontId="34" fillId="17" borderId="18" xfId="0" applyFont="1" applyFill="1" applyBorder="1" applyAlignment="1">
      <alignment horizontal="center" vertical="center"/>
    </xf>
    <xf numFmtId="0" fontId="35" fillId="17" borderId="18" xfId="0" applyFont="1" applyFill="1" applyBorder="1" applyAlignment="1">
      <alignment horizontal="center" vertical="center"/>
    </xf>
    <xf numFmtId="166" fontId="30" fillId="14" borderId="18" xfId="0" applyNumberFormat="1" applyFont="1" applyFill="1" applyBorder="1" applyAlignment="1">
      <alignment horizontal="right" vertical="center"/>
    </xf>
    <xf numFmtId="166" fontId="31" fillId="14" borderId="18" xfId="0" applyNumberFormat="1" applyFont="1" applyFill="1" applyBorder="1" applyAlignment="1">
      <alignment horizontal="right" vertical="center"/>
    </xf>
    <xf numFmtId="167" fontId="32" fillId="14" borderId="18" xfId="0" applyNumberFormat="1" applyFont="1" applyFill="1" applyBorder="1" applyAlignment="1">
      <alignment horizontal="center" vertical="center"/>
    </xf>
    <xf numFmtId="0" fontId="33" fillId="14" borderId="18" xfId="0" applyFont="1" applyFill="1" applyBorder="1" applyAlignment="1">
      <alignment horizontal="left" vertical="center"/>
    </xf>
    <xf numFmtId="0" fontId="34" fillId="14" borderId="18" xfId="0" applyFont="1" applyFill="1" applyBorder="1" applyAlignment="1">
      <alignment horizontal="center" vertical="center"/>
    </xf>
    <xf numFmtId="0" fontId="35" fillId="14" borderId="18" xfId="0" applyFont="1" applyFill="1" applyBorder="1" applyAlignment="1">
      <alignment horizontal="center" vertical="center"/>
    </xf>
    <xf numFmtId="0" fontId="28" fillId="14" borderId="18" xfId="0" applyFont="1" applyFill="1" applyBorder="1" applyAlignment="1">
      <alignment horizontal="left" vertical="center"/>
    </xf>
    <xf numFmtId="15" fontId="28" fillId="17" borderId="18" xfId="0" applyNumberFormat="1" applyFont="1" applyFill="1" applyBorder="1" applyAlignment="1">
      <alignment horizontal="left" vertical="center"/>
    </xf>
    <xf numFmtId="15" fontId="28" fillId="14" borderId="18" xfId="0" applyNumberFormat="1" applyFont="1" applyFill="1" applyBorder="1" applyAlignment="1">
      <alignment horizontal="left" vertical="center"/>
    </xf>
    <xf numFmtId="49" fontId="33" fillId="17" borderId="18" xfId="0" applyNumberFormat="1" applyFont="1" applyFill="1" applyBorder="1" applyAlignment="1">
      <alignment horizontal="left" vertical="center"/>
    </xf>
    <xf numFmtId="1" fontId="34" fillId="17" borderId="18" xfId="0" applyNumberFormat="1" applyFont="1" applyFill="1" applyBorder="1" applyAlignment="1">
      <alignment horizontal="center" vertical="center"/>
    </xf>
    <xf numFmtId="49" fontId="33" fillId="14" borderId="18" xfId="0" applyNumberFormat="1" applyFont="1" applyFill="1" applyBorder="1" applyAlignment="1">
      <alignment horizontal="left" vertical="center"/>
    </xf>
    <xf numFmtId="1" fontId="34" fillId="14" borderId="18" xfId="0" applyNumberFormat="1" applyFont="1" applyFill="1" applyBorder="1" applyAlignment="1">
      <alignment horizontal="center" vertical="center"/>
    </xf>
    <xf numFmtId="0" fontId="36" fillId="19" borderId="18" xfId="0" applyFont="1" applyFill="1" applyBorder="1" applyAlignment="1">
      <alignment horizontal="left" vertical="center"/>
    </xf>
    <xf numFmtId="164" fontId="36" fillId="19" borderId="18" xfId="0" applyNumberFormat="1" applyFont="1" applyFill="1" applyBorder="1" applyAlignment="1">
      <alignment horizontal="center" vertical="center"/>
    </xf>
    <xf numFmtId="165" fontId="36" fillId="19" borderId="18" xfId="0" applyNumberFormat="1" applyFont="1" applyFill="1" applyBorder="1" applyAlignment="1">
      <alignment horizontal="center" vertical="center"/>
    </xf>
    <xf numFmtId="0" fontId="36" fillId="19" borderId="18" xfId="0" applyFont="1" applyFill="1" applyBorder="1" applyAlignment="1">
      <alignment horizontal="center" vertical="center"/>
    </xf>
    <xf numFmtId="0" fontId="37" fillId="14" borderId="4" xfId="0" applyFont="1" applyFill="1" applyBorder="1" applyAlignment="1">
      <alignment horizontal="left" vertical="center"/>
    </xf>
    <xf numFmtId="164" fontId="38" fillId="14" borderId="5" xfId="0" applyNumberFormat="1" applyFont="1" applyFill="1" applyBorder="1" applyAlignment="1">
      <alignment horizontal="right" vertical="center"/>
    </xf>
    <xf numFmtId="164" fontId="39" fillId="9" borderId="6" xfId="0" applyNumberFormat="1" applyFont="1" applyFill="1" applyBorder="1" applyAlignment="1">
      <alignment horizontal="right" vertical="center"/>
    </xf>
    <xf numFmtId="0" fontId="21" fillId="11" borderId="20" xfId="0" applyFont="1" applyFill="1" applyBorder="1" applyAlignment="1">
      <alignment horizontal="left" vertical="center"/>
    </xf>
    <xf numFmtId="0" fontId="40" fillId="14" borderId="22" xfId="0" applyFont="1" applyFill="1" applyBorder="1" applyAlignment="1">
      <alignment horizontal="left" vertical="center"/>
    </xf>
    <xf numFmtId="0" fontId="43" fillId="11" borderId="23" xfId="0" applyFont="1" applyFill="1" applyBorder="1" applyAlignment="1">
      <alignment horizontal="left" vertical="center"/>
    </xf>
    <xf numFmtId="0" fontId="45" fillId="14" borderId="24" xfId="0" applyFont="1" applyFill="1" applyBorder="1" applyAlignment="1">
      <alignment horizontal="left" vertical="center"/>
    </xf>
    <xf numFmtId="0" fontId="47" fillId="11" borderId="25" xfId="0" applyFont="1" applyFill="1" applyBorder="1" applyAlignment="1">
      <alignment horizontal="left" vertical="center"/>
    </xf>
    <xf numFmtId="0" fontId="48" fillId="14" borderId="0" xfId="0" applyFont="1" applyFill="1" applyAlignment="1">
      <alignment horizontal="left" vertical="center"/>
    </xf>
    <xf numFmtId="0" fontId="49" fillId="14" borderId="12" xfId="0" applyFont="1" applyFill="1" applyBorder="1" applyAlignment="1">
      <alignment horizontal="left" vertical="center"/>
    </xf>
    <xf numFmtId="0" fontId="7" fillId="11" borderId="26" xfId="0" applyFont="1" applyFill="1" applyBorder="1" applyAlignment="1">
      <alignment horizontal="left" vertical="center"/>
    </xf>
    <xf numFmtId="0" fontId="26" fillId="0" borderId="0" xfId="0" applyFont="1" applyAlignment="1">
      <alignment horizontal="center"/>
    </xf>
    <xf numFmtId="0" fontId="19" fillId="12" borderId="19" xfId="0" applyFont="1" applyFill="1" applyBorder="1" applyAlignment="1">
      <alignment horizontal="left" vertical="center"/>
    </xf>
    <xf numFmtId="164" fontId="19" fillId="12" borderId="19" xfId="0" applyNumberFormat="1" applyFont="1" applyFill="1" applyBorder="1" applyAlignment="1">
      <alignment horizontal="right" vertical="center"/>
    </xf>
    <xf numFmtId="0" fontId="50" fillId="22" borderId="0" xfId="0" applyFont="1" applyFill="1" applyAlignment="1">
      <alignment horizontal="left" vertical="center"/>
    </xf>
    <xf numFmtId="0" fontId="27" fillId="0" borderId="0" xfId="0" applyFont="1" applyAlignment="1">
      <alignment horizontal="left" vertical="center"/>
    </xf>
    <xf numFmtId="1" fontId="27" fillId="2" borderId="0" xfId="0" applyNumberFormat="1" applyFont="1" applyFill="1" applyAlignment="1">
      <alignment horizontal="center" vertical="center"/>
    </xf>
    <xf numFmtId="3" fontId="51" fillId="2" borderId="0" xfId="0" applyNumberFormat="1" applyFont="1" applyFill="1" applyAlignment="1">
      <alignment horizontal="center"/>
    </xf>
    <xf numFmtId="165" fontId="51" fillId="2" borderId="0" xfId="0" applyNumberFormat="1" applyFont="1" applyFill="1" applyAlignment="1">
      <alignment horizontal="center"/>
    </xf>
    <xf numFmtId="0" fontId="27" fillId="16" borderId="18" xfId="0" applyFont="1" applyFill="1" applyBorder="1" applyAlignment="1">
      <alignment horizontal="left" vertical="center"/>
    </xf>
    <xf numFmtId="0" fontId="54" fillId="16" borderId="18" xfId="0" applyFont="1" applyFill="1" applyBorder="1" applyAlignment="1">
      <alignment horizontal="left" vertical="center"/>
    </xf>
    <xf numFmtId="0" fontId="35" fillId="24" borderId="18" xfId="0" applyFont="1" applyFill="1" applyBorder="1" applyAlignment="1">
      <alignment horizontal="left" vertical="center"/>
    </xf>
    <xf numFmtId="0" fontId="29" fillId="18" borderId="18" xfId="0" applyFont="1" applyFill="1" applyBorder="1" applyAlignment="1">
      <alignment horizontal="left" vertical="center"/>
    </xf>
    <xf numFmtId="164" fontId="29" fillId="18" borderId="18" xfId="0" applyNumberFormat="1" applyFont="1" applyFill="1" applyBorder="1" applyAlignment="1">
      <alignment horizontal="left" vertical="center"/>
    </xf>
    <xf numFmtId="9" fontId="29" fillId="18" borderId="18" xfId="0" applyNumberFormat="1" applyFont="1" applyFill="1" applyBorder="1" applyAlignment="1">
      <alignment horizontal="left" vertical="center"/>
    </xf>
    <xf numFmtId="0" fontId="27" fillId="25" borderId="18" xfId="0" applyFont="1" applyFill="1" applyBorder="1" applyAlignment="1">
      <alignment horizontal="left" vertical="center"/>
    </xf>
    <xf numFmtId="0" fontId="55" fillId="25" borderId="18" xfId="0" applyFont="1" applyFill="1" applyBorder="1" applyAlignment="1">
      <alignment horizontal="left" vertical="center"/>
    </xf>
    <xf numFmtId="0" fontId="27" fillId="26" borderId="18" xfId="0" applyFont="1" applyFill="1" applyBorder="1" applyAlignment="1">
      <alignment horizontal="center" vertical="center"/>
    </xf>
    <xf numFmtId="0" fontId="52" fillId="17" borderId="18" xfId="0" applyFont="1" applyFill="1" applyBorder="1" applyAlignment="1">
      <alignment horizontal="center" vertical="center"/>
    </xf>
    <xf numFmtId="0" fontId="57" fillId="18" borderId="18" xfId="0" applyFont="1" applyFill="1" applyBorder="1" applyAlignment="1">
      <alignment horizontal="left" vertical="center"/>
    </xf>
    <xf numFmtId="0" fontId="52" fillId="14" borderId="18" xfId="0" applyFont="1" applyFill="1" applyBorder="1" applyAlignment="1">
      <alignment horizontal="center" vertical="center"/>
    </xf>
    <xf numFmtId="0" fontId="59" fillId="18" borderId="18" xfId="0" applyFont="1" applyFill="1" applyBorder="1" applyAlignment="1">
      <alignment horizontal="left" vertical="center"/>
    </xf>
    <xf numFmtId="0" fontId="26" fillId="14" borderId="0" xfId="0" applyFont="1" applyFill="1" applyAlignment="1">
      <alignment horizontal="left" vertical="center"/>
    </xf>
    <xf numFmtId="0" fontId="27" fillId="27" borderId="18" xfId="0" applyFont="1" applyFill="1" applyBorder="1" applyAlignment="1">
      <alignment horizontal="left" vertical="center"/>
    </xf>
    <xf numFmtId="0" fontId="60" fillId="27" borderId="18" xfId="0" applyFont="1" applyFill="1" applyBorder="1" applyAlignment="1">
      <alignment horizontal="left" vertical="center"/>
    </xf>
    <xf numFmtId="0" fontId="61" fillId="14" borderId="18" xfId="0" applyFont="1" applyFill="1" applyBorder="1" applyAlignment="1">
      <alignment horizontal="left" vertical="center"/>
    </xf>
    <xf numFmtId="0" fontId="62" fillId="10" borderId="18" xfId="0" applyFont="1" applyFill="1" applyBorder="1" applyAlignment="1">
      <alignment horizontal="left" vertical="center"/>
    </xf>
    <xf numFmtId="0" fontId="63" fillId="13" borderId="18" xfId="0" applyFont="1" applyFill="1" applyBorder="1" applyAlignment="1">
      <alignment horizontal="left" vertical="center"/>
    </xf>
    <xf numFmtId="0" fontId="64" fillId="12" borderId="18" xfId="0" applyFont="1" applyFill="1" applyBorder="1" applyAlignment="1">
      <alignment horizontal="left" vertical="center"/>
    </xf>
    <xf numFmtId="0" fontId="65" fillId="20" borderId="18" xfId="0" applyFont="1" applyFill="1" applyBorder="1" applyAlignment="1">
      <alignment horizontal="left" vertical="center"/>
    </xf>
    <xf numFmtId="0" fontId="27" fillId="28" borderId="18" xfId="0" applyFont="1" applyFill="1" applyBorder="1" applyAlignment="1">
      <alignment horizontal="center" vertical="center"/>
    </xf>
    <xf numFmtId="0" fontId="66" fillId="14" borderId="0" xfId="0" applyFont="1" applyFill="1"/>
    <xf numFmtId="0" fontId="66" fillId="0" borderId="0" xfId="0" applyFont="1"/>
    <xf numFmtId="0" fontId="48" fillId="0" borderId="18" xfId="0" applyFont="1" applyBorder="1" applyAlignment="1">
      <alignment horizontal="left" vertical="center"/>
    </xf>
    <xf numFmtId="0" fontId="67" fillId="0" borderId="0" xfId="0" applyFont="1"/>
    <xf numFmtId="0" fontId="68" fillId="0" borderId="0" xfId="0" applyFont="1"/>
    <xf numFmtId="0" fontId="69" fillId="10" borderId="18" xfId="0" applyFont="1" applyFill="1" applyBorder="1" applyAlignment="1">
      <alignment horizontal="center" vertical="center"/>
    </xf>
    <xf numFmtId="0" fontId="46" fillId="20" borderId="18" xfId="0" applyFont="1" applyFill="1" applyBorder="1" applyAlignment="1">
      <alignment horizontal="center" vertical="center"/>
    </xf>
    <xf numFmtId="0" fontId="70" fillId="29" borderId="18" xfId="0" applyFont="1" applyFill="1" applyBorder="1" applyAlignment="1">
      <alignment horizontal="center" vertical="center"/>
    </xf>
    <xf numFmtId="0" fontId="71" fillId="30" borderId="18" xfId="0" applyFont="1" applyFill="1" applyBorder="1" applyAlignment="1">
      <alignment horizontal="center" vertical="center"/>
    </xf>
    <xf numFmtId="164" fontId="72" fillId="10" borderId="18" xfId="0" applyNumberFormat="1" applyFont="1" applyFill="1" applyBorder="1" applyAlignment="1">
      <alignment horizontal="center" vertical="center"/>
    </xf>
    <xf numFmtId="165" fontId="75" fillId="20" borderId="18" xfId="0" applyNumberFormat="1" applyFont="1" applyFill="1" applyBorder="1" applyAlignment="1">
      <alignment horizontal="center" vertical="center"/>
    </xf>
    <xf numFmtId="1" fontId="76" fillId="29" borderId="18" xfId="0" applyNumberFormat="1" applyFont="1" applyFill="1" applyBorder="1" applyAlignment="1">
      <alignment horizontal="center" vertical="center"/>
    </xf>
    <xf numFmtId="49" fontId="77" fillId="30" borderId="18" xfId="0" applyNumberFormat="1" applyFont="1" applyFill="1" applyBorder="1" applyAlignment="1">
      <alignment horizontal="center" vertical="center"/>
    </xf>
    <xf numFmtId="0" fontId="42" fillId="17" borderId="18" xfId="0" applyFont="1" applyFill="1" applyBorder="1" applyAlignment="1">
      <alignment horizontal="center" vertical="center"/>
    </xf>
    <xf numFmtId="166" fontId="78" fillId="17" borderId="18" xfId="0" applyNumberFormat="1" applyFont="1" applyFill="1" applyBorder="1" applyAlignment="1">
      <alignment horizontal="right" vertical="center"/>
    </xf>
    <xf numFmtId="165" fontId="32" fillId="17" borderId="18" xfId="0" applyNumberFormat="1" applyFont="1" applyFill="1" applyBorder="1" applyAlignment="1">
      <alignment horizontal="center" vertical="center"/>
    </xf>
    <xf numFmtId="0" fontId="26" fillId="17" borderId="18" xfId="0" applyFont="1" applyFill="1" applyBorder="1" applyAlignment="1">
      <alignment horizontal="center" vertical="center"/>
    </xf>
    <xf numFmtId="166" fontId="78" fillId="14" borderId="18" xfId="0" applyNumberFormat="1" applyFont="1" applyFill="1" applyBorder="1" applyAlignment="1">
      <alignment horizontal="right" vertical="center"/>
    </xf>
    <xf numFmtId="165" fontId="32" fillId="14" borderId="18" xfId="0" applyNumberFormat="1" applyFont="1" applyFill="1" applyBorder="1" applyAlignment="1">
      <alignment horizontal="center" vertical="center"/>
    </xf>
    <xf numFmtId="0" fontId="26" fillId="14" borderId="18" xfId="0" applyFont="1" applyFill="1" applyBorder="1" applyAlignment="1">
      <alignment horizontal="center" vertical="center"/>
    </xf>
    <xf numFmtId="0" fontId="27" fillId="19" borderId="18" xfId="0" applyFont="1" applyFill="1" applyBorder="1" applyAlignment="1">
      <alignment horizontal="center" vertical="center"/>
    </xf>
    <xf numFmtId="49" fontId="34" fillId="17" borderId="18" xfId="0" applyNumberFormat="1" applyFont="1" applyFill="1" applyBorder="1" applyAlignment="1">
      <alignment horizontal="left" vertical="center"/>
    </xf>
    <xf numFmtId="49" fontId="34" fillId="17" borderId="18" xfId="0" applyNumberFormat="1" applyFont="1" applyFill="1" applyBorder="1" applyAlignment="1">
      <alignment horizontal="center" vertical="center"/>
    </xf>
    <xf numFmtId="166" fontId="34" fillId="17" borderId="18" xfId="0" applyNumberFormat="1" applyFont="1" applyFill="1" applyBorder="1" applyAlignment="1">
      <alignment horizontal="right" vertical="center"/>
    </xf>
    <xf numFmtId="49" fontId="34" fillId="14" borderId="18" xfId="0" applyNumberFormat="1" applyFont="1" applyFill="1" applyBorder="1" applyAlignment="1">
      <alignment horizontal="left" vertical="center"/>
    </xf>
    <xf numFmtId="49" fontId="34" fillId="14" borderId="18" xfId="0" applyNumberFormat="1" applyFont="1" applyFill="1" applyBorder="1" applyAlignment="1">
      <alignment horizontal="center" vertical="center"/>
    </xf>
    <xf numFmtId="166" fontId="34" fillId="14" borderId="18" xfId="0" applyNumberFormat="1" applyFont="1" applyFill="1" applyBorder="1" applyAlignment="1">
      <alignment horizontal="right" vertical="center"/>
    </xf>
    <xf numFmtId="0" fontId="79" fillId="31" borderId="0" xfId="0" applyFont="1" applyFill="1"/>
    <xf numFmtId="0" fontId="0" fillId="32" borderId="0" xfId="0" applyFill="1"/>
    <xf numFmtId="15" fontId="34" fillId="17" borderId="18" xfId="0" applyNumberFormat="1" applyFont="1" applyFill="1" applyBorder="1" applyAlignment="1">
      <alignment horizontal="left" vertical="center"/>
    </xf>
    <xf numFmtId="0" fontId="67" fillId="33" borderId="0" xfId="0" applyFont="1" applyFill="1"/>
    <xf numFmtId="0" fontId="11" fillId="3" borderId="0" xfId="0" applyFont="1" applyFill="1" applyAlignment="1">
      <alignment vertical="center"/>
    </xf>
    <xf numFmtId="0" fontId="98" fillId="36" borderId="0" xfId="0" applyFont="1" applyFill="1" applyAlignment="1">
      <alignment horizontal="left" vertical="center"/>
    </xf>
    <xf numFmtId="164" fontId="73" fillId="13" borderId="21" xfId="0" applyNumberFormat="1" applyFont="1" applyFill="1" applyBorder="1" applyAlignment="1">
      <alignment horizontal="center" vertical="center"/>
    </xf>
    <xf numFmtId="164" fontId="74" fillId="12" borderId="28" xfId="0" applyNumberFormat="1" applyFont="1" applyFill="1" applyBorder="1" applyAlignment="1">
      <alignment horizontal="center" vertical="center"/>
    </xf>
    <xf numFmtId="0" fontId="44" fillId="13" borderId="21" xfId="0" applyFont="1" applyFill="1" applyBorder="1" applyAlignment="1">
      <alignment horizontal="center" vertical="center"/>
    </xf>
    <xf numFmtId="0" fontId="41" fillId="12" borderId="28" xfId="0" applyFont="1" applyFill="1" applyBorder="1" applyAlignment="1">
      <alignment horizontal="center" vertical="center"/>
    </xf>
    <xf numFmtId="164" fontId="100" fillId="38" borderId="21" xfId="0" applyNumberFormat="1" applyFont="1" applyFill="1" applyBorder="1" applyAlignment="1">
      <alignment horizontal="center" vertical="center"/>
    </xf>
    <xf numFmtId="0" fontId="98" fillId="36" borderId="29" xfId="0" applyFont="1" applyFill="1" applyBorder="1" applyAlignment="1">
      <alignment vertical="center"/>
    </xf>
    <xf numFmtId="164" fontId="99" fillId="38" borderId="32" xfId="0" applyNumberFormat="1" applyFont="1" applyFill="1" applyBorder="1" applyAlignment="1">
      <alignment vertical="center"/>
    </xf>
    <xf numFmtId="0" fontId="104" fillId="42" borderId="31" xfId="0" applyFont="1" applyFill="1" applyBorder="1" applyAlignment="1">
      <alignment vertical="center"/>
    </xf>
    <xf numFmtId="164" fontId="105" fillId="43" borderId="31" xfId="0" applyNumberFormat="1" applyFont="1" applyFill="1" applyBorder="1" applyAlignment="1">
      <alignment vertical="center"/>
    </xf>
    <xf numFmtId="0" fontId="88" fillId="0" borderId="0" xfId="0" applyFont="1"/>
    <xf numFmtId="0" fontId="2" fillId="0" borderId="0" xfId="0" applyFont="1"/>
    <xf numFmtId="0" fontId="88" fillId="0" borderId="0" xfId="0" applyFont="1" applyAlignment="1">
      <alignment horizontal="left"/>
    </xf>
    <xf numFmtId="0" fontId="87" fillId="0" borderId="0" xfId="0" applyFont="1"/>
    <xf numFmtId="0" fontId="107" fillId="0" borderId="0" xfId="0" applyFont="1" applyAlignment="1">
      <alignment horizontal="left" vertical="center"/>
    </xf>
    <xf numFmtId="169" fontId="88" fillId="0" borderId="0" xfId="0" applyNumberFormat="1" applyFont="1" applyAlignment="1">
      <alignment vertical="center"/>
    </xf>
    <xf numFmtId="0" fontId="88" fillId="0" borderId="0" xfId="0" applyFont="1" applyAlignment="1">
      <alignment vertical="center"/>
    </xf>
    <xf numFmtId="170" fontId="88" fillId="0" borderId="0" xfId="0" applyNumberFormat="1" applyFont="1" applyAlignment="1">
      <alignment vertical="center"/>
    </xf>
    <xf numFmtId="169" fontId="87" fillId="0" borderId="0" xfId="0" applyNumberFormat="1" applyFont="1"/>
    <xf numFmtId="0" fontId="107" fillId="0" borderId="0" xfId="0" applyFont="1" applyAlignment="1">
      <alignment vertical="center"/>
    </xf>
    <xf numFmtId="0" fontId="108" fillId="0" borderId="0" xfId="0" applyFont="1"/>
    <xf numFmtId="0" fontId="109" fillId="45" borderId="0" xfId="0" applyFont="1" applyFill="1" applyAlignment="1">
      <alignment vertical="top"/>
    </xf>
    <xf numFmtId="0" fontId="110" fillId="45" borderId="0" xfId="0" applyFont="1" applyFill="1" applyAlignment="1">
      <alignment vertical="top"/>
    </xf>
    <xf numFmtId="0" fontId="87" fillId="45" borderId="0" xfId="0" applyFont="1" applyFill="1" applyAlignment="1">
      <alignment vertical="top"/>
    </xf>
    <xf numFmtId="0" fontId="108" fillId="0" borderId="0" xfId="0" applyFont="1" applyAlignment="1">
      <alignment horizontal="right"/>
    </xf>
    <xf numFmtId="0" fontId="111" fillId="0" borderId="0" xfId="0" applyFont="1" applyAlignment="1">
      <alignment horizontal="left" vertical="center"/>
    </xf>
    <xf numFmtId="0" fontId="111" fillId="0" borderId="0" xfId="0" applyFont="1" applyAlignment="1">
      <alignment horizontal="left"/>
    </xf>
    <xf numFmtId="0" fontId="88" fillId="0" borderId="58" xfId="0" applyFont="1" applyBorder="1" applyAlignment="1">
      <alignment horizontal="left"/>
    </xf>
    <xf numFmtId="0" fontId="88" fillId="47" borderId="58" xfId="0" applyFont="1" applyFill="1" applyBorder="1" applyAlignment="1">
      <alignment horizontal="left"/>
    </xf>
    <xf numFmtId="0" fontId="88" fillId="0" borderId="59" xfId="0" applyFont="1" applyBorder="1" applyAlignment="1">
      <alignment horizontal="left"/>
    </xf>
    <xf numFmtId="171" fontId="88" fillId="0" borderId="0" xfId="0" applyNumberFormat="1" applyFont="1" applyAlignment="1">
      <alignment horizontal="left"/>
    </xf>
    <xf numFmtId="0" fontId="107" fillId="0" borderId="0" xfId="0" applyFont="1" applyAlignment="1">
      <alignment horizontal="left"/>
    </xf>
    <xf numFmtId="0" fontId="88" fillId="0" borderId="62" xfId="0" applyFont="1" applyBorder="1" applyAlignment="1">
      <alignment horizontal="left"/>
    </xf>
    <xf numFmtId="171" fontId="107" fillId="0" borderId="0" xfId="0" applyNumberFormat="1" applyFont="1" applyAlignment="1">
      <alignment horizontal="left"/>
    </xf>
    <xf numFmtId="0" fontId="88" fillId="0" borderId="67" xfId="0" applyFont="1" applyBorder="1" applyAlignment="1">
      <alignment horizontal="left"/>
    </xf>
    <xf numFmtId="0" fontId="107" fillId="0" borderId="67" xfId="0" applyFont="1" applyBorder="1" applyAlignment="1">
      <alignment horizontal="left"/>
    </xf>
    <xf numFmtId="0" fontId="88" fillId="0" borderId="68" xfId="0" applyFont="1" applyBorder="1" applyAlignment="1">
      <alignment horizontal="left"/>
    </xf>
    <xf numFmtId="0" fontId="111" fillId="46" borderId="0" xfId="0" applyFont="1" applyFill="1" applyAlignment="1">
      <alignment horizontal="left"/>
    </xf>
    <xf numFmtId="0" fontId="111" fillId="0" borderId="57" xfId="0" applyFont="1" applyBorder="1" applyAlignment="1">
      <alignment horizontal="left"/>
    </xf>
    <xf numFmtId="0" fontId="111" fillId="48" borderId="60" xfId="0" applyFont="1" applyFill="1" applyBorder="1" applyAlignment="1">
      <alignment horizontal="left" vertical="top"/>
    </xf>
    <xf numFmtId="171" fontId="112" fillId="0" borderId="60" xfId="0" applyNumberFormat="1" applyFont="1" applyBorder="1" applyAlignment="1">
      <alignment horizontal="left" vertical="top"/>
    </xf>
    <xf numFmtId="0" fontId="111" fillId="0" borderId="61" xfId="0" applyFont="1" applyBorder="1" applyAlignment="1">
      <alignment horizontal="left"/>
    </xf>
    <xf numFmtId="172" fontId="111" fillId="0" borderId="0" xfId="0" applyNumberFormat="1" applyFont="1" applyAlignment="1">
      <alignment horizontal="left" vertical="center"/>
    </xf>
    <xf numFmtId="171" fontId="111" fillId="0" borderId="0" xfId="0" applyNumberFormat="1" applyFont="1" applyAlignment="1">
      <alignment horizontal="left" vertical="center"/>
    </xf>
    <xf numFmtId="0" fontId="111" fillId="49" borderId="60" xfId="0" applyFont="1" applyFill="1" applyBorder="1" applyAlignment="1">
      <alignment horizontal="left" vertical="top"/>
    </xf>
    <xf numFmtId="0" fontId="111" fillId="0" borderId="60" xfId="0" applyFont="1" applyBorder="1" applyAlignment="1">
      <alignment horizontal="left" vertical="top"/>
    </xf>
    <xf numFmtId="0" fontId="112" fillId="0" borderId="60" xfId="0" applyFont="1" applyBorder="1" applyAlignment="1">
      <alignment horizontal="left" vertical="top"/>
    </xf>
    <xf numFmtId="172" fontId="112" fillId="44" borderId="0" xfId="0" applyNumberFormat="1" applyFont="1" applyFill="1" applyAlignment="1">
      <alignment horizontal="left" vertical="center"/>
    </xf>
    <xf numFmtId="0" fontId="112" fillId="44" borderId="0" xfId="0" applyFont="1" applyFill="1" applyAlignment="1">
      <alignment horizontal="left" vertical="center"/>
    </xf>
    <xf numFmtId="0" fontId="115" fillId="44" borderId="0" xfId="0" applyFont="1" applyFill="1" applyAlignment="1">
      <alignment horizontal="left" vertical="center"/>
    </xf>
    <xf numFmtId="173" fontId="111" fillId="0" borderId="0" xfId="0" applyNumberFormat="1" applyFont="1" applyAlignment="1">
      <alignment horizontal="left" vertical="center"/>
    </xf>
    <xf numFmtId="0" fontId="116" fillId="49" borderId="60" xfId="0" applyFont="1" applyFill="1" applyBorder="1" applyAlignment="1">
      <alignment horizontal="left" vertical="top"/>
    </xf>
    <xf numFmtId="0" fontId="111" fillId="34" borderId="60" xfId="0" applyFont="1" applyFill="1" applyBorder="1" applyAlignment="1">
      <alignment horizontal="left" vertical="top"/>
    </xf>
    <xf numFmtId="0" fontId="112" fillId="34" borderId="60" xfId="0" applyFont="1" applyFill="1" applyBorder="1" applyAlignment="1">
      <alignment horizontal="left" vertical="top"/>
    </xf>
    <xf numFmtId="2" fontId="117" fillId="44" borderId="0" xfId="0" applyNumberFormat="1" applyFont="1" applyFill="1" applyAlignment="1">
      <alignment horizontal="left"/>
    </xf>
    <xf numFmtId="174" fontId="111" fillId="0" borderId="0" xfId="0" applyNumberFormat="1" applyFont="1" applyAlignment="1">
      <alignment horizontal="left" vertical="center"/>
    </xf>
    <xf numFmtId="2" fontId="111" fillId="0" borderId="0" xfId="0" applyNumberFormat="1" applyFont="1" applyAlignment="1">
      <alignment horizontal="left"/>
    </xf>
    <xf numFmtId="0" fontId="113" fillId="0" borderId="60" xfId="0" applyFont="1" applyBorder="1" applyAlignment="1">
      <alignment horizontal="left" vertical="top"/>
    </xf>
    <xf numFmtId="15" fontId="111" fillId="0" borderId="61" xfId="0" applyNumberFormat="1" applyFont="1" applyBorder="1" applyAlignment="1">
      <alignment horizontal="left"/>
    </xf>
    <xf numFmtId="0" fontId="113" fillId="0" borderId="61" xfId="0" applyFont="1" applyBorder="1" applyAlignment="1">
      <alignment horizontal="left"/>
    </xf>
    <xf numFmtId="0" fontId="111" fillId="0" borderId="66" xfId="0" applyFont="1" applyBorder="1" applyAlignment="1">
      <alignment horizontal="left"/>
    </xf>
    <xf numFmtId="0" fontId="111" fillId="0" borderId="58" xfId="0" applyFont="1" applyBorder="1" applyAlignment="1">
      <alignment horizontal="left"/>
    </xf>
    <xf numFmtId="0" fontId="111" fillId="0" borderId="59" xfId="0" applyFont="1" applyBorder="1" applyAlignment="1">
      <alignment horizontal="left"/>
    </xf>
    <xf numFmtId="0" fontId="111" fillId="0" borderId="62" xfId="0" applyFont="1" applyBorder="1" applyAlignment="1">
      <alignment horizontal="left"/>
    </xf>
    <xf numFmtId="0" fontId="113" fillId="0" borderId="62" xfId="0" applyFont="1" applyBorder="1" applyAlignment="1">
      <alignment horizontal="left"/>
    </xf>
    <xf numFmtId="0" fontId="111" fillId="0" borderId="67" xfId="0" applyFont="1" applyBorder="1" applyAlignment="1">
      <alignment horizontal="left"/>
    </xf>
    <xf numFmtId="0" fontId="111" fillId="0" borderId="68" xfId="0" applyFont="1" applyBorder="1" applyAlignment="1">
      <alignment horizontal="left"/>
    </xf>
    <xf numFmtId="0" fontId="112" fillId="0" borderId="0" xfId="0" applyFont="1" applyAlignment="1">
      <alignment horizontal="left"/>
    </xf>
    <xf numFmtId="0" fontId="15" fillId="12" borderId="11" xfId="0" applyFont="1" applyFill="1" applyBorder="1" applyAlignment="1">
      <alignment vertical="center"/>
    </xf>
    <xf numFmtId="164" fontId="24" fillId="12" borderId="16" xfId="0" applyNumberFormat="1" applyFont="1" applyFill="1" applyBorder="1" applyAlignment="1">
      <alignment vertical="center"/>
    </xf>
    <xf numFmtId="0" fontId="88" fillId="0" borderId="38" xfId="0" applyFont="1" applyBorder="1" applyAlignment="1">
      <alignment wrapText="1"/>
    </xf>
    <xf numFmtId="0" fontId="119" fillId="0" borderId="34" xfId="0" applyFont="1" applyBorder="1" applyAlignment="1">
      <alignment wrapText="1"/>
    </xf>
    <xf numFmtId="0" fontId="88" fillId="0" borderId="34" xfId="0" applyFont="1" applyBorder="1" applyAlignment="1">
      <alignment wrapText="1"/>
    </xf>
    <xf numFmtId="0" fontId="120" fillId="39" borderId="38" xfId="0" applyFont="1" applyFill="1" applyBorder="1" applyAlignment="1">
      <alignment wrapText="1"/>
    </xf>
    <xf numFmtId="0" fontId="120" fillId="39" borderId="38" xfId="0" applyFont="1" applyFill="1" applyBorder="1" applyAlignment="1">
      <alignment horizontal="right" wrapText="1"/>
    </xf>
    <xf numFmtId="0" fontId="88" fillId="39" borderId="38" xfId="0" applyFont="1" applyFill="1" applyBorder="1" applyAlignment="1">
      <alignment wrapText="1"/>
    </xf>
    <xf numFmtId="0" fontId="120" fillId="0" borderId="38" xfId="0" applyFont="1" applyBorder="1" applyAlignment="1">
      <alignment wrapText="1"/>
    </xf>
    <xf numFmtId="0" fontId="120" fillId="0" borderId="38" xfId="0" applyFont="1" applyBorder="1" applyAlignment="1">
      <alignment horizontal="right" wrapText="1"/>
    </xf>
    <xf numFmtId="0" fontId="118" fillId="0" borderId="38" xfId="0" applyFont="1" applyBorder="1" applyAlignment="1">
      <alignment wrapText="1"/>
    </xf>
    <xf numFmtId="0" fontId="118" fillId="0" borderId="38" xfId="0" applyFont="1" applyBorder="1" applyAlignment="1">
      <alignment horizontal="right" wrapText="1"/>
    </xf>
    <xf numFmtId="0" fontId="88" fillId="39" borderId="34" xfId="0" applyFont="1" applyFill="1" applyBorder="1" applyAlignment="1">
      <alignment wrapText="1"/>
    </xf>
    <xf numFmtId="0" fontId="121" fillId="0" borderId="39" xfId="0" applyFont="1" applyBorder="1" applyAlignment="1">
      <alignment wrapText="1"/>
    </xf>
    <xf numFmtId="0" fontId="118" fillId="0" borderId="39" xfId="0" applyFont="1" applyBorder="1" applyAlignment="1">
      <alignment wrapText="1"/>
    </xf>
    <xf numFmtId="0" fontId="122" fillId="40" borderId="38" xfId="0" applyFont="1" applyFill="1" applyBorder="1" applyAlignment="1">
      <alignment wrapText="1"/>
    </xf>
    <xf numFmtId="0" fontId="122" fillId="40" borderId="38" xfId="0" applyFont="1" applyFill="1" applyBorder="1" applyAlignment="1">
      <alignment horizontal="right" wrapText="1"/>
    </xf>
    <xf numFmtId="0" fontId="123" fillId="40" borderId="38" xfId="0" applyFont="1" applyFill="1" applyBorder="1" applyAlignment="1">
      <alignment horizontal="right" wrapText="1"/>
    </xf>
    <xf numFmtId="0" fontId="88" fillId="40" borderId="38" xfId="0" applyFont="1" applyFill="1" applyBorder="1" applyAlignment="1">
      <alignment wrapText="1"/>
    </xf>
    <xf numFmtId="0" fontId="122" fillId="0" borderId="38" xfId="0" applyFont="1" applyBorder="1" applyAlignment="1">
      <alignment wrapText="1"/>
    </xf>
    <xf numFmtId="0" fontId="122" fillId="0" borderId="38" xfId="0" applyFont="1" applyBorder="1" applyAlignment="1">
      <alignment horizontal="right" wrapText="1"/>
    </xf>
    <xf numFmtId="0" fontId="123" fillId="0" borderId="38" xfId="0" applyFont="1" applyBorder="1" applyAlignment="1">
      <alignment horizontal="right" wrapText="1"/>
    </xf>
    <xf numFmtId="0" fontId="121" fillId="40" borderId="39" xfId="0" applyFont="1" applyFill="1" applyBorder="1" applyAlignment="1">
      <alignment wrapText="1"/>
    </xf>
    <xf numFmtId="0" fontId="88" fillId="40" borderId="39" xfId="0" applyFont="1" applyFill="1" applyBorder="1" applyAlignment="1">
      <alignment wrapText="1"/>
    </xf>
    <xf numFmtId="0" fontId="121" fillId="40" borderId="39" xfId="0" applyFont="1" applyFill="1" applyBorder="1" applyAlignment="1">
      <alignment horizontal="right" wrapText="1"/>
    </xf>
    <xf numFmtId="0" fontId="118" fillId="40" borderId="39" xfId="0" applyFont="1" applyFill="1" applyBorder="1" applyAlignment="1">
      <alignment horizontal="right" wrapText="1"/>
    </xf>
    <xf numFmtId="0" fontId="124" fillId="40" borderId="39" xfId="0" applyFont="1" applyFill="1" applyBorder="1" applyAlignment="1">
      <alignment horizontal="right" wrapText="1"/>
    </xf>
    <xf numFmtId="0" fontId="88" fillId="0" borderId="43" xfId="0" applyFont="1" applyBorder="1" applyAlignment="1">
      <alignment wrapText="1"/>
    </xf>
    <xf numFmtId="0" fontId="106" fillId="0" borderId="44" xfId="0" applyFont="1" applyBorder="1" applyAlignment="1">
      <alignment wrapText="1"/>
    </xf>
    <xf numFmtId="0" fontId="124" fillId="0" borderId="45" xfId="0" applyFont="1" applyBorder="1" applyAlignment="1">
      <alignment wrapText="1"/>
    </xf>
    <xf numFmtId="0" fontId="106" fillId="0" borderId="45" xfId="0" applyFont="1" applyBorder="1" applyAlignment="1">
      <alignment wrapText="1"/>
    </xf>
    <xf numFmtId="0" fontId="118" fillId="0" borderId="45" xfId="0" applyFont="1" applyBorder="1" applyAlignment="1">
      <alignment wrapText="1"/>
    </xf>
    <xf numFmtId="0" fontId="123" fillId="41" borderId="47" xfId="0" applyFont="1" applyFill="1" applyBorder="1" applyAlignment="1">
      <alignment horizontal="right" wrapText="1"/>
    </xf>
    <xf numFmtId="0" fontId="81" fillId="41" borderId="47" xfId="0" applyFont="1" applyFill="1" applyBorder="1" applyAlignment="1">
      <alignment horizontal="right" wrapText="1"/>
    </xf>
    <xf numFmtId="0" fontId="125" fillId="41" borderId="47" xfId="0" applyFont="1" applyFill="1" applyBorder="1" applyAlignment="1">
      <alignment horizontal="right" wrapText="1"/>
    </xf>
    <xf numFmtId="0" fontId="88" fillId="0" borderId="48" xfId="0" applyFont="1" applyBorder="1" applyAlignment="1">
      <alignment wrapText="1"/>
    </xf>
    <xf numFmtId="0" fontId="88" fillId="0" borderId="45" xfId="0" applyFont="1" applyBorder="1" applyAlignment="1">
      <alignment wrapText="1"/>
    </xf>
    <xf numFmtId="0" fontId="88" fillId="0" borderId="47" xfId="0" applyFont="1" applyBorder="1" applyAlignment="1">
      <alignment wrapText="1"/>
    </xf>
    <xf numFmtId="0" fontId="123" fillId="0" borderId="45" xfId="0" applyFont="1" applyBorder="1" applyAlignment="1">
      <alignment horizontal="right" wrapText="1"/>
    </xf>
    <xf numFmtId="0" fontId="88" fillId="33" borderId="44" xfId="0" applyFont="1" applyFill="1" applyBorder="1" applyAlignment="1">
      <alignment wrapText="1"/>
    </xf>
    <xf numFmtId="0" fontId="88" fillId="33" borderId="45" xfId="0" applyFont="1" applyFill="1" applyBorder="1" applyAlignment="1">
      <alignment wrapText="1"/>
    </xf>
    <xf numFmtId="0" fontId="88" fillId="33" borderId="47" xfId="0" applyFont="1" applyFill="1" applyBorder="1" applyAlignment="1">
      <alignment wrapText="1"/>
    </xf>
    <xf numFmtId="0" fontId="88" fillId="0" borderId="38" xfId="0" applyFont="1" applyBorder="1" applyAlignment="1">
      <alignment horizontal="right" wrapText="1"/>
    </xf>
    <xf numFmtId="0" fontId="106" fillId="41" borderId="46" xfId="0" applyFont="1" applyFill="1" applyBorder="1" applyAlignment="1">
      <alignment wrapText="1"/>
    </xf>
    <xf numFmtId="0" fontId="88" fillId="0" borderId="44" xfId="0" applyFont="1" applyBorder="1" applyAlignment="1">
      <alignment wrapText="1"/>
    </xf>
    <xf numFmtId="0" fontId="118" fillId="0" borderId="52" xfId="0" applyFont="1" applyBorder="1" applyAlignment="1">
      <alignment wrapText="1"/>
    </xf>
    <xf numFmtId="0" fontId="123" fillId="40" borderId="47" xfId="0" applyFont="1" applyFill="1" applyBorder="1" applyAlignment="1">
      <alignment horizontal="right" wrapText="1"/>
    </xf>
    <xf numFmtId="0" fontId="123" fillId="41" borderId="54" xfId="0" applyFont="1" applyFill="1" applyBorder="1" applyAlignment="1">
      <alignment horizontal="right" wrapText="1"/>
    </xf>
    <xf numFmtId="0" fontId="123" fillId="40" borderId="54" xfId="0" applyFont="1" applyFill="1" applyBorder="1" applyAlignment="1">
      <alignment horizontal="right" wrapText="1"/>
    </xf>
    <xf numFmtId="0" fontId="125" fillId="41" borderId="54" xfId="0" applyFont="1" applyFill="1" applyBorder="1" applyAlignment="1">
      <alignment horizontal="right" wrapText="1"/>
    </xf>
    <xf numFmtId="0" fontId="123" fillId="41" borderId="55" xfId="0" applyFont="1" applyFill="1" applyBorder="1" applyAlignment="1">
      <alignment horizontal="right" wrapText="1"/>
    </xf>
    <xf numFmtId="0" fontId="88" fillId="33" borderId="38" xfId="0" applyFont="1" applyFill="1" applyBorder="1" applyAlignment="1">
      <alignment wrapText="1"/>
    </xf>
    <xf numFmtId="0" fontId="87" fillId="45" borderId="0" xfId="0" applyFont="1" applyFill="1"/>
    <xf numFmtId="0" fontId="101" fillId="45" borderId="0" xfId="0" applyFont="1" applyFill="1"/>
    <xf numFmtId="0" fontId="101" fillId="45" borderId="0" xfId="0" applyFont="1" applyFill="1" applyAlignment="1">
      <alignment horizontal="right"/>
    </xf>
    <xf numFmtId="0" fontId="103" fillId="45" borderId="0" xfId="0" applyFont="1" applyFill="1" applyAlignment="1">
      <alignment horizontal="right"/>
    </xf>
    <xf numFmtId="4" fontId="101" fillId="45" borderId="0" xfId="0" applyNumberFormat="1" applyFont="1" applyFill="1" applyAlignment="1">
      <alignment horizontal="right"/>
    </xf>
    <xf numFmtId="0" fontId="88" fillId="45" borderId="0" xfId="0" applyFont="1" applyFill="1"/>
    <xf numFmtId="0" fontId="102" fillId="0" borderId="0" xfId="0" applyFont="1" applyAlignment="1">
      <alignment horizontal="right"/>
    </xf>
    <xf numFmtId="0" fontId="87" fillId="0" borderId="0" xfId="0" quotePrefix="1" applyFont="1"/>
    <xf numFmtId="15" fontId="87" fillId="0" borderId="0" xfId="0" applyNumberFormat="1" applyFont="1"/>
    <xf numFmtId="165" fontId="75" fillId="20" borderId="18" xfId="0" applyNumberFormat="1" applyFont="1" applyFill="1" applyBorder="1" applyAlignment="1">
      <alignment horizontal="center" vertical="center" wrapText="1"/>
    </xf>
    <xf numFmtId="0" fontId="34" fillId="17" borderId="18" xfId="0" applyFont="1" applyFill="1" applyBorder="1" applyAlignment="1">
      <alignment horizontal="left" vertical="center" wrapText="1"/>
    </xf>
    <xf numFmtId="0" fontId="34" fillId="17" borderId="18" xfId="0" applyFont="1" applyFill="1" applyBorder="1" applyAlignment="1">
      <alignment horizontal="center" vertical="center" wrapText="1"/>
    </xf>
    <xf numFmtId="0" fontId="34" fillId="17" borderId="18" xfId="0" applyFont="1" applyFill="1" applyBorder="1" applyAlignment="1">
      <alignment horizontal="left" vertical="center"/>
    </xf>
    <xf numFmtId="0" fontId="88" fillId="0" borderId="0" xfId="9" applyFont="1" applyAlignment="1">
      <alignment horizontal="left"/>
    </xf>
    <xf numFmtId="0" fontId="93" fillId="35" borderId="0" xfId="0" applyFont="1" applyFill="1" applyAlignment="1">
      <alignment vertical="center"/>
    </xf>
    <xf numFmtId="2" fontId="93" fillId="35" borderId="0" xfId="0" applyNumberFormat="1" applyFont="1" applyFill="1" applyAlignment="1">
      <alignment vertical="center"/>
    </xf>
    <xf numFmtId="0" fontId="3" fillId="0" borderId="0" xfId="0" applyFont="1" applyAlignment="1">
      <alignment horizontal="center"/>
    </xf>
    <xf numFmtId="168" fontId="88" fillId="0" borderId="0" xfId="9" applyNumberFormat="1" applyFont="1" applyAlignment="1">
      <alignment horizontal="center"/>
    </xf>
    <xf numFmtId="0" fontId="3" fillId="0" borderId="0" xfId="1" applyAlignment="1">
      <alignment horizontal="center"/>
    </xf>
    <xf numFmtId="0" fontId="96" fillId="34" borderId="0" xfId="9" applyFont="1" applyFill="1" applyAlignment="1">
      <alignment horizontal="left"/>
    </xf>
    <xf numFmtId="0" fontId="2" fillId="0" borderId="0" xfId="0" applyFont="1" applyAlignment="1">
      <alignment horizontal="center"/>
    </xf>
    <xf numFmtId="0" fontId="94" fillId="0" borderId="0" xfId="0" applyFont="1" applyAlignment="1">
      <alignment horizontal="center" vertical="center"/>
    </xf>
    <xf numFmtId="0" fontId="88" fillId="0" borderId="0" xfId="1" applyFont="1" applyAlignment="1">
      <alignment horizontal="center"/>
    </xf>
    <xf numFmtId="2" fontId="88" fillId="0" borderId="0" xfId="9" applyNumberFormat="1" applyFont="1" applyAlignment="1">
      <alignment horizontal="left"/>
    </xf>
    <xf numFmtId="0" fontId="91" fillId="0" borderId="0" xfId="0" applyFont="1" applyAlignment="1">
      <alignment horizontal="center" vertical="center"/>
    </xf>
    <xf numFmtId="0" fontId="81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2" fontId="94" fillId="0" borderId="0" xfId="0" applyNumberFormat="1" applyFont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96" fillId="0" borderId="0" xfId="9" applyFont="1" applyAlignment="1">
      <alignment horizontal="center"/>
    </xf>
    <xf numFmtId="0" fontId="90" fillId="0" borderId="0" xfId="0" applyFont="1" applyAlignment="1">
      <alignment horizontal="center" vertical="center"/>
    </xf>
    <xf numFmtId="0" fontId="95" fillId="0" borderId="0" xfId="0" applyFont="1" applyAlignment="1">
      <alignment horizontal="center" vertical="center"/>
    </xf>
    <xf numFmtId="0" fontId="88" fillId="0" borderId="0" xfId="9" applyFont="1" applyAlignment="1">
      <alignment horizontal="center"/>
    </xf>
    <xf numFmtId="2" fontId="3" fillId="0" borderId="0" xfId="1" applyNumberFormat="1" applyAlignment="1">
      <alignment horizontal="center"/>
    </xf>
    <xf numFmtId="0" fontId="97" fillId="0" borderId="0" xfId="10" applyFont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88" fillId="33" borderId="0" xfId="9" applyFont="1" applyFill="1" applyAlignment="1">
      <alignment horizontal="left"/>
    </xf>
    <xf numFmtId="17" fontId="88" fillId="0" borderId="0" xfId="9" applyNumberFormat="1" applyFont="1" applyAlignment="1">
      <alignment horizontal="left"/>
    </xf>
    <xf numFmtId="0" fontId="87" fillId="0" borderId="0" xfId="0" applyFont="1" applyAlignment="1">
      <alignment horizontal="left"/>
    </xf>
    <xf numFmtId="17" fontId="87" fillId="0" borderId="0" xfId="0" applyNumberFormat="1" applyFont="1" applyAlignment="1">
      <alignment horizontal="left"/>
    </xf>
    <xf numFmtId="0" fontId="127" fillId="0" borderId="0" xfId="0" applyFont="1" applyAlignment="1">
      <alignment horizontal="left" vertical="center"/>
    </xf>
    <xf numFmtId="165" fontId="128" fillId="0" borderId="0" xfId="0" applyNumberFormat="1" applyFont="1" applyAlignment="1">
      <alignment horizontal="center" vertical="center"/>
    </xf>
    <xf numFmtId="0" fontId="130" fillId="0" borderId="0" xfId="0" applyFont="1" applyAlignment="1">
      <alignment horizontal="center" vertical="center"/>
    </xf>
    <xf numFmtId="0" fontId="83" fillId="0" borderId="0" xfId="0" applyFont="1"/>
    <xf numFmtId="0" fontId="131" fillId="0" borderId="0" xfId="0" applyFont="1" applyAlignment="1">
      <alignment horizontal="left" vertical="center"/>
    </xf>
    <xf numFmtId="165" fontId="132" fillId="0" borderId="0" xfId="0" applyNumberFormat="1" applyFont="1" applyAlignment="1">
      <alignment horizontal="center" vertical="center"/>
    </xf>
    <xf numFmtId="0" fontId="133" fillId="0" borderId="0" xfId="0" applyFont="1" applyAlignment="1">
      <alignment horizontal="left" vertical="center"/>
    </xf>
    <xf numFmtId="165" fontId="134" fillId="0" borderId="0" xfId="0" applyNumberFormat="1" applyFont="1" applyAlignment="1">
      <alignment horizontal="center" vertical="center"/>
    </xf>
    <xf numFmtId="0" fontId="135" fillId="0" borderId="0" xfId="0" applyFont="1" applyAlignment="1">
      <alignment horizontal="left" vertical="center"/>
    </xf>
    <xf numFmtId="0" fontId="0" fillId="50" borderId="0" xfId="0" applyFill="1"/>
    <xf numFmtId="0" fontId="48" fillId="17" borderId="18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71" fillId="30" borderId="18" xfId="0" applyFont="1" applyFill="1" applyBorder="1" applyAlignment="1">
      <alignment horizontal="left" vertical="center"/>
    </xf>
    <xf numFmtId="0" fontId="77" fillId="30" borderId="18" xfId="0" applyFont="1" applyFill="1" applyBorder="1" applyAlignment="1">
      <alignment horizontal="left" vertical="center"/>
    </xf>
    <xf numFmtId="0" fontId="27" fillId="52" borderId="18" xfId="0" applyFont="1" applyFill="1" applyBorder="1" applyAlignment="1">
      <alignment horizontal="center" vertical="center"/>
    </xf>
    <xf numFmtId="0" fontId="58" fillId="53" borderId="18" xfId="0" applyFont="1" applyFill="1" applyBorder="1" applyAlignment="1">
      <alignment horizontal="left" vertical="center"/>
    </xf>
    <xf numFmtId="0" fontId="58" fillId="54" borderId="18" xfId="0" applyFont="1" applyFill="1" applyBorder="1" applyAlignment="1">
      <alignment horizontal="left" vertical="center"/>
    </xf>
    <xf numFmtId="0" fontId="91" fillId="0" borderId="0" xfId="9" applyFont="1" applyAlignment="1">
      <alignment horizontal="center" vertical="center"/>
    </xf>
    <xf numFmtId="0" fontId="27" fillId="19" borderId="71" xfId="0" applyFont="1" applyFill="1" applyBorder="1" applyAlignment="1">
      <alignment horizontal="center" vertical="center"/>
    </xf>
    <xf numFmtId="0" fontId="27" fillId="19" borderId="72" xfId="0" applyFont="1" applyFill="1" applyBorder="1" applyAlignment="1">
      <alignment horizontal="center" vertical="center"/>
    </xf>
    <xf numFmtId="0" fontId="27" fillId="19" borderId="33" xfId="0" applyFont="1" applyFill="1" applyBorder="1" applyAlignment="1">
      <alignment horizontal="center" vertical="center"/>
    </xf>
    <xf numFmtId="15" fontId="34" fillId="17" borderId="28" xfId="0" applyNumberFormat="1" applyFont="1" applyFill="1" applyBorder="1" applyAlignment="1">
      <alignment horizontal="left" vertical="center"/>
    </xf>
    <xf numFmtId="15" fontId="34" fillId="14" borderId="28" xfId="0" applyNumberFormat="1" applyFont="1" applyFill="1" applyBorder="1" applyAlignment="1">
      <alignment horizontal="left" vertical="center"/>
    </xf>
    <xf numFmtId="49" fontId="34" fillId="17" borderId="21" xfId="0" applyNumberFormat="1" applyFont="1" applyFill="1" applyBorder="1" applyAlignment="1">
      <alignment horizontal="center" vertical="center"/>
    </xf>
    <xf numFmtId="49" fontId="34" fillId="14" borderId="21" xfId="0" applyNumberFormat="1" applyFont="1" applyFill="1" applyBorder="1" applyAlignment="1">
      <alignment horizontal="center" vertical="center"/>
    </xf>
    <xf numFmtId="15" fontId="34" fillId="14" borderId="73" xfId="0" applyNumberFormat="1" applyFont="1" applyFill="1" applyBorder="1" applyAlignment="1">
      <alignment horizontal="left" vertical="center"/>
    </xf>
    <xf numFmtId="49" fontId="34" fillId="14" borderId="74" xfId="0" applyNumberFormat="1" applyFont="1" applyFill="1" applyBorder="1" applyAlignment="1">
      <alignment horizontal="left" vertical="center"/>
    </xf>
    <xf numFmtId="49" fontId="34" fillId="14" borderId="74" xfId="0" applyNumberFormat="1" applyFont="1" applyFill="1" applyBorder="1" applyAlignment="1">
      <alignment horizontal="center" vertical="center"/>
    </xf>
    <xf numFmtId="166" fontId="34" fillId="14" borderId="74" xfId="0" applyNumberFormat="1" applyFont="1" applyFill="1" applyBorder="1" applyAlignment="1">
      <alignment horizontal="right" vertical="center"/>
    </xf>
    <xf numFmtId="49" fontId="34" fillId="14" borderId="75" xfId="0" applyNumberFormat="1" applyFont="1" applyFill="1" applyBorder="1" applyAlignment="1">
      <alignment horizontal="center" vertical="center"/>
    </xf>
    <xf numFmtId="0" fontId="34" fillId="17" borderId="21" xfId="0" applyFont="1" applyFill="1" applyBorder="1" applyAlignment="1">
      <alignment horizontal="center" vertical="center"/>
    </xf>
    <xf numFmtId="15" fontId="34" fillId="17" borderId="73" xfId="0" applyNumberFormat="1" applyFont="1" applyFill="1" applyBorder="1" applyAlignment="1">
      <alignment horizontal="left" vertical="center"/>
    </xf>
    <xf numFmtId="0" fontId="34" fillId="17" borderId="74" xfId="0" applyFont="1" applyFill="1" applyBorder="1" applyAlignment="1">
      <alignment horizontal="left" vertical="center" wrapText="1"/>
    </xf>
    <xf numFmtId="0" fontId="34" fillId="17" borderId="74" xfId="0" applyFont="1" applyFill="1" applyBorder="1" applyAlignment="1">
      <alignment horizontal="center" vertical="center" wrapText="1"/>
    </xf>
    <xf numFmtId="166" fontId="34" fillId="17" borderId="74" xfId="0" applyNumberFormat="1" applyFont="1" applyFill="1" applyBorder="1" applyAlignment="1">
      <alignment horizontal="right" vertical="center"/>
    </xf>
    <xf numFmtId="0" fontId="34" fillId="17" borderId="74" xfId="0" applyFont="1" applyFill="1" applyBorder="1" applyAlignment="1">
      <alignment horizontal="left" vertical="center"/>
    </xf>
    <xf numFmtId="0" fontId="34" fillId="17" borderId="75" xfId="0" applyFont="1" applyFill="1" applyBorder="1" applyAlignment="1">
      <alignment horizontal="center" vertical="center"/>
    </xf>
    <xf numFmtId="164" fontId="139" fillId="11" borderId="5" xfId="0" applyNumberFormat="1" applyFont="1" applyFill="1" applyBorder="1" applyAlignment="1">
      <alignment horizontal="right" vertical="center"/>
    </xf>
    <xf numFmtId="164" fontId="139" fillId="14" borderId="5" xfId="0" applyNumberFormat="1" applyFont="1" applyFill="1" applyBorder="1" applyAlignment="1">
      <alignment horizontal="right" vertical="center"/>
    </xf>
    <xf numFmtId="1" fontId="27" fillId="0" borderId="0" xfId="0" applyNumberFormat="1" applyFont="1" applyAlignment="1">
      <alignment horizontal="center" vertical="center"/>
    </xf>
    <xf numFmtId="3" fontId="51" fillId="0" borderId="0" xfId="0" applyNumberFormat="1" applyFont="1" applyAlignment="1">
      <alignment horizontal="center"/>
    </xf>
    <xf numFmtId="165" fontId="51" fillId="0" borderId="0" xfId="0" applyNumberFormat="1" applyFont="1" applyAlignment="1">
      <alignment horizontal="center"/>
    </xf>
    <xf numFmtId="0" fontId="16" fillId="11" borderId="12" xfId="0" applyFont="1" applyFill="1" applyBorder="1" applyAlignment="1">
      <alignment horizontal="right" vertical="center"/>
    </xf>
    <xf numFmtId="165" fontId="20" fillId="11" borderId="5" xfId="0" applyNumberFormat="1" applyFont="1" applyFill="1" applyBorder="1" applyAlignment="1">
      <alignment horizontal="right" vertical="center"/>
    </xf>
    <xf numFmtId="0" fontId="16" fillId="14" borderId="12" xfId="0" applyFont="1" applyFill="1" applyBorder="1" applyAlignment="1">
      <alignment horizontal="right" vertical="center"/>
    </xf>
    <xf numFmtId="165" fontId="20" fillId="14" borderId="5" xfId="0" applyNumberFormat="1" applyFont="1" applyFill="1" applyBorder="1" applyAlignment="1">
      <alignment horizontal="right" vertical="center"/>
    </xf>
    <xf numFmtId="0" fontId="140" fillId="0" borderId="0" xfId="0" applyFont="1" applyAlignment="1">
      <alignment horizontal="right"/>
    </xf>
    <xf numFmtId="0" fontId="140" fillId="3" borderId="0" xfId="0" applyFont="1" applyFill="1" applyAlignment="1">
      <alignment horizontal="right"/>
    </xf>
    <xf numFmtId="0" fontId="141" fillId="3" borderId="0" xfId="0" applyFont="1" applyFill="1" applyAlignment="1">
      <alignment horizontal="right" vertical="center"/>
    </xf>
    <xf numFmtId="0" fontId="143" fillId="3" borderId="0" xfId="0" applyFont="1" applyFill="1" applyAlignment="1">
      <alignment horizontal="right" vertical="center"/>
    </xf>
    <xf numFmtId="0" fontId="17" fillId="12" borderId="0" xfId="0" applyFont="1" applyFill="1" applyAlignment="1">
      <alignment horizontal="right" vertical="center"/>
    </xf>
    <xf numFmtId="0" fontId="141" fillId="8" borderId="7" xfId="0" applyFont="1" applyFill="1" applyBorder="1" applyAlignment="1">
      <alignment horizontal="right" vertical="center"/>
    </xf>
    <xf numFmtId="0" fontId="19" fillId="12" borderId="19" xfId="0" applyFont="1" applyFill="1" applyBorder="1" applyAlignment="1">
      <alignment horizontal="right" vertical="center"/>
    </xf>
    <xf numFmtId="164" fontId="17" fillId="12" borderId="19" xfId="0" applyNumberFormat="1" applyFont="1" applyFill="1" applyBorder="1" applyAlignment="1">
      <alignment horizontal="right" vertical="center"/>
    </xf>
    <xf numFmtId="164" fontId="18" fillId="12" borderId="19" xfId="0" applyNumberFormat="1" applyFont="1" applyFill="1" applyBorder="1" applyAlignment="1">
      <alignment horizontal="right" vertical="center"/>
    </xf>
    <xf numFmtId="164" fontId="139" fillId="12" borderId="19" xfId="0" applyNumberFormat="1" applyFont="1" applyFill="1" applyBorder="1" applyAlignment="1">
      <alignment horizontal="right" vertical="center"/>
    </xf>
    <xf numFmtId="165" fontId="20" fillId="12" borderId="19" xfId="0" applyNumberFormat="1" applyFont="1" applyFill="1" applyBorder="1" applyAlignment="1">
      <alignment horizontal="right" vertical="center"/>
    </xf>
    <xf numFmtId="0" fontId="141" fillId="8" borderId="77" xfId="0" applyFont="1" applyFill="1" applyBorder="1" applyAlignment="1">
      <alignment horizontal="right" vertical="center"/>
    </xf>
    <xf numFmtId="0" fontId="17" fillId="10" borderId="76" xfId="0" applyFont="1" applyFill="1" applyBorder="1" applyAlignment="1">
      <alignment horizontal="right" vertical="center"/>
    </xf>
    <xf numFmtId="0" fontId="18" fillId="13" borderId="8" xfId="0" applyFont="1" applyFill="1" applyBorder="1" applyAlignment="1">
      <alignment horizontal="right" vertical="center"/>
    </xf>
    <xf numFmtId="0" fontId="139" fillId="36" borderId="29" xfId="0" applyFont="1" applyFill="1" applyBorder="1" applyAlignment="1">
      <alignment horizontal="right" vertical="center"/>
    </xf>
    <xf numFmtId="0" fontId="19" fillId="12" borderId="13" xfId="0" applyFont="1" applyFill="1" applyBorder="1" applyAlignment="1">
      <alignment horizontal="right" vertical="center"/>
    </xf>
    <xf numFmtId="0" fontId="20" fillId="15" borderId="17" xfId="0" applyFont="1" applyFill="1" applyBorder="1" applyAlignment="1">
      <alignment horizontal="right" vertical="center"/>
    </xf>
    <xf numFmtId="49" fontId="144" fillId="11" borderId="76" xfId="0" applyNumberFormat="1" applyFont="1" applyFill="1" applyBorder="1" applyAlignment="1">
      <alignment horizontal="right" vertical="center"/>
    </xf>
    <xf numFmtId="164" fontId="17" fillId="11" borderId="76" xfId="0" applyNumberFormat="1" applyFont="1" applyFill="1" applyBorder="1" applyAlignment="1">
      <alignment horizontal="right" vertical="center"/>
    </xf>
    <xf numFmtId="164" fontId="18" fillId="14" borderId="27" xfId="0" applyNumberFormat="1" applyFont="1" applyFill="1" applyBorder="1" applyAlignment="1">
      <alignment horizontal="right" vertical="center"/>
    </xf>
    <xf numFmtId="166" fontId="139" fillId="37" borderId="0" xfId="0" applyNumberFormat="1" applyFont="1" applyFill="1" applyAlignment="1">
      <alignment horizontal="right" vertical="center"/>
    </xf>
    <xf numFmtId="164" fontId="19" fillId="11" borderId="30" xfId="0" applyNumberFormat="1" applyFont="1" applyFill="1" applyBorder="1" applyAlignment="1">
      <alignment horizontal="right" vertical="center"/>
    </xf>
    <xf numFmtId="164" fontId="19" fillId="11" borderId="78" xfId="0" applyNumberFormat="1" applyFont="1" applyFill="1" applyBorder="1" applyAlignment="1">
      <alignment horizontal="right" vertical="center"/>
    </xf>
    <xf numFmtId="0" fontId="145" fillId="16" borderId="21" xfId="0" applyFont="1" applyFill="1" applyBorder="1" applyAlignment="1">
      <alignment horizontal="right" vertical="center"/>
    </xf>
    <xf numFmtId="0" fontId="142" fillId="7" borderId="1" xfId="0" applyFont="1" applyFill="1" applyBorder="1" applyAlignment="1">
      <alignment horizontal="center" vertical="center"/>
    </xf>
    <xf numFmtId="164" fontId="38" fillId="55" borderId="5" xfId="0" applyNumberFormat="1" applyFont="1" applyFill="1" applyBorder="1" applyAlignment="1">
      <alignment horizontal="right" vertical="center"/>
    </xf>
    <xf numFmtId="168" fontId="87" fillId="0" borderId="0" xfId="0" applyNumberFormat="1" applyFont="1" applyAlignment="1">
      <alignment horizontal="right"/>
    </xf>
    <xf numFmtId="0" fontId="1" fillId="0" borderId="0" xfId="0" applyFont="1" applyAlignment="1">
      <alignment horizontal="center"/>
    </xf>
    <xf numFmtId="0" fontId="146" fillId="0" borderId="0" xfId="0" applyFont="1"/>
    <xf numFmtId="0" fontId="108" fillId="56" borderId="0" xfId="0" applyFont="1" applyFill="1"/>
    <xf numFmtId="175" fontId="108" fillId="56" borderId="0" xfId="0" applyNumberFormat="1" applyFont="1" applyFill="1"/>
    <xf numFmtId="0" fontId="87" fillId="0" borderId="0" xfId="0" applyFont="1" applyAlignment="1">
      <alignment horizontal="center"/>
    </xf>
    <xf numFmtId="175" fontId="87" fillId="0" borderId="0" xfId="0" applyNumberFormat="1" applyFont="1" applyAlignment="1">
      <alignment horizontal="right"/>
    </xf>
    <xf numFmtId="0" fontId="87" fillId="57" borderId="0" xfId="0" applyFont="1" applyFill="1" applyAlignment="1">
      <alignment horizontal="right"/>
    </xf>
    <xf numFmtId="0" fontId="108" fillId="58" borderId="0" xfId="0" applyFont="1" applyFill="1" applyAlignment="1">
      <alignment horizontal="right"/>
    </xf>
    <xf numFmtId="175" fontId="108" fillId="58" borderId="0" xfId="0" applyNumberFormat="1" applyFont="1" applyFill="1" applyAlignment="1">
      <alignment horizontal="right"/>
    </xf>
    <xf numFmtId="175" fontId="87" fillId="59" borderId="0" xfId="0" applyNumberFormat="1" applyFont="1" applyFill="1" applyAlignment="1">
      <alignment horizontal="right"/>
    </xf>
    <xf numFmtId="175" fontId="87" fillId="57" borderId="0" xfId="0" applyNumberFormat="1" applyFont="1" applyFill="1" applyAlignment="1">
      <alignment horizontal="right"/>
    </xf>
    <xf numFmtId="0" fontId="87" fillId="0" borderId="80" xfId="0" applyFont="1" applyBorder="1"/>
    <xf numFmtId="0" fontId="108" fillId="45" borderId="0" xfId="0" applyFont="1" applyFill="1"/>
    <xf numFmtId="0" fontId="1" fillId="0" borderId="38" xfId="0" applyFont="1" applyBorder="1" applyAlignment="1">
      <alignment horizontal="right" wrapText="1"/>
    </xf>
    <xf numFmtId="0" fontId="1" fillId="41" borderId="46" xfId="0" applyFont="1" applyFill="1" applyBorder="1" applyAlignment="1">
      <alignment wrapText="1"/>
    </xf>
    <xf numFmtId="0" fontId="1" fillId="41" borderId="47" xfId="0" applyFont="1" applyFill="1" applyBorder="1" applyAlignment="1">
      <alignment horizontal="right" wrapText="1"/>
    </xf>
    <xf numFmtId="0" fontId="1" fillId="41" borderId="49" xfId="0" applyFont="1" applyFill="1" applyBorder="1" applyAlignment="1">
      <alignment wrapText="1"/>
    </xf>
    <xf numFmtId="0" fontId="1" fillId="0" borderId="45" xfId="0" applyFont="1" applyBorder="1" applyAlignment="1">
      <alignment horizontal="right" wrapText="1"/>
    </xf>
    <xf numFmtId="0" fontId="1" fillId="0" borderId="47" xfId="0" applyFont="1" applyBorder="1" applyAlignment="1">
      <alignment wrapText="1"/>
    </xf>
    <xf numFmtId="0" fontId="1" fillId="41" borderId="53" xfId="0" applyFont="1" applyFill="1" applyBorder="1" applyAlignment="1">
      <alignment wrapText="1"/>
    </xf>
    <xf numFmtId="0" fontId="1" fillId="41" borderId="54" xfId="0" applyFont="1" applyFill="1" applyBorder="1" applyAlignment="1">
      <alignment horizontal="right" wrapText="1"/>
    </xf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wrapText="1"/>
    </xf>
    <xf numFmtId="0" fontId="1" fillId="0" borderId="0" xfId="0" applyFont="1"/>
    <xf numFmtId="0" fontId="136" fillId="0" borderId="81" xfId="0" applyFont="1" applyBorder="1" applyAlignment="1">
      <alignment horizontal="center" vertical="center"/>
    </xf>
    <xf numFmtId="0" fontId="0" fillId="50" borderId="0" xfId="0" applyFill="1" applyAlignment="1">
      <alignment horizontal="left"/>
    </xf>
    <xf numFmtId="0" fontId="27" fillId="19" borderId="18" xfId="0" applyFont="1" applyFill="1" applyBorder="1" applyAlignment="1">
      <alignment horizontal="left" vertical="center"/>
    </xf>
    <xf numFmtId="0" fontId="90" fillId="51" borderId="69" xfId="0" applyFont="1" applyFill="1" applyBorder="1" applyAlignment="1">
      <alignment horizontal="center" vertical="center"/>
    </xf>
    <xf numFmtId="2" fontId="136" fillId="0" borderId="81" xfId="0" applyNumberFormat="1" applyFont="1" applyBorder="1" applyAlignment="1">
      <alignment horizontal="center" vertical="center"/>
    </xf>
    <xf numFmtId="0" fontId="138" fillId="0" borderId="0" xfId="0" applyFont="1" applyAlignment="1">
      <alignment horizontal="center" vertical="center"/>
    </xf>
    <xf numFmtId="14" fontId="149" fillId="0" borderId="0" xfId="9" applyNumberFormat="1" applyFont="1" applyAlignment="1">
      <alignment horizontal="center"/>
    </xf>
    <xf numFmtId="0" fontId="149" fillId="0" borderId="0" xfId="9" applyFont="1" applyAlignment="1">
      <alignment horizontal="center"/>
    </xf>
    <xf numFmtId="0" fontId="93" fillId="0" borderId="0" xfId="0" applyFont="1" applyAlignment="1">
      <alignment vertical="center"/>
    </xf>
    <xf numFmtId="168" fontId="147" fillId="60" borderId="82" xfId="0" applyNumberFormat="1" applyFont="1" applyFill="1" applyBorder="1" applyAlignment="1">
      <alignment horizontal="center"/>
    </xf>
    <xf numFmtId="0" fontId="147" fillId="60" borderId="82" xfId="0" applyFont="1" applyFill="1" applyBorder="1" applyAlignment="1">
      <alignment horizontal="left"/>
    </xf>
    <xf numFmtId="0" fontId="150" fillId="60" borderId="82" xfId="0" applyFont="1" applyFill="1" applyBorder="1" applyAlignment="1">
      <alignment horizontal="center" vertical="center"/>
    </xf>
    <xf numFmtId="0" fontId="148" fillId="60" borderId="82" xfId="0" applyFont="1" applyFill="1" applyBorder="1" applyAlignment="1">
      <alignment horizontal="center"/>
    </xf>
    <xf numFmtId="0" fontId="88" fillId="51" borderId="0" xfId="9" applyFont="1" applyFill="1" applyAlignment="1">
      <alignment horizontal="left"/>
    </xf>
    <xf numFmtId="0" fontId="137" fillId="51" borderId="0" xfId="1" applyFont="1" applyFill="1" applyAlignment="1">
      <alignment horizontal="center"/>
    </xf>
    <xf numFmtId="0" fontId="147" fillId="60" borderId="82" xfId="0" applyFont="1" applyFill="1" applyBorder="1" applyAlignment="1">
      <alignment horizontal="center"/>
    </xf>
    <xf numFmtId="2" fontId="148" fillId="60" borderId="82" xfId="0" applyNumberFormat="1" applyFont="1" applyFill="1" applyBorder="1" applyAlignment="1">
      <alignment horizontal="center"/>
    </xf>
    <xf numFmtId="0" fontId="147" fillId="0" borderId="82" xfId="0" applyFont="1" applyBorder="1" applyAlignment="1">
      <alignment horizontal="left"/>
    </xf>
    <xf numFmtId="2" fontId="26" fillId="14" borderId="0" xfId="0" applyNumberFormat="1" applyFont="1" applyFill="1"/>
    <xf numFmtId="2" fontId="27" fillId="52" borderId="18" xfId="0" applyNumberFormat="1" applyFont="1" applyFill="1" applyBorder="1" applyAlignment="1">
      <alignment horizontal="right" vertical="center"/>
    </xf>
    <xf numFmtId="2" fontId="58" fillId="53" borderId="18" xfId="0" applyNumberFormat="1" applyFont="1" applyFill="1" applyBorder="1" applyAlignment="1">
      <alignment horizontal="right" vertical="center"/>
    </xf>
    <xf numFmtId="2" fontId="27" fillId="28" borderId="18" xfId="0" applyNumberFormat="1" applyFont="1" applyFill="1" applyBorder="1" applyAlignment="1">
      <alignment horizontal="center" vertical="center"/>
    </xf>
    <xf numFmtId="2" fontId="66" fillId="14" borderId="0" xfId="0" applyNumberFormat="1" applyFont="1" applyFill="1"/>
    <xf numFmtId="2" fontId="66" fillId="0" borderId="0" xfId="0" applyNumberFormat="1" applyFont="1"/>
    <xf numFmtId="2" fontId="0" fillId="0" borderId="0" xfId="0" applyNumberFormat="1"/>
    <xf numFmtId="17" fontId="0" fillId="0" borderId="0" xfId="0" applyNumberFormat="1"/>
    <xf numFmtId="9" fontId="0" fillId="0" borderId="0" xfId="12" applyFont="1"/>
    <xf numFmtId="0" fontId="36" fillId="16" borderId="0" xfId="0" applyFont="1" applyFill="1" applyAlignment="1">
      <alignment horizontal="left" vertical="center"/>
    </xf>
    <xf numFmtId="0" fontId="48" fillId="17" borderId="18" xfId="0" applyFont="1" applyFill="1" applyBorder="1" applyAlignment="1">
      <alignment horizontal="left" vertical="center"/>
    </xf>
    <xf numFmtId="0" fontId="152" fillId="62" borderId="0" xfId="0" applyFont="1" applyFill="1"/>
    <xf numFmtId="0" fontId="152" fillId="63" borderId="0" xfId="0" applyFont="1" applyFill="1"/>
    <xf numFmtId="0" fontId="160" fillId="62" borderId="0" xfId="0" applyFont="1" applyFill="1"/>
    <xf numFmtId="0" fontId="161" fillId="62" borderId="109" xfId="0" applyFont="1" applyFill="1" applyBorder="1"/>
    <xf numFmtId="0" fontId="162" fillId="62" borderId="0" xfId="0" applyFont="1" applyFill="1"/>
    <xf numFmtId="0" fontId="152" fillId="64" borderId="84" xfId="0" applyFont="1" applyFill="1" applyBorder="1"/>
    <xf numFmtId="0" fontId="163" fillId="64" borderId="84" xfId="0" applyFont="1" applyFill="1" applyBorder="1"/>
    <xf numFmtId="0" fontId="164" fillId="64" borderId="84" xfId="0" applyFont="1" applyFill="1" applyBorder="1"/>
    <xf numFmtId="164" fontId="164" fillId="64" borderId="84" xfId="0" applyNumberFormat="1" applyFont="1" applyFill="1" applyBorder="1"/>
    <xf numFmtId="0" fontId="165" fillId="64" borderId="84" xfId="0" applyFont="1" applyFill="1" applyBorder="1"/>
    <xf numFmtId="164" fontId="165" fillId="64" borderId="84" xfId="0" applyNumberFormat="1" applyFont="1" applyFill="1" applyBorder="1"/>
    <xf numFmtId="0" fontId="168" fillId="63" borderId="84" xfId="0" applyFont="1" applyFill="1" applyBorder="1"/>
    <xf numFmtId="0" fontId="154" fillId="64" borderId="0" xfId="0" applyFont="1" applyFill="1" applyAlignment="1">
      <alignment horizontal="center" vertical="center"/>
    </xf>
    <xf numFmtId="0" fontId="0" fillId="0" borderId="0" xfId="0"/>
    <xf numFmtId="164" fontId="165" fillId="64" borderId="84" xfId="0" applyNumberFormat="1" applyFont="1" applyFill="1" applyBorder="1" applyAlignment="1">
      <alignment horizontal="right" vertical="center"/>
    </xf>
    <xf numFmtId="0" fontId="152" fillId="61" borderId="111" xfId="0" applyFont="1" applyFill="1" applyBorder="1"/>
    <xf numFmtId="0" fontId="157" fillId="68" borderId="87" xfId="0" applyFont="1" applyFill="1" applyBorder="1" applyAlignment="1">
      <alignment horizontal="center" vertical="center"/>
    </xf>
    <xf numFmtId="0" fontId="152" fillId="61" borderId="106" xfId="0" applyFont="1" applyFill="1" applyBorder="1"/>
    <xf numFmtId="164" fontId="159" fillId="64" borderId="84" xfId="0" applyNumberFormat="1" applyFont="1" applyFill="1" applyBorder="1" applyAlignment="1">
      <alignment horizontal="left" vertical="center"/>
    </xf>
    <xf numFmtId="0" fontId="152" fillId="61" borderId="91" xfId="0" applyFont="1" applyFill="1" applyBorder="1"/>
    <xf numFmtId="0" fontId="158" fillId="64" borderId="84" xfId="0" applyFont="1" applyFill="1" applyBorder="1" applyAlignment="1">
      <alignment horizontal="left" vertical="center"/>
    </xf>
    <xf numFmtId="0" fontId="157" fillId="69" borderId="88" xfId="0" applyFont="1" applyFill="1" applyBorder="1" applyAlignment="1">
      <alignment horizontal="center" vertical="center"/>
    </xf>
    <xf numFmtId="0" fontId="152" fillId="61" borderId="107" xfId="0" applyFont="1" applyFill="1" applyBorder="1"/>
    <xf numFmtId="0" fontId="154" fillId="64" borderId="84" xfId="0" applyFont="1" applyFill="1" applyBorder="1" applyAlignment="1">
      <alignment horizontal="left" vertical="center"/>
    </xf>
    <xf numFmtId="176" fontId="155" fillId="64" borderId="0" xfId="0" applyNumberFormat="1" applyFont="1" applyFill="1" applyAlignment="1">
      <alignment horizontal="center" vertical="center"/>
    </xf>
    <xf numFmtId="0" fontId="152" fillId="64" borderId="93" xfId="0" applyFont="1" applyFill="1" applyBorder="1"/>
    <xf numFmtId="0" fontId="152" fillId="61" borderId="99" xfId="0" applyFont="1" applyFill="1" applyBorder="1"/>
    <xf numFmtId="0" fontId="153" fillId="63" borderId="0" xfId="0" applyFont="1" applyFill="1" applyAlignment="1">
      <alignment horizontal="left" vertical="center"/>
    </xf>
    <xf numFmtId="0" fontId="164" fillId="64" borderId="84" xfId="0" applyFont="1" applyFill="1" applyBorder="1" applyAlignment="1">
      <alignment horizontal="left" vertical="center"/>
    </xf>
    <xf numFmtId="0" fontId="152" fillId="61" borderId="110" xfId="0" applyFont="1" applyFill="1" applyBorder="1"/>
    <xf numFmtId="0" fontId="155" fillId="64" borderId="0" xfId="0" applyFont="1" applyFill="1" applyAlignment="1">
      <alignment horizontal="center" vertical="center"/>
    </xf>
    <xf numFmtId="0" fontId="156" fillId="63" borderId="0" xfId="0" applyFont="1" applyFill="1" applyAlignment="1">
      <alignment horizontal="left" vertical="center"/>
    </xf>
    <xf numFmtId="0" fontId="152" fillId="64" borderId="95" xfId="0" applyFont="1" applyFill="1" applyBorder="1"/>
    <xf numFmtId="0" fontId="152" fillId="61" borderId="101" xfId="0" applyFont="1" applyFill="1" applyBorder="1"/>
    <xf numFmtId="0" fontId="157" fillId="66" borderId="85" xfId="0" applyFont="1" applyFill="1" applyBorder="1" applyAlignment="1">
      <alignment horizontal="center" vertical="center"/>
    </xf>
    <xf numFmtId="0" fontId="152" fillId="61" borderId="104" xfId="0" applyFont="1" applyFill="1" applyBorder="1"/>
    <xf numFmtId="0" fontId="157" fillId="70" borderId="89" xfId="0" applyFont="1" applyFill="1" applyBorder="1" applyAlignment="1">
      <alignment horizontal="center" vertical="center"/>
    </xf>
    <xf numFmtId="0" fontId="152" fillId="61" borderId="108" xfId="0" applyFont="1" applyFill="1" applyBorder="1"/>
    <xf numFmtId="0" fontId="157" fillId="65" borderId="83" xfId="0" applyFont="1" applyFill="1" applyBorder="1" applyAlignment="1">
      <alignment horizontal="center" vertical="center"/>
    </xf>
    <xf numFmtId="0" fontId="152" fillId="61" borderId="103" xfId="0" applyFont="1" applyFill="1" applyBorder="1"/>
    <xf numFmtId="0" fontId="152" fillId="64" borderId="96" xfId="0" applyFont="1" applyFill="1" applyBorder="1"/>
    <xf numFmtId="0" fontId="152" fillId="61" borderId="102" xfId="0" applyFont="1" applyFill="1" applyBorder="1"/>
    <xf numFmtId="0" fontId="152" fillId="64" borderId="90" xfId="0" applyFont="1" applyFill="1" applyBorder="1"/>
    <xf numFmtId="0" fontId="152" fillId="61" borderId="97" xfId="0" applyFont="1" applyFill="1" applyBorder="1"/>
    <xf numFmtId="0" fontId="160" fillId="62" borderId="0" xfId="0" applyFont="1" applyFill="1"/>
    <xf numFmtId="167" fontId="166" fillId="64" borderId="84" xfId="0" applyNumberFormat="1" applyFont="1" applyFill="1" applyBorder="1" applyAlignment="1">
      <alignment horizontal="center" vertical="center"/>
    </xf>
    <xf numFmtId="0" fontId="152" fillId="61" borderId="112" xfId="0" applyFont="1" applyFill="1" applyBorder="1"/>
    <xf numFmtId="0" fontId="152" fillId="61" borderId="113" xfId="0" applyFont="1" applyFill="1" applyBorder="1"/>
    <xf numFmtId="0" fontId="152" fillId="61" borderId="114" xfId="0" applyFont="1" applyFill="1" applyBorder="1"/>
    <xf numFmtId="0" fontId="152" fillId="61" borderId="115" xfId="0" applyFont="1" applyFill="1" applyBorder="1"/>
    <xf numFmtId="0" fontId="152" fillId="61" borderId="116" xfId="0" applyFont="1" applyFill="1" applyBorder="1"/>
    <xf numFmtId="0" fontId="152" fillId="61" borderId="117" xfId="0" applyFont="1" applyFill="1" applyBorder="1"/>
    <xf numFmtId="0" fontId="152" fillId="61" borderId="118" xfId="0" applyFont="1" applyFill="1" applyBorder="1"/>
    <xf numFmtId="0" fontId="152" fillId="64" borderId="94" xfId="0" applyFont="1" applyFill="1" applyBorder="1"/>
    <xf numFmtId="0" fontId="152" fillId="61" borderId="100" xfId="0" applyFont="1" applyFill="1" applyBorder="1"/>
    <xf numFmtId="0" fontId="167" fillId="64" borderId="84" xfId="0" applyFont="1" applyFill="1" applyBorder="1" applyAlignment="1">
      <alignment horizontal="center" vertical="center"/>
    </xf>
    <xf numFmtId="0" fontId="152" fillId="64" borderId="92" xfId="0" applyFont="1" applyFill="1" applyBorder="1"/>
    <xf numFmtId="0" fontId="152" fillId="61" borderId="98" xfId="0" applyFont="1" applyFill="1" applyBorder="1"/>
    <xf numFmtId="0" fontId="157" fillId="67" borderId="86" xfId="0" applyFont="1" applyFill="1" applyBorder="1" applyAlignment="1">
      <alignment horizontal="center" vertical="center"/>
    </xf>
    <xf numFmtId="0" fontId="152" fillId="61" borderId="105" xfId="0" applyFont="1" applyFill="1" applyBorder="1"/>
    <xf numFmtId="164" fontId="22" fillId="10" borderId="14" xfId="0" applyNumberFormat="1" applyFont="1" applyFill="1" applyBorder="1" applyAlignment="1">
      <alignment horizontal="left" vertical="center"/>
    </xf>
    <xf numFmtId="164" fontId="23" fillId="13" borderId="15" xfId="0" applyNumberFormat="1" applyFont="1" applyFill="1" applyBorder="1" applyAlignment="1">
      <alignment horizontal="left" vertical="center"/>
    </xf>
    <xf numFmtId="0" fontId="129" fillId="0" borderId="0" xfId="0" applyFont="1" applyAlignment="1">
      <alignment horizontal="left" vertical="center"/>
    </xf>
    <xf numFmtId="0" fontId="36" fillId="21" borderId="0" xfId="0" applyFont="1" applyFill="1" applyAlignment="1">
      <alignment horizontal="center" vertical="center"/>
    </xf>
    <xf numFmtId="0" fontId="27" fillId="16" borderId="0" xfId="0" applyFont="1" applyFill="1" applyAlignment="1">
      <alignment horizontal="left" vertical="center"/>
    </xf>
    <xf numFmtId="0" fontId="126" fillId="0" borderId="0" xfId="0" applyFont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right" vertical="center"/>
    </xf>
    <xf numFmtId="0" fontId="25" fillId="3" borderId="0" xfId="0" applyFont="1" applyFill="1" applyAlignment="1">
      <alignment horizontal="center" vertical="center"/>
    </xf>
    <xf numFmtId="0" fontId="13" fillId="10" borderId="9" xfId="0" applyFont="1" applyFill="1" applyBorder="1" applyAlignment="1">
      <alignment horizontal="left" vertical="center"/>
    </xf>
    <xf numFmtId="0" fontId="14" fillId="13" borderId="10" xfId="0" applyFont="1" applyFill="1" applyBorder="1" applyAlignment="1">
      <alignment horizontal="left" vertical="center"/>
    </xf>
    <xf numFmtId="0" fontId="27" fillId="16" borderId="21" xfId="0" applyFont="1" applyFill="1" applyBorder="1" applyAlignment="1">
      <alignment horizontal="center" vertical="center"/>
    </xf>
    <xf numFmtId="0" fontId="27" fillId="16" borderId="28" xfId="0" applyFont="1" applyFill="1" applyBorder="1" applyAlignment="1">
      <alignment horizontal="center" vertical="center"/>
    </xf>
    <xf numFmtId="0" fontId="12" fillId="3" borderId="79" xfId="0" applyFont="1" applyFill="1" applyBorder="1" applyAlignment="1">
      <alignment horizontal="left" vertical="center"/>
    </xf>
    <xf numFmtId="0" fontId="15" fillId="12" borderId="11" xfId="0" applyFont="1" applyFill="1" applyBorder="1" applyAlignment="1">
      <alignment horizontal="left" vertical="center"/>
    </xf>
    <xf numFmtId="164" fontId="24" fillId="12" borderId="16" xfId="0" applyNumberFormat="1" applyFont="1" applyFill="1" applyBorder="1" applyAlignment="1">
      <alignment horizontal="left" vertical="center"/>
    </xf>
    <xf numFmtId="0" fontId="53" fillId="23" borderId="0" xfId="0" applyFont="1" applyFill="1" applyAlignment="1">
      <alignment horizontal="left" vertical="center"/>
    </xf>
    <xf numFmtId="0" fontId="27" fillId="4" borderId="0" xfId="0" applyFont="1" applyFill="1" applyAlignment="1">
      <alignment horizontal="left" vertical="center"/>
    </xf>
    <xf numFmtId="0" fontId="56" fillId="25" borderId="33" xfId="0" applyFont="1" applyFill="1" applyBorder="1" applyAlignment="1">
      <alignment horizontal="center" vertical="center"/>
    </xf>
    <xf numFmtId="0" fontId="56" fillId="25" borderId="70" xfId="0" applyFont="1" applyFill="1" applyBorder="1" applyAlignment="1">
      <alignment horizontal="center" vertical="center"/>
    </xf>
    <xf numFmtId="0" fontId="36" fillId="16" borderId="0" xfId="0" applyFont="1" applyFill="1" applyAlignment="1">
      <alignment horizontal="left" vertical="center"/>
    </xf>
    <xf numFmtId="0" fontId="58" fillId="0" borderId="0" xfId="0" applyFont="1" applyAlignment="1">
      <alignment horizontal="left" vertical="center"/>
    </xf>
    <xf numFmtId="0" fontId="48" fillId="0" borderId="0" xfId="0" applyFont="1"/>
    <xf numFmtId="0" fontId="42" fillId="17" borderId="21" xfId="0" applyFont="1" applyFill="1" applyBorder="1" applyAlignment="1">
      <alignment horizontal="center" vertical="center"/>
    </xf>
    <xf numFmtId="0" fontId="42" fillId="17" borderId="33" xfId="0" applyFont="1" applyFill="1" applyBorder="1" applyAlignment="1">
      <alignment horizontal="center" vertical="center"/>
    </xf>
    <xf numFmtId="0" fontId="48" fillId="17" borderId="18" xfId="0" applyFont="1" applyFill="1" applyBorder="1" applyAlignment="1">
      <alignment horizontal="left" vertical="center"/>
    </xf>
    <xf numFmtId="0" fontId="118" fillId="0" borderId="40" xfId="0" applyFont="1" applyBorder="1" applyAlignment="1">
      <alignment horizontal="center" wrapText="1"/>
    </xf>
    <xf numFmtId="0" fontId="118" fillId="0" borderId="41" xfId="0" applyFont="1" applyBorder="1" applyAlignment="1">
      <alignment horizontal="center" wrapText="1"/>
    </xf>
    <xf numFmtId="0" fontId="118" fillId="0" borderId="42" xfId="0" applyFont="1" applyBorder="1" applyAlignment="1">
      <alignment horizontal="center" wrapText="1"/>
    </xf>
    <xf numFmtId="0" fontId="118" fillId="0" borderId="35" xfId="0" applyFont="1" applyBorder="1" applyAlignment="1">
      <alignment horizontal="center" wrapText="1"/>
    </xf>
    <xf numFmtId="0" fontId="118" fillId="0" borderId="36" xfId="0" applyFont="1" applyBorder="1" applyAlignment="1">
      <alignment horizontal="center" wrapText="1"/>
    </xf>
    <xf numFmtId="0" fontId="118" fillId="0" borderId="37" xfId="0" applyFont="1" applyBorder="1" applyAlignment="1">
      <alignment horizontal="center" wrapText="1"/>
    </xf>
    <xf numFmtId="0" fontId="81" fillId="33" borderId="50" xfId="0" applyFont="1" applyFill="1" applyBorder="1" applyAlignment="1">
      <alignment horizontal="center" wrapText="1"/>
    </xf>
    <xf numFmtId="0" fontId="81" fillId="33" borderId="51" xfId="0" applyFont="1" applyFill="1" applyBorder="1" applyAlignment="1">
      <alignment horizontal="center" wrapText="1"/>
    </xf>
    <xf numFmtId="0" fontId="81" fillId="33" borderId="56" xfId="0" applyFont="1" applyFill="1" applyBorder="1" applyAlignment="1">
      <alignment horizontal="center" wrapText="1"/>
    </xf>
    <xf numFmtId="0" fontId="103" fillId="45" borderId="0" xfId="0" applyFont="1" applyFill="1" applyAlignment="1">
      <alignment horizontal="center"/>
    </xf>
    <xf numFmtId="0" fontId="111" fillId="34" borderId="63" xfId="0" applyFont="1" applyFill="1" applyBorder="1" applyAlignment="1">
      <alignment horizontal="left" vertical="top"/>
    </xf>
    <xf numFmtId="0" fontId="114" fillId="34" borderId="64" xfId="0" applyFont="1" applyFill="1" applyBorder="1" applyAlignment="1">
      <alignment horizontal="left"/>
    </xf>
    <xf numFmtId="0" fontId="114" fillId="34" borderId="65" xfId="0" applyFont="1" applyFill="1" applyBorder="1" applyAlignment="1">
      <alignment horizontal="left"/>
    </xf>
  </cellXfs>
  <cellStyles count="13">
    <cellStyle name="Comma 2" xfId="8" xr:uid="{18758BAA-F7A0-4536-901E-A2E66A6DA299}"/>
    <cellStyle name="Hyperlink 2" xfId="2" xr:uid="{B695FB52-D9DE-4CBA-9ABF-1024F172BADA}"/>
    <cellStyle name="Normal" xfId="0" builtinId="0"/>
    <cellStyle name="Normal 2" xfId="3" xr:uid="{55DC04AB-03EC-424C-8844-2F6F803A508A}"/>
    <cellStyle name="Normal 2 2" xfId="7" xr:uid="{48BAB5DB-286D-4AEC-8A57-CEE9FE7752A2}"/>
    <cellStyle name="Normal 3" xfId="4" xr:uid="{D9E702A3-2EF3-4341-8EAB-0B774A8F8BBE}"/>
    <cellStyle name="Normal 3 2" xfId="5" xr:uid="{18AC9235-E4BB-4A97-96DB-65F5E5EF0C56}"/>
    <cellStyle name="Normal 4" xfId="6" xr:uid="{B2F66CA9-47AB-4743-8E30-AE493427C305}"/>
    <cellStyle name="Normal 5" xfId="9" xr:uid="{7960F495-BF3F-47F4-B79C-46FA16151C88}"/>
    <cellStyle name="Normal 5 2" xfId="11" xr:uid="{5D4403AC-6AC9-408A-891E-E4F9A7BBF44B}"/>
    <cellStyle name="Normal 6" xfId="10" xr:uid="{2437949A-470C-4F53-8994-3BA65216166F}"/>
    <cellStyle name="Normal 7" xfId="1" xr:uid="{02D9A641-0F3B-45DA-9716-A6602C8F6B72}"/>
    <cellStyle name="Per cent" xfId="12" builtinId="5"/>
  </cellStyles>
  <dxfs count="2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5" formatCode="[$₹]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5" formatCode="[$₹]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5" formatCode="[$₹]#,##0.00"/>
      <fill>
        <patternFill patternType="solid">
          <fgColor rgb="FFF4C7C3"/>
          <bgColor rgb="FFF4C7C3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5" formatCode="[$₹]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d&quot;-&quot;mmm&quot;-&quot;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rgb="FFA4C2F4"/>
          <bgColor rgb="FFA4C2F4"/>
        </patternFill>
      </fill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94A3B8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d&quot;-&quot;mmm&quot;-&quot;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9CA3A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10"/>
        <color rgb="FF991B1B"/>
        <name val="Arial"/>
        <charset val="1"/>
      </font>
      <fill>
        <patternFill>
          <bgColor rgb="FFFEE2E2"/>
        </patternFill>
      </fill>
    </dxf>
    <dxf>
      <font>
        <sz val="10"/>
        <color rgb="FF065F46"/>
        <name val="Arial"/>
        <charset val="1"/>
      </font>
      <fill>
        <patternFill>
          <bgColor rgb="FFD1FAE5"/>
        </patternFill>
      </fill>
    </dxf>
    <dxf>
      <font>
        <sz val="10"/>
        <color rgb="FF991B1B"/>
        <name val="Arial"/>
        <charset val="1"/>
      </font>
      <fill>
        <patternFill>
          <bgColor rgb="FFFEE2E2"/>
        </patternFill>
      </fill>
    </dxf>
    <dxf>
      <font>
        <sz val="10"/>
        <color rgb="FF065F46"/>
        <name val="Arial"/>
        <charset val="1"/>
      </font>
      <fill>
        <patternFill>
          <bgColor rgb="FFD1FA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4155"/>
        <name val="Arial"/>
        <family val="2"/>
        <charset val="1"/>
        <scheme val="none"/>
      </font>
      <fill>
        <patternFill patternType="solid">
          <fgColor rgb="FFF8F9FC"/>
          <bgColor rgb="FFF8FAF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CBD5E1"/>
        </left>
        <right/>
        <top style="thin">
          <color rgb="FFCBD5E1"/>
        </top>
        <bottom style="thin">
          <color rgb="FFCBD5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4155"/>
        <name val="Arial"/>
        <family val="2"/>
        <charset val="1"/>
        <scheme val="none"/>
      </font>
      <fill>
        <patternFill patternType="solid">
          <fgColor rgb="FFF8F9FC"/>
          <bgColor rgb="FFF8FAFC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4155"/>
        <name val="Arial"/>
        <family val="2"/>
        <charset val="1"/>
        <scheme val="none"/>
      </font>
      <fill>
        <patternFill patternType="solid">
          <fgColor rgb="FFF8F9FC"/>
          <bgColor rgb="FFF8FAFC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4155"/>
        <name val="Arial"/>
        <family val="2"/>
        <charset val="1"/>
        <scheme val="none"/>
      </font>
      <numFmt numFmtId="166" formatCode="\₹#,##0;&quot;(₹&quot;#,##0\);\-"/>
      <fill>
        <patternFill patternType="solid">
          <fgColor rgb="FFF8F9FC"/>
          <bgColor rgb="FFF8FAFC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4155"/>
        <name val="Arial"/>
        <family val="2"/>
        <charset val="1"/>
        <scheme val="none"/>
      </font>
      <fill>
        <patternFill patternType="solid">
          <fgColor rgb="FFF8F9FC"/>
          <bgColor rgb="FFF8FAFC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4155"/>
        <name val="Arial"/>
        <family val="2"/>
        <charset val="1"/>
        <scheme val="none"/>
      </font>
      <fill>
        <patternFill patternType="solid">
          <fgColor rgb="FFF8F9FC"/>
          <bgColor rgb="FFF8FAFC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4155"/>
        <name val="Arial"/>
        <family val="2"/>
        <charset val="1"/>
        <scheme val="none"/>
      </font>
      <fill>
        <patternFill patternType="solid">
          <fgColor rgb="FFF8F9FC"/>
          <bgColor rgb="FFF8FAFC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4155"/>
        <name val="Arial"/>
        <family val="2"/>
        <charset val="1"/>
        <scheme val="none"/>
      </font>
      <numFmt numFmtId="20" formatCode="dd\-mmm\-yy"/>
      <fill>
        <patternFill patternType="solid">
          <fgColor rgb="FFF8F9FC"/>
          <bgColor rgb="FFF8FAFC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rgb="FFCBD5E1"/>
        </right>
        <top style="thin">
          <color rgb="FFCBD5E1"/>
        </top>
        <bottom style="thin">
          <color rgb="FFCBD5E1"/>
        </bottom>
        <vertical/>
        <horizontal/>
      </border>
    </dxf>
    <dxf>
      <border outline="0">
        <top style="thin">
          <color rgb="FFCBD5E1"/>
        </top>
      </border>
    </dxf>
    <dxf>
      <border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border outline="0">
        <bottom style="thin">
          <color rgb="FFCBD5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Arial"/>
        <family val="2"/>
        <charset val="1"/>
        <scheme val="none"/>
      </font>
      <fill>
        <patternFill patternType="solid">
          <fgColor rgb="FF374151"/>
          <bgColor rgb="FF33415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4155"/>
        <name val="Arial"/>
        <family val="2"/>
        <charset val="1"/>
        <scheme val="none"/>
      </font>
      <numFmt numFmtId="30" formatCode="@"/>
      <fill>
        <patternFill patternType="solid">
          <fgColor rgb="FFF8FAF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CBD5E1"/>
        </left>
        <right/>
        <top style="thin">
          <color rgb="FFCBD5E1"/>
        </top>
        <bottom style="thin">
          <color rgb="FFCBD5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4155"/>
        <name val="Arial"/>
        <family val="2"/>
        <charset val="1"/>
        <scheme val="none"/>
      </font>
      <numFmt numFmtId="30" formatCode="@"/>
      <fill>
        <patternFill patternType="solid">
          <fgColor rgb="FFF8FAFC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4155"/>
        <name val="Arial"/>
        <family val="2"/>
        <charset val="1"/>
        <scheme val="none"/>
      </font>
      <numFmt numFmtId="30" formatCode="@"/>
      <fill>
        <patternFill patternType="solid">
          <fgColor rgb="FFF8FAF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4155"/>
        <name val="Arial"/>
        <family val="2"/>
        <charset val="1"/>
        <scheme val="none"/>
      </font>
      <numFmt numFmtId="166" formatCode="\₹#,##0;&quot;(₹&quot;#,##0\);\-"/>
      <fill>
        <patternFill patternType="solid">
          <fgColor rgb="FFF8FAFC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4155"/>
        <name val="Arial"/>
        <family val="2"/>
        <charset val="1"/>
        <scheme val="none"/>
      </font>
      <numFmt numFmtId="30" formatCode="@"/>
      <fill>
        <patternFill patternType="solid">
          <fgColor rgb="FFF8FAF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4155"/>
        <name val="Arial"/>
        <family val="2"/>
        <charset val="1"/>
        <scheme val="none"/>
      </font>
      <numFmt numFmtId="30" formatCode="@"/>
      <fill>
        <patternFill patternType="solid">
          <fgColor rgb="FFF8FAF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4155"/>
        <name val="Arial"/>
        <family val="2"/>
        <charset val="1"/>
        <scheme val="none"/>
      </font>
      <numFmt numFmtId="30" formatCode="@"/>
      <fill>
        <patternFill patternType="solid">
          <fgColor rgb="FFF8FAFC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4155"/>
        <name val="Arial"/>
        <family val="2"/>
        <charset val="1"/>
        <scheme val="none"/>
      </font>
      <numFmt numFmtId="20" formatCode="dd\-mmm\-yy"/>
      <fill>
        <patternFill patternType="solid">
          <fgColor rgb="FFF8FAFC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rgb="FFCBD5E1"/>
        </right>
        <top style="thin">
          <color rgb="FFCBD5E1"/>
        </top>
        <bottom style="thin">
          <color rgb="FFCBD5E1"/>
        </bottom>
        <vertical/>
        <horizontal/>
      </border>
    </dxf>
    <dxf>
      <border outline="0">
        <top style="thin">
          <color rgb="FFCBD5E1"/>
        </top>
      </border>
    </dxf>
    <dxf>
      <border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border outline="0">
        <bottom style="thin">
          <color rgb="FFCBD5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Arial"/>
        <family val="2"/>
        <charset val="1"/>
        <scheme val="none"/>
      </font>
      <fill>
        <patternFill patternType="solid">
          <fgColor rgb="FF374151"/>
          <bgColor rgb="FF33415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/>
        <bottom/>
      </border>
    </dxf>
    <dxf>
      <font>
        <sz val="9"/>
        <color rgb="FF991B1B"/>
        <name val="Arial"/>
        <charset val="1"/>
      </font>
      <fill>
        <patternFill>
          <bgColor rgb="FFFFF5F5"/>
        </patternFill>
      </fill>
    </dxf>
    <dxf>
      <font>
        <b/>
        <sz val="9"/>
        <color rgb="FF065F46"/>
        <name val="Arial"/>
        <charset val="1"/>
      </font>
      <fill>
        <patternFill>
          <bgColor rgb="FFF0FFF4"/>
        </patternFill>
      </fill>
    </dxf>
    <dxf>
      <font>
        <sz val="9"/>
        <color rgb="FF991B1B"/>
        <name val="Arial"/>
        <charset val="1"/>
      </font>
      <fill>
        <patternFill>
          <bgColor rgb="FFFFF5F5"/>
        </patternFill>
      </fill>
    </dxf>
    <dxf>
      <font>
        <b/>
        <sz val="9"/>
        <color rgb="FF065F46"/>
        <name val="Arial"/>
        <charset val="1"/>
      </font>
      <fill>
        <patternFill>
          <bgColor rgb="FFF0FFF4"/>
        </patternFill>
      </fill>
    </dxf>
    <dxf>
      <font>
        <sz val="9"/>
        <color rgb="FF991B1B"/>
        <name val="Arial"/>
        <charset val="1"/>
      </font>
      <fill>
        <patternFill>
          <bgColor rgb="FFFFF5F5"/>
        </patternFill>
      </fill>
    </dxf>
    <dxf>
      <font>
        <b/>
        <sz val="9"/>
        <color rgb="FF065F46"/>
        <name val="Arial"/>
        <charset val="1"/>
      </font>
      <fill>
        <patternFill>
          <bgColor rgb="FFF0FFF4"/>
        </patternFill>
      </fill>
    </dxf>
    <dxf>
      <font>
        <sz val="9"/>
        <color rgb="FF991B1B"/>
        <name val="Arial"/>
        <charset val="1"/>
      </font>
      <fill>
        <patternFill>
          <bgColor rgb="FFFFF5F5"/>
        </patternFill>
      </fill>
    </dxf>
    <dxf>
      <font>
        <b/>
        <sz val="9"/>
        <color rgb="FF065F46"/>
        <name val="Arial"/>
        <charset val="1"/>
      </font>
      <fill>
        <patternFill>
          <bgColor rgb="FFF0FFF4"/>
        </patternFill>
      </fill>
    </dxf>
    <dxf>
      <font>
        <b/>
        <sz val="9"/>
        <color rgb="FFE02424"/>
      </font>
    </dxf>
    <dxf>
      <font>
        <b/>
        <sz val="9"/>
        <color rgb="FF0E9F6E"/>
      </font>
    </dxf>
    <dxf>
      <font>
        <b/>
        <sz val="9"/>
        <color rgb="FFE02424"/>
      </font>
    </dxf>
    <dxf>
      <font>
        <b/>
        <sz val="9"/>
        <color rgb="FF0E9F6E"/>
      </font>
    </dxf>
    <dxf>
      <font>
        <b/>
        <sz val="9"/>
        <color rgb="FFE02424"/>
      </font>
    </dxf>
    <dxf>
      <font>
        <b/>
        <sz val="9"/>
        <color rgb="FF0E9F6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94A3B8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7415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7415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7415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5966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9CA3A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d&quot;-&quot;mmm&quot;-&quot;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right style="thin">
          <color theme="8"/>
        </right>
        <top style="thin">
          <color theme="8"/>
        </top>
      </border>
    </dxf>
    <dxf>
      <font>
        <b val="0"/>
        <strike val="0"/>
        <outline val="0"/>
        <shadow val="0"/>
        <u val="none"/>
        <vertAlign val="baseline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9CA3A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8"/>
        </left>
        <right style="thin">
          <color theme="8"/>
        </right>
        <top/>
        <bottom/>
      </border>
    </dxf>
    <dxf>
      <font>
        <sz val="10"/>
        <color rgb="FF991B1B"/>
        <name val="Arial"/>
        <charset val="1"/>
      </font>
      <fill>
        <patternFill>
          <bgColor rgb="FFFEE2E2"/>
        </patternFill>
      </fill>
    </dxf>
    <dxf>
      <font>
        <sz val="10"/>
        <color rgb="FF065F46"/>
        <name val="Arial"/>
        <charset val="1"/>
      </font>
      <fill>
        <patternFill>
          <bgColor rgb="FFD1FAE5"/>
        </patternFill>
      </fill>
    </dxf>
    <dxf>
      <font>
        <sz val="10"/>
        <color rgb="FF991B1B"/>
        <name val="Arial"/>
        <charset val="1"/>
      </font>
      <fill>
        <patternFill>
          <bgColor rgb="FFFEE2E2"/>
        </patternFill>
      </fill>
    </dxf>
    <dxf>
      <font>
        <sz val="10"/>
        <color rgb="FF065F46"/>
        <name val="Arial"/>
        <charset val="1"/>
      </font>
      <fill>
        <patternFill>
          <bgColor rgb="FFD1FAE5"/>
        </patternFill>
      </fill>
    </dxf>
    <dxf>
      <font>
        <sz val="10"/>
        <color rgb="FF991B1B"/>
        <name val="Arial"/>
        <charset val="1"/>
      </font>
      <fill>
        <patternFill>
          <bgColor rgb="FFFEE2E2"/>
        </patternFill>
      </fill>
    </dxf>
    <dxf>
      <font>
        <sz val="10"/>
        <color rgb="FF065F46"/>
        <name val="Arial"/>
        <charset val="1"/>
      </font>
      <fill>
        <patternFill>
          <bgColor rgb="FFD1FAE5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29" defaultTableStyle="TableStyleMedium2" defaultPivotStyle="PivotStyleLight16">
    <tableStyle name="Refer-style" pivot="0" count="4" xr9:uid="{6C841F1B-EDEC-496C-92A1-ED5099305430}">
      <tableStyleElement type="wholeTable" size="0" dxfId="211"/>
      <tableStyleElement type="headerRow" dxfId="210"/>
      <tableStyleElement type="firstRowStripe" dxfId="209"/>
      <tableStyleElement type="secondRowStripe" dxfId="208"/>
    </tableStyle>
    <tableStyle name="Refer-style 2" pivot="0" count="4" xr9:uid="{88B4FB64-C67B-41A3-A1CD-4265C386C2E0}">
      <tableStyleElement type="wholeTable" size="0" dxfId="207"/>
      <tableStyleElement type="headerRow" dxfId="206"/>
      <tableStyleElement type="firstRowStripe" dxfId="205"/>
      <tableStyleElement type="secondRowStripe" dxfId="204"/>
    </tableStyle>
    <tableStyle name="Refer-style 3" pivot="0" count="4" xr9:uid="{A16EB7B4-0D06-40B3-A0B9-9499990FBD93}">
      <tableStyleElement type="wholeTable" size="0" dxfId="203"/>
      <tableStyleElement type="headerRow" dxfId="202"/>
      <tableStyleElement type="firstRowStripe" dxfId="201"/>
      <tableStyleElement type="secondRowStripe" dxfId="200"/>
    </tableStyle>
    <tableStyle name="Refer-style 4" pivot="0" count="4" xr9:uid="{5A2B9D0D-D2E7-405A-B485-63DAA36FE57F}">
      <tableStyleElement type="wholeTable" size="0" dxfId="199"/>
      <tableStyleElement type="headerRow" dxfId="198"/>
      <tableStyleElement type="firstRowStripe" dxfId="197"/>
      <tableStyleElement type="secondRowStripe" dxfId="196"/>
    </tableStyle>
    <tableStyle name="Refer-style 5" pivot="0" count="4" xr9:uid="{53CD5194-E6F6-467D-882C-486D81571EBD}">
      <tableStyleElement type="wholeTable" size="0" dxfId="195"/>
      <tableStyleElement type="headerRow" dxfId="194"/>
      <tableStyleElement type="firstRowStripe" dxfId="193"/>
      <tableStyleElement type="secondRowStripe" dxfId="192"/>
    </tableStyle>
    <tableStyle name="Refer-style 6" pivot="0" count="4" xr9:uid="{A1260A39-D007-423B-B4B1-BE820CFAE6DB}">
      <tableStyleElement type="wholeTable" size="0" dxfId="191"/>
      <tableStyleElement type="headerRow" dxfId="190"/>
      <tableStyleElement type="firstRowStripe" dxfId="189"/>
      <tableStyleElement type="secondRowStripe" dxfId="188"/>
    </tableStyle>
    <tableStyle name="Refer-style 7" pivot="0" count="4" xr9:uid="{C349DB01-DF4B-4A60-8C62-1A49F4F241EC}">
      <tableStyleElement type="wholeTable" size="0" dxfId="187"/>
      <tableStyleElement type="headerRow" dxfId="186"/>
      <tableStyleElement type="firstRowStripe" dxfId="185"/>
      <tableStyleElement type="secondRowStripe" dxfId="184"/>
    </tableStyle>
    <tableStyle name="Refer-style 8" pivot="0" count="4" xr9:uid="{FA804805-D51E-409E-8462-AF0F1245D0D4}">
      <tableStyleElement type="wholeTable" size="0" dxfId="183"/>
      <tableStyleElement type="headerRow" dxfId="182"/>
      <tableStyleElement type="firstRowStripe" dxfId="181"/>
      <tableStyleElement type="secondRowStripe" dxfId="180"/>
    </tableStyle>
    <tableStyle name="Refer-style 9" pivot="0" count="4" xr9:uid="{6A3977DD-A5F7-48E8-995E-E583E8DEE2D1}">
      <tableStyleElement type="wholeTable" size="0" dxfId="179"/>
      <tableStyleElement type="headerRow" dxfId="178"/>
      <tableStyleElement type="firstRowStripe" dxfId="177"/>
      <tableStyleElement type="secondRowStripe" dxfId="176"/>
    </tableStyle>
    <tableStyle name="Refer-style 10" pivot="0" count="4" xr9:uid="{B4B965DF-389D-4402-A596-482676CEF5FD}">
      <tableStyleElement type="wholeTable" size="0" dxfId="175"/>
      <tableStyleElement type="headerRow" dxfId="174"/>
      <tableStyleElement type="firstRowStripe" dxfId="173"/>
      <tableStyleElement type="secondRowStripe" dxfId="172"/>
    </tableStyle>
    <tableStyle name="Refer-style 11" pivot="0" count="4" xr9:uid="{9065C9A1-7701-49B2-96E2-B55848740759}">
      <tableStyleElement type="wholeTable" size="0" dxfId="171"/>
      <tableStyleElement type="headerRow" dxfId="170"/>
      <tableStyleElement type="firstRowStripe" dxfId="169"/>
      <tableStyleElement type="secondRowStripe" dxfId="168"/>
    </tableStyle>
    <tableStyle name="Refer-style 12" pivot="0" count="4" xr9:uid="{8E5A4CBD-EAD3-4ACA-9CEE-05EDE81AEACC}">
      <tableStyleElement type="wholeTable" size="0" dxfId="167"/>
      <tableStyleElement type="headerRow" dxfId="166"/>
      <tableStyleElement type="firstRowStripe" dxfId="165"/>
      <tableStyleElement type="secondRowStripe" dxfId="164"/>
    </tableStyle>
    <tableStyle name="Refer-style 13" pivot="0" count="4" xr9:uid="{12494251-723C-4BA6-8F1C-931AE8AE8BD5}">
      <tableStyleElement type="wholeTable" size="0" dxfId="163"/>
      <tableStyleElement type="headerRow" dxfId="162"/>
      <tableStyleElement type="firstRowStripe" dxfId="161"/>
      <tableStyleElement type="secondRowStripe" dxfId="160"/>
    </tableStyle>
    <tableStyle name="Refer-style 14" pivot="0" count="4" xr9:uid="{EB43D60D-9264-4A47-80BB-BF6AE07D368E}">
      <tableStyleElement type="wholeTable" size="0" dxfId="159"/>
      <tableStyleElement type="headerRow" dxfId="158"/>
      <tableStyleElement type="firstRowStripe" dxfId="157"/>
      <tableStyleElement type="secondRowStripe" dxfId="156"/>
    </tableStyle>
    <tableStyle name="Refer-style 15" pivot="0" count="4" xr9:uid="{FDDD74AA-C2AD-4AC6-80C3-2508253C8D36}">
      <tableStyleElement type="wholeTable" size="0" dxfId="155"/>
      <tableStyleElement type="headerRow" dxfId="154"/>
      <tableStyleElement type="firstRowStripe" dxfId="153"/>
      <tableStyleElement type="secondRowStripe" dxfId="152"/>
    </tableStyle>
    <tableStyle name="Refer-style 16" pivot="0" count="4" xr9:uid="{CC5B2151-962C-4FF5-BE2B-FCC29477A08F}">
      <tableStyleElement type="wholeTable" size="0" dxfId="151"/>
      <tableStyleElement type="headerRow" dxfId="150"/>
      <tableStyleElement type="firstRowStripe" dxfId="149"/>
      <tableStyleElement type="secondRowStripe" dxfId="148"/>
    </tableStyle>
    <tableStyle name="Refer-style 17" pivot="0" count="4" xr9:uid="{955E1265-A058-4F63-AD3F-9657976AE46A}">
      <tableStyleElement type="wholeTable" size="0" dxfId="147"/>
      <tableStyleElement type="headerRow" dxfId="146"/>
      <tableStyleElement type="firstRowStripe" dxfId="145"/>
      <tableStyleElement type="secondRowStripe" dxfId="144"/>
    </tableStyle>
    <tableStyle name="Refer-style 18" pivot="0" count="4" xr9:uid="{E5F920F6-9814-4E62-ABEC-6029D168F398}">
      <tableStyleElement type="wholeTable" size="0" dxfId="143"/>
      <tableStyleElement type="headerRow" dxfId="142"/>
      <tableStyleElement type="firstRowStripe" dxfId="141"/>
      <tableStyleElement type="secondRowStripe" dxfId="140"/>
    </tableStyle>
    <tableStyle name="Refer-style 19" pivot="0" count="4" xr9:uid="{D03B7962-6912-47B4-A9FF-A3D7FCB76DC3}">
      <tableStyleElement type="wholeTable" size="0" dxfId="139"/>
      <tableStyleElement type="headerRow" dxfId="138"/>
      <tableStyleElement type="firstRowStripe" dxfId="137"/>
      <tableStyleElement type="secondRowStripe" dxfId="136"/>
    </tableStyle>
    <tableStyle name="Refer-style 20" pivot="0" count="2" xr9:uid="{674419F6-4611-42A5-A614-6127A7206FA3}">
      <tableStyleElement type="firstRowStripe" dxfId="135"/>
      <tableStyleElement type="secondRowStripe" dxfId="134"/>
    </tableStyle>
    <tableStyle name="Bitan Bhaiya &amp; Dheeraj-style" pivot="0" count="4" xr9:uid="{4E3ABF3F-2008-47BF-A141-1A25BD980D51}">
      <tableStyleElement type="wholeTable" size="0" dxfId="133"/>
      <tableStyleElement type="headerRow" dxfId="132"/>
      <tableStyleElement type="firstRowStripe" dxfId="131"/>
      <tableStyleElement type="secondRowStripe" dxfId="130"/>
    </tableStyle>
    <tableStyle name="Bitan Bhaiya &amp; Dheeraj-style 2" pivot="0" count="4" xr9:uid="{2D63A729-A547-4695-B238-CC21C31CEEE2}">
      <tableStyleElement type="wholeTable" size="0" dxfId="129"/>
      <tableStyleElement type="headerRow" dxfId="128"/>
      <tableStyleElement type="firstRowStripe" dxfId="127"/>
      <tableStyleElement type="secondRowStripe" dxfId="126"/>
    </tableStyle>
    <tableStyle name="Ankit-style" pivot="0" count="4" xr9:uid="{17987FD8-CFC6-4E82-A333-B71EE12C0258}">
      <tableStyleElement type="wholeTable" size="0" dxfId="125"/>
      <tableStyleElement type="headerRow" dxfId="124"/>
      <tableStyleElement type="firstRowStripe" dxfId="123"/>
      <tableStyleElement type="secondRowStripe" dxfId="122"/>
    </tableStyle>
    <tableStyle name="Ankit-style 2" pivot="0" count="4" xr9:uid="{02BAF2E5-9093-4104-82D3-7190797DDA1B}">
      <tableStyleElement type="wholeTable" size="0" dxfId="121"/>
      <tableStyleElement type="headerRow" dxfId="120"/>
      <tableStyleElement type="firstRowStripe" dxfId="119"/>
      <tableStyleElement type="secondRowStripe" dxfId="118"/>
    </tableStyle>
    <tableStyle name="Ankit-style 3" pivot="0" count="4" xr9:uid="{810FEB20-0DA5-4B7E-A410-70E6A1B93BDF}">
      <tableStyleElement type="wholeTable" size="0" dxfId="117"/>
      <tableStyleElement type="headerRow" dxfId="116"/>
      <tableStyleElement type="firstRowStripe" dxfId="115"/>
      <tableStyleElement type="secondRowStripe" dxfId="114"/>
    </tableStyle>
    <tableStyle name="Own-style" pivot="0" count="4" xr9:uid="{A39421E5-7735-477A-8C81-465EC269BBA0}">
      <tableStyleElement type="wholeTable" size="0" dxfId="113"/>
      <tableStyleElement type="headerRow" dxfId="112"/>
      <tableStyleElement type="firstRowStripe" dxfId="111"/>
      <tableStyleElement type="secondRowStripe" dxfId="110"/>
    </tableStyle>
    <tableStyle name="Own-style 2" pivot="0" count="4" xr9:uid="{E52CADDA-C807-4D82-928A-5687E4D26D19}">
      <tableStyleElement type="wholeTable" size="0" dxfId="109"/>
      <tableStyleElement type="headerRow" dxfId="108"/>
      <tableStyleElement type="firstRowStripe" dxfId="107"/>
      <tableStyleElement type="secondRowStripe" dxfId="106"/>
    </tableStyle>
    <tableStyle name="Own-style 3" pivot="0" count="2" xr9:uid="{BE8021D8-91E9-4988-8254-3AFA29E954B4}">
      <tableStyleElement type="firstRowStripe" dxfId="105"/>
      <tableStyleElement type="secondRowStripe" dxfId="104"/>
    </tableStyle>
    <tableStyle name="Own-style 4" pivot="0" count="4" xr9:uid="{826A1C34-CA9C-4415-A643-7B376E408392}">
      <tableStyleElement type="wholeTable" size="0" dxfId="103"/>
      <tableStyleElement type="headerRow" dxfId="102"/>
      <tableStyleElement type="firstRowStripe" dxfId="101"/>
      <tableStyleElement type="secondRowStripe" dxfId="100"/>
    </tableStyle>
  </tableStyles>
  <colors>
    <indexedColors>
      <rgbColor rgb="FF000000"/>
      <rgbColor rgb="FFFFFFFF"/>
      <rgbColor rgb="FFFF0000"/>
      <rgbColor rgb="FFF0FDF4"/>
      <rgbColor rgb="FF4F46E5"/>
      <rgbColor rgb="FFFFF7ED"/>
      <rgbColor rgb="FFF5F3FF"/>
      <rgbColor rgb="FFE0F2FE"/>
      <rgbColor rgb="FF991B1B"/>
      <rgbColor rgb="FF065F46"/>
      <rgbColor rgb="FF0C4A6E"/>
      <rgbColor rgb="FFF1F3F9"/>
      <rgbColor rgb="FF5B21B6"/>
      <rgbColor rgb="FF0D9488"/>
      <rgbColor rgb="FFE5E7EB"/>
      <rgbColor rgb="FF475569"/>
      <rgbColor rgb="FF94A3B8"/>
      <rgbColor rgb="FF78350F"/>
      <rgbColor rgb="FFFEF9C3"/>
      <rgbColor rgb="FFCCFBF1"/>
      <rgbColor rgb="FF334155"/>
      <rgbColor rgb="FFEE3333"/>
      <rgbColor rgb="FF1F497D"/>
      <rgbColor rgb="FFCBD5E1"/>
      <rgbColor rgb="FFF8FAFC"/>
      <rgbColor rgb="FFF1F5F9"/>
      <rgbColor rgb="FFF0FFF4"/>
      <rgbColor rgb="FFEBF3FB"/>
      <rgbColor rgb="FF7C3AED"/>
      <rgbColor rgb="FFF6F8FF"/>
      <rgbColor rgb="FF059669"/>
      <rgbColor rgb="FFF8F9FC"/>
      <rgbColor rgb="FFEFF6FF"/>
      <rgbColor rgb="FFDCFCE7"/>
      <rgbColor rgb="FFD1FAE5"/>
      <rgbColor rgb="FFFEF3C7"/>
      <rgbColor rgb="FFDAEAF6"/>
      <rgbColor rgb="FFFEE2E2"/>
      <rgbColor rgb="FFE0E7FF"/>
      <rgbColor rgb="FFFFCDD2"/>
      <rgbColor rgb="FF2667E6"/>
      <rgbColor rgb="FF0CB55F"/>
      <rgbColor rgb="FFDBEAFE"/>
      <rgbColor rgb="FFFFF5F5"/>
      <rgbColor rgb="FFEDE9FE"/>
      <rgbColor rgb="FFD97706"/>
      <rgbColor rgb="FF536177"/>
      <rgbColor rgb="FF9FA5AF"/>
      <rgbColor rgb="FF1F3864"/>
      <rgbColor rgb="FF069868"/>
      <rgbColor rgb="FF195427"/>
      <rgbColor rgb="FF1A2847"/>
      <rgbColor rgb="FF92400E"/>
      <rgbColor rgb="FFDC2626"/>
      <rgbColor rgb="FF1E40AF"/>
      <rgbColor rgb="FF374151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7C3A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'📊 Executive Dashboard'!$W$12</c:f>
              <c:strCache>
                <c:ptCount val="1"/>
                <c:pt idx="0">
                  <c:v>Expense</c:v>
                </c:pt>
              </c:strCache>
            </c:strRef>
          </c:tx>
          <c:spPr>
            <a:solidFill>
              <a:srgbClr val="E5484D"/>
            </a:solidFill>
            <a:ln>
              <a:prstDash val="solid"/>
            </a:ln>
          </c:spPr>
          <c:invertIfNegative val="1"/>
          <c:cat>
            <c:strRef>
              <c:f>'📊 Executive Dashboard'!$U$13:$U$24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'📊 Executive Dashboard'!$W$13:$W$24</c:f>
              <c:numCache>
                <c:formatCode>General</c:formatCode>
                <c:ptCount val="12"/>
                <c:pt idx="0">
                  <c:v>33853.599999999999</c:v>
                </c:pt>
                <c:pt idx="1">
                  <c:v>143053.24000000002</c:v>
                </c:pt>
                <c:pt idx="2">
                  <c:v>65611.799999999988</c:v>
                </c:pt>
                <c:pt idx="3">
                  <c:v>79968.200000000012</c:v>
                </c:pt>
                <c:pt idx="4">
                  <c:v>103426.6</c:v>
                </c:pt>
                <c:pt idx="5">
                  <c:v>34784</c:v>
                </c:pt>
                <c:pt idx="6">
                  <c:v>18992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06C-A64D-929C-680436036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0"/>
        <c:axId val="10"/>
        <c:axId val="100"/>
      </c:barChart>
      <c:lineChart>
        <c:grouping val="standard"/>
        <c:varyColors val="1"/>
        <c:ser>
          <c:idx val="1"/>
          <c:order val="1"/>
          <c:tx>
            <c:strRef>
              <c:f>'📊 Executive Dashboard'!$V$12</c:f>
              <c:strCache>
                <c:ptCount val="1"/>
                <c:pt idx="0">
                  <c:v>Income</c:v>
                </c:pt>
              </c:strCache>
            </c:strRef>
          </c:tx>
          <c:spPr>
            <a:ln w="22000">
              <a:solidFill>
                <a:srgbClr val="16A085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16A085"/>
              </a:solidFill>
              <a:ln>
                <a:solidFill>
                  <a:srgbClr val="16A085"/>
                </a:solidFill>
                <a:prstDash val="solid"/>
              </a:ln>
            </c:spPr>
          </c:marker>
          <c:val>
            <c:numRef>
              <c:f>'📊 Executive Dashboard'!$V$13:$V$24</c:f>
              <c:numCache>
                <c:formatCode>General</c:formatCode>
                <c:ptCount val="12"/>
                <c:pt idx="0">
                  <c:v>120874</c:v>
                </c:pt>
                <c:pt idx="1">
                  <c:v>50500</c:v>
                </c:pt>
                <c:pt idx="2">
                  <c:v>50500</c:v>
                </c:pt>
                <c:pt idx="3">
                  <c:v>53055</c:v>
                </c:pt>
                <c:pt idx="4">
                  <c:v>50500</c:v>
                </c:pt>
                <c:pt idx="5">
                  <c:v>50500</c:v>
                </c:pt>
                <c:pt idx="6">
                  <c:v>0</c:v>
                </c:pt>
                <c:pt idx="7">
                  <c:v>13392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6C-A64D-929C-680436036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spPr>
    <a:solidFill>
      <a:srgbClr val="FFFFFF"/>
    </a:solidFill>
    <a:ln w="9525">
      <a:solidFill>
        <a:srgbClr val="E2E8F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autoTitleDeleted val="1"/>
    <c:plotArea>
      <c:layout/>
      <c:doughnutChart>
        <c:varyColors val="1"/>
        <c:ser>
          <c:idx val="0"/>
          <c:order val="0"/>
          <c:tx>
            <c:strRef>
              <c:f>'📊 Executive Dashboard'!$Z$12</c:f>
              <c:strCache>
                <c:ptCount val="1"/>
                <c:pt idx="0">
                  <c:v>Amount</c:v>
                </c:pt>
              </c:strCache>
            </c:strRef>
          </c:tx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3B6FF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C8EF-DD4F-94AE-79C557B280B3}"/>
              </c:ext>
            </c:extLst>
          </c:dPt>
          <c:dPt>
            <c:idx val="1"/>
            <c:bubble3D val="0"/>
            <c:spPr>
              <a:solidFill>
                <a:srgbClr val="E5484D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C8EF-DD4F-94AE-79C557B280B3}"/>
              </c:ext>
            </c:extLst>
          </c:dPt>
          <c:dPt>
            <c:idx val="2"/>
            <c:bubble3D val="0"/>
            <c:spPr>
              <a:solidFill>
                <a:srgbClr val="8B5CF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C8EF-DD4F-94AE-79C557B280B3}"/>
              </c:ext>
            </c:extLst>
          </c:dPt>
          <c:dPt>
            <c:idx val="3"/>
            <c:bubble3D val="0"/>
            <c:spPr>
              <a:solidFill>
                <a:srgbClr val="16A085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C8EF-DD4F-94AE-79C557B280B3}"/>
              </c:ext>
            </c:extLst>
          </c:dPt>
          <c:dPt>
            <c:idx val="4"/>
            <c:bubble3D val="0"/>
            <c:spPr>
              <a:solidFill>
                <a:srgbClr val="F5A623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C8EF-DD4F-94AE-79C557B280B3}"/>
              </c:ext>
            </c:extLst>
          </c:dPt>
          <c:dPt>
            <c:idx val="5"/>
            <c:bubble3D val="0"/>
            <c:spPr>
              <a:solidFill>
                <a:srgbClr val="06B6D4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C8EF-DD4F-94AE-79C557B280B3}"/>
              </c:ext>
            </c:extLst>
          </c:dPt>
          <c:dPt>
            <c:idx val="6"/>
            <c:bubble3D val="0"/>
            <c:spPr>
              <a:solidFill>
                <a:srgbClr val="9CA3AF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C8EF-DD4F-94AE-79C557B280B3}"/>
              </c:ext>
            </c:extLst>
          </c:dPt>
          <c:cat>
            <c:strRef>
              <c:f>'📊 Executive Dashboard'!$Y$13:$Y$19</c:f>
              <c:strCache>
                <c:ptCount val="7"/>
                <c:pt idx="0">
                  <c:v>Nisha</c:v>
                </c:pt>
                <c:pt idx="1">
                  <c:v>Rajan</c:v>
                </c:pt>
                <c:pt idx="2">
                  <c:v>Pawan</c:v>
                </c:pt>
                <c:pt idx="3">
                  <c:v>Home</c:v>
                </c:pt>
                <c:pt idx="4">
                  <c:v>Delhi</c:v>
                </c:pt>
                <c:pt idx="5">
                  <c:v>Alka</c:v>
                </c:pt>
                <c:pt idx="6">
                  <c:v>Other</c:v>
                </c:pt>
              </c:strCache>
            </c:strRef>
          </c:cat>
          <c:val>
            <c:numRef>
              <c:f>'📊 Executive Dashboard'!$Z$13:$Z$19</c:f>
              <c:numCache>
                <c:formatCode>General</c:formatCode>
                <c:ptCount val="7"/>
                <c:pt idx="0">
                  <c:v>131700</c:v>
                </c:pt>
                <c:pt idx="1">
                  <c:v>79206.55</c:v>
                </c:pt>
                <c:pt idx="2">
                  <c:v>55171</c:v>
                </c:pt>
                <c:pt idx="3">
                  <c:v>51509</c:v>
                </c:pt>
                <c:pt idx="4">
                  <c:v>47375.89</c:v>
                </c:pt>
                <c:pt idx="5">
                  <c:v>44600</c:v>
                </c:pt>
                <c:pt idx="6">
                  <c:v>70126.999999999942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8EF-DD4F-94AE-79C557B28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r"/>
      <c:overlay val="1"/>
    </c:legend>
    <c:plotVisOnly val="1"/>
    <c:dispBlanksAs val="gap"/>
    <c:showDLblsOverMax val="1"/>
  </c:chart>
  <c:spPr>
    <a:solidFill>
      <a:srgbClr val="FFFFFF"/>
    </a:solidFill>
    <a:ln w="9525">
      <a:solidFill>
        <a:srgbClr val="E2E8F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'📊 Executive Dashboard'!$Z$12</c:f>
              <c:strCache>
                <c:ptCount val="1"/>
                <c:pt idx="0">
                  <c:v>Amount</c:v>
                </c:pt>
              </c:strCache>
            </c:strRef>
          </c:tx>
          <c:spPr>
            <a:solidFill>
              <a:srgbClr val="8B5CF6"/>
            </a:solidFill>
            <a:ln>
              <a:prstDash val="solid"/>
            </a:ln>
          </c:spPr>
          <c:invertIfNegative val="1"/>
          <c:cat>
            <c:strRef>
              <c:f>'📊 Executive Dashboard'!$Y$13:$Y$18</c:f>
              <c:strCache>
                <c:ptCount val="6"/>
                <c:pt idx="0">
                  <c:v>Nisha</c:v>
                </c:pt>
                <c:pt idx="1">
                  <c:v>Rajan</c:v>
                </c:pt>
                <c:pt idx="2">
                  <c:v>Pawan</c:v>
                </c:pt>
                <c:pt idx="3">
                  <c:v>Home</c:v>
                </c:pt>
                <c:pt idx="4">
                  <c:v>Delhi</c:v>
                </c:pt>
                <c:pt idx="5">
                  <c:v>Alka</c:v>
                </c:pt>
              </c:strCache>
            </c:strRef>
          </c:cat>
          <c:val>
            <c:numRef>
              <c:f>'📊 Executive Dashboard'!$Z$13:$Z$18</c:f>
              <c:numCache>
                <c:formatCode>General</c:formatCode>
                <c:ptCount val="6"/>
                <c:pt idx="0">
                  <c:v>131700</c:v>
                </c:pt>
                <c:pt idx="1">
                  <c:v>79206.55</c:v>
                </c:pt>
                <c:pt idx="2">
                  <c:v>55171</c:v>
                </c:pt>
                <c:pt idx="3">
                  <c:v>51509</c:v>
                </c:pt>
                <c:pt idx="4">
                  <c:v>47375.89</c:v>
                </c:pt>
                <c:pt idx="5">
                  <c:v>44600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87F-404C-B3B1-3B4A66B07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b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spPr>
    <a:solidFill>
      <a:srgbClr val="FFFFFF"/>
    </a:solidFill>
    <a:ln w="9525">
      <a:solidFill>
        <a:srgbClr val="E2E8F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autoTitleDeleted val="1"/>
    <c:plotArea>
      <c:layout/>
      <c:doughnutChart>
        <c:varyColors val="1"/>
        <c:ser>
          <c:idx val="0"/>
          <c:order val="0"/>
          <c:tx>
            <c:strRef>
              <c:f>'📊 Executive Dashboard'!$AC$12</c:f>
              <c:strCache>
                <c:ptCount val="1"/>
                <c:pt idx="0">
                  <c:v>Amount</c:v>
                </c:pt>
              </c:strCache>
            </c:strRef>
          </c:tx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3B6FF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731B-5449-B44D-0E50AFBC76DB}"/>
              </c:ext>
            </c:extLst>
          </c:dPt>
          <c:dPt>
            <c:idx val="1"/>
            <c:bubble3D val="0"/>
            <c:spPr>
              <a:solidFill>
                <a:srgbClr val="E5484D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731B-5449-B44D-0E50AFBC76DB}"/>
              </c:ext>
            </c:extLst>
          </c:dPt>
          <c:dPt>
            <c:idx val="2"/>
            <c:bubble3D val="0"/>
            <c:spPr>
              <a:solidFill>
                <a:srgbClr val="8B5CF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731B-5449-B44D-0E50AFBC76DB}"/>
              </c:ext>
            </c:extLst>
          </c:dPt>
          <c:dPt>
            <c:idx val="3"/>
            <c:bubble3D val="0"/>
            <c:spPr>
              <a:solidFill>
                <a:srgbClr val="16A085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731B-5449-B44D-0E50AFBC76DB}"/>
              </c:ext>
            </c:extLst>
          </c:dPt>
          <c:dPt>
            <c:idx val="4"/>
            <c:bubble3D val="0"/>
            <c:spPr>
              <a:solidFill>
                <a:srgbClr val="F5A623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731B-5449-B44D-0E50AFBC76DB}"/>
              </c:ext>
            </c:extLst>
          </c:dPt>
          <c:cat>
            <c:strRef>
              <c:f>'📊 Executive Dashboard'!$AB$13:$AB$17</c:f>
              <c:strCache>
                <c:ptCount val="5"/>
                <c:pt idx="0">
                  <c:v>UPI</c:v>
                </c:pt>
                <c:pt idx="1">
                  <c:v>Net Banking</c:v>
                </c:pt>
                <c:pt idx="2">
                  <c:v>Credit Card</c:v>
                </c:pt>
                <c:pt idx="3">
                  <c:v>Cash</c:v>
                </c:pt>
                <c:pt idx="4">
                  <c:v>Debit Card</c:v>
                </c:pt>
              </c:strCache>
            </c:strRef>
          </c:cat>
          <c:val>
            <c:numRef>
              <c:f>'📊 Executive Dashboard'!$AC$13:$AC$17</c:f>
              <c:numCache>
                <c:formatCode>General</c:formatCode>
                <c:ptCount val="5"/>
                <c:pt idx="0">
                  <c:v>77492</c:v>
                </c:pt>
                <c:pt idx="1">
                  <c:v>50500</c:v>
                </c:pt>
                <c:pt idx="2">
                  <c:v>26002</c:v>
                </c:pt>
                <c:pt idx="3">
                  <c:v>8200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31B-5449-B44D-0E50AFBC7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r"/>
      <c:overlay val="1"/>
    </c:legend>
    <c:plotVisOnly val="1"/>
    <c:dispBlanksAs val="gap"/>
    <c:showDLblsOverMax val="1"/>
  </c:chart>
  <c:spPr>
    <a:solidFill>
      <a:srgbClr val="FFFFFF"/>
    </a:solidFill>
    <a:ln w="9525">
      <a:solidFill>
        <a:srgbClr val="E2E8F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tx>
            <c:strRef>
              <c:f>'📊 Executive Dashboard'!$X$12</c:f>
              <c:strCache>
                <c:ptCount val="1"/>
                <c:pt idx="0">
                  <c:v>SavingsRate</c:v>
                </c:pt>
              </c:strCache>
            </c:strRef>
          </c:tx>
          <c:spPr>
            <a:ln w="22000">
              <a:solidFill>
                <a:srgbClr val="06B6D4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06B6D4"/>
              </a:solidFill>
              <a:ln>
                <a:prstDash val="solid"/>
              </a:ln>
            </c:spPr>
          </c:marker>
          <c:cat>
            <c:strRef>
              <c:f>'📊 Executive Dashboard'!$U$13:$U$24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'📊 Executive Dashboard'!$X$13:$X$24</c:f>
              <c:numCache>
                <c:formatCode>General</c:formatCode>
                <c:ptCount val="12"/>
                <c:pt idx="0">
                  <c:v>0.71992653506957649</c:v>
                </c:pt>
                <c:pt idx="1">
                  <c:v>-1.8327374257425746</c:v>
                </c:pt>
                <c:pt idx="2">
                  <c:v>-0.2992435643564354</c:v>
                </c:pt>
                <c:pt idx="3">
                  <c:v>-0.50726981434360596</c:v>
                </c:pt>
                <c:pt idx="4">
                  <c:v>-1.048051485148515</c:v>
                </c:pt>
                <c:pt idx="5">
                  <c:v>0.31120792079207921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0A6-5F48-8161-CEF166C4B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0%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spPr>
    <a:solidFill>
      <a:srgbClr val="FFFFFF"/>
    </a:solidFill>
    <a:ln w="9525">
      <a:solidFill>
        <a:srgbClr val="E2E8F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autoTitleDeleted val="1"/>
    <c:plotArea>
      <c:layout/>
      <c:doughnutChart>
        <c:varyColors val="1"/>
        <c:ser>
          <c:idx val="0"/>
          <c:order val="0"/>
          <c:tx>
            <c:strRef>
              <c:f>'📊 Executive Dashboard'!$AF$12</c:f>
              <c:strCache>
                <c:ptCount val="1"/>
                <c:pt idx="0">
                  <c:v>Amount</c:v>
                </c:pt>
              </c:strCache>
            </c:strRef>
          </c:tx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3B6FF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BF5-B445-8667-6E0FD9785724}"/>
              </c:ext>
            </c:extLst>
          </c:dPt>
          <c:dPt>
            <c:idx val="1"/>
            <c:bubble3D val="0"/>
            <c:spPr>
              <a:solidFill>
                <a:srgbClr val="E5484D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BF5-B445-8667-6E0FD9785724}"/>
              </c:ext>
            </c:extLst>
          </c:dPt>
          <c:dPt>
            <c:idx val="2"/>
            <c:bubble3D val="0"/>
            <c:spPr>
              <a:solidFill>
                <a:srgbClr val="8B5CF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FBF5-B445-8667-6E0FD9785724}"/>
              </c:ext>
            </c:extLst>
          </c:dPt>
          <c:cat>
            <c:strRef>
              <c:f>'📊 Executive Dashboard'!$AE$13:$AE$15</c:f>
              <c:strCache>
                <c:ptCount val="3"/>
                <c:pt idx="0">
                  <c:v>Income</c:v>
                </c:pt>
                <c:pt idx="1">
                  <c:v>Expense</c:v>
                </c:pt>
                <c:pt idx="2">
                  <c:v>Investment</c:v>
                </c:pt>
              </c:strCache>
            </c:strRef>
          </c:cat>
          <c:val>
            <c:numRef>
              <c:f>'📊 Executive Dashboard'!$AF$13:$AF$15</c:f>
              <c:numCache>
                <c:formatCode>General</c:formatCode>
                <c:ptCount val="3"/>
                <c:pt idx="0">
                  <c:v>389321</c:v>
                </c:pt>
                <c:pt idx="1">
                  <c:v>479689.43999999994</c:v>
                </c:pt>
                <c:pt idx="2">
                  <c:v>67386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F5-B445-8667-6E0FD9785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r"/>
      <c:overlay val="1"/>
    </c:legend>
    <c:plotVisOnly val="1"/>
    <c:dispBlanksAs val="gap"/>
    <c:showDLblsOverMax val="1"/>
  </c:chart>
  <c:spPr>
    <a:solidFill>
      <a:srgbClr val="FFFFFF"/>
    </a:solidFill>
    <a:ln w="9525">
      <a:solidFill>
        <a:srgbClr val="E2E8F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spPr>
            <a:solidFill>
              <a:srgbClr val="E02424"/>
            </a:solidFill>
            <a:ln>
              <a:prstDash val="solid"/>
            </a:ln>
          </c:spPr>
          <c:invertIfNegative val="1"/>
          <c:val>
            <c:numRef>
              <c:f>'📊 Executive Dashboard'!$AL$41</c:f>
              <c:numCache>
                <c:formatCode>General</c:formatCode>
                <c:ptCount val="1"/>
                <c:pt idx="0">
                  <c:v>1.2321180722334524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5AE-7F43-A9D5-2DBDC2364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10"/>
        <c:axId val="100"/>
      </c:barChart>
      <c:catAx>
        <c:axId val="10"/>
        <c:scaling>
          <c:orientation val="minMax"/>
        </c:scaling>
        <c:delete val="1"/>
        <c:axPos val="l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ax val="1.5"/>
          <c:min val="0"/>
        </c:scaling>
        <c:delete val="1"/>
        <c:axPos val="b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spPr>
    <a:solidFill>
      <a:srgbClr val="FFFFFF"/>
    </a:solidFill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kumimoji="0" lang="en-US" sz="1600" b="1" i="0" u="none" strike="noStrike" kern="1200" cap="none" spc="100" normalizeH="0" baseline="0" noProof="0">
                <a:ln>
                  <a:noFill/>
                </a:ln>
                <a:solidFill>
                  <a:srgbClr val="FFFFFF">
                    <a:lumMod val="95000"/>
                  </a:srgb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/>
              </a:rPr>
              <a:t>Categories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'🏠 Dashboard'!$AS$3</c:f>
              <c:strCache>
                <c:ptCount val="1"/>
                <c:pt idx="0">
                  <c:v>Net Total</c:v>
                </c:pt>
              </c:strCache>
            </c:strRef>
          </c:tx>
          <c:spPr>
            <a:gradFill>
              <a:gsLst>
                <a:gs pos="0">
                  <a:schemeClr val="accent1">
                    <a:shade val="51000"/>
                  </a:schemeClr>
                </a:gs>
                <a:gs pos="80000">
                  <a:schemeClr val="accent1">
                    <a:shade val="93000"/>
                  </a:schemeClr>
                </a:gs>
                <a:gs pos="100000">
                  <a:schemeClr val="accent1">
                    <a:shade val="94000"/>
                  </a:schemeClr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'🏠 Dashboard'!$AF$4:$AF$17</c:f>
              <c:strCache>
                <c:ptCount val="14"/>
                <c:pt idx="0">
                  <c:v>Alka</c:v>
                </c:pt>
                <c:pt idx="1">
                  <c:v>Cashflow</c:v>
                </c:pt>
                <c:pt idx="2">
                  <c:v>Delhi</c:v>
                </c:pt>
                <c:pt idx="3">
                  <c:v>Delhi Room</c:v>
                </c:pt>
                <c:pt idx="4">
                  <c:v>Ed LOAN</c:v>
                </c:pt>
                <c:pt idx="5">
                  <c:v>Home</c:v>
                </c:pt>
                <c:pt idx="6">
                  <c:v>Nisha</c:v>
                </c:pt>
                <c:pt idx="7">
                  <c:v>Other</c:v>
                </c:pt>
                <c:pt idx="8">
                  <c:v>Pawan</c:v>
                </c:pt>
                <c:pt idx="9">
                  <c:v>Railway</c:v>
                </c:pt>
                <c:pt idx="10">
                  <c:v>Rajan</c:v>
                </c:pt>
                <c:pt idx="11">
                  <c:v>Recharge</c:v>
                </c:pt>
                <c:pt idx="12">
                  <c:v>DRCC</c:v>
                </c:pt>
                <c:pt idx="13">
                  <c:v>Saving</c:v>
                </c:pt>
              </c:strCache>
            </c:strRef>
          </c:cat>
          <c:val>
            <c:numRef>
              <c:f>'🏠 Dashboard'!$AS$4:$AS$17</c:f>
              <c:numCache>
                <c:formatCode>\₹#,##0</c:formatCode>
                <c:ptCount val="14"/>
                <c:pt idx="0">
                  <c:v>64541</c:v>
                </c:pt>
                <c:pt idx="1">
                  <c:v>-76407.019999999786</c:v>
                </c:pt>
                <c:pt idx="2">
                  <c:v>301126.2</c:v>
                </c:pt>
                <c:pt idx="3">
                  <c:v>42640</c:v>
                </c:pt>
                <c:pt idx="4">
                  <c:v>172162.89</c:v>
                </c:pt>
                <c:pt idx="5">
                  <c:v>326519.2</c:v>
                </c:pt>
                <c:pt idx="6">
                  <c:v>478976</c:v>
                </c:pt>
                <c:pt idx="7">
                  <c:v>8530</c:v>
                </c:pt>
                <c:pt idx="8">
                  <c:v>379325.6</c:v>
                </c:pt>
                <c:pt idx="9">
                  <c:v>59471.6</c:v>
                </c:pt>
                <c:pt idx="10">
                  <c:v>488526.55</c:v>
                </c:pt>
                <c:pt idx="11">
                  <c:v>34539</c:v>
                </c:pt>
                <c:pt idx="12">
                  <c:v>103330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95-3A41-AFF6-EAD20BFC479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17957248"/>
        <c:axId val="1273076736"/>
      </c:barChart>
      <c:catAx>
        <c:axId val="161795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3076736"/>
        <c:crosses val="autoZero"/>
        <c:auto val="1"/>
        <c:lblAlgn val="ctr"/>
        <c:lblOffset val="100"/>
        <c:noMultiLvlLbl val="0"/>
      </c:catAx>
      <c:valAx>
        <c:axId val="127307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\₹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795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Annual Income vs Expenses  +  Net Savings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'🏠 Dashboard'!$Z$4</c:f>
              <c:strCache>
                <c:ptCount val="1"/>
                <c:pt idx="0">
                  <c:v>↑  Income</c:v>
                </c:pt>
              </c:strCache>
            </c:strRef>
          </c:tx>
          <c:spPr>
            <a:gradFill>
              <a:gsLst>
                <a:gs pos="0">
                  <a:schemeClr val="accent2">
                    <a:shade val="51000"/>
                  </a:schemeClr>
                </a:gs>
                <a:gs pos="80000">
                  <a:schemeClr val="accent2">
                    <a:shade val="93000"/>
                  </a:schemeClr>
                </a:gs>
                <a:gs pos="100000">
                  <a:schemeClr val="accent2">
                    <a:shade val="94000"/>
                  </a:schemeClr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cat>
            <c:numRef>
              <c:f>'🏠 Dashboard'!$Y$5:$Y$14</c:f>
              <c:numCache>
                <c:formatCode>@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'🏠 Dashboard'!$Z$5:$Z$14</c:f>
              <c:numCache>
                <c:formatCode>\₹#,##0</c:formatCode>
                <c:ptCount val="10"/>
                <c:pt idx="0">
                  <c:v>147316</c:v>
                </c:pt>
                <c:pt idx="1">
                  <c:v>447176</c:v>
                </c:pt>
                <c:pt idx="2">
                  <c:v>520304</c:v>
                </c:pt>
                <c:pt idx="3">
                  <c:v>722110</c:v>
                </c:pt>
                <c:pt idx="4">
                  <c:v>670000</c:v>
                </c:pt>
                <c:pt idx="5">
                  <c:v>389321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C9-694F-BEA3-048DF1A52BDC}"/>
            </c:ext>
          </c:extLst>
        </c:ser>
        <c:ser>
          <c:idx val="2"/>
          <c:order val="1"/>
          <c:tx>
            <c:strRef>
              <c:f>'🏠 Dashboard'!$AA$4</c:f>
              <c:strCache>
                <c:ptCount val="1"/>
                <c:pt idx="0">
                  <c:v>↓  Expense</c:v>
                </c:pt>
              </c:strCache>
            </c:strRef>
          </c:tx>
          <c:spPr>
            <a:gradFill>
              <a:gsLst>
                <a:gs pos="0">
                  <a:schemeClr val="accent3">
                    <a:shade val="51000"/>
                  </a:schemeClr>
                </a:gs>
                <a:gs pos="80000">
                  <a:schemeClr val="accent3">
                    <a:shade val="93000"/>
                  </a:schemeClr>
                </a:gs>
                <a:gs pos="100000">
                  <a:schemeClr val="accent3">
                    <a:shade val="94000"/>
                  </a:schemeClr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val>
            <c:numRef>
              <c:f>'🏠 Dashboard'!$AA$5:$AA$14</c:f>
              <c:numCache>
                <c:formatCode>\₹#,##0</c:formatCode>
                <c:ptCount val="10"/>
                <c:pt idx="0">
                  <c:v>16122.980000000214</c:v>
                </c:pt>
                <c:pt idx="1">
                  <c:v>203940</c:v>
                </c:pt>
                <c:pt idx="2">
                  <c:v>495895</c:v>
                </c:pt>
                <c:pt idx="3">
                  <c:v>698384.5299999998</c:v>
                </c:pt>
                <c:pt idx="4">
                  <c:v>806992.07</c:v>
                </c:pt>
                <c:pt idx="5">
                  <c:v>479689.43999999994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C9-694F-BEA3-048DF1A52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3710336"/>
        <c:axId val="513711296"/>
      </c:barChart>
      <c:barChart>
        <c:barDir val="col"/>
        <c:grouping val="clustered"/>
        <c:varyColors val="0"/>
        <c:ser>
          <c:idx val="0"/>
          <c:order val="2"/>
          <c:tx>
            <c:strRef>
              <c:f>'🏠 Dashboard'!$AB$4</c:f>
              <c:strCache>
                <c:ptCount val="1"/>
                <c:pt idx="0">
                  <c:v>»» Investment</c:v>
                </c:pt>
              </c:strCache>
            </c:strRef>
          </c:tx>
          <c:spPr>
            <a:gradFill>
              <a:gsLst>
                <a:gs pos="0">
                  <a:schemeClr val="accent1">
                    <a:shade val="51000"/>
                  </a:schemeClr>
                </a:gs>
                <a:gs pos="80000">
                  <a:schemeClr val="accent1">
                    <a:shade val="93000"/>
                  </a:schemeClr>
                </a:gs>
                <a:gs pos="100000">
                  <a:schemeClr val="accent1">
                    <a:shade val="94000"/>
                  </a:schemeClr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cat>
            <c:numRef>
              <c:f>'🏠 Dashboard'!$Y$5:$Y$14</c:f>
              <c:numCache>
                <c:formatCode>@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'🏠 Dashboard'!$AB$5:$AB$14</c:f>
              <c:numCache>
                <c:formatCode>\₹#,##0;"(₹"#,##0\);\-</c:formatCode>
                <c:ptCount val="10"/>
                <c:pt idx="0">
                  <c:v>55000</c:v>
                </c:pt>
                <c:pt idx="1">
                  <c:v>6800</c:v>
                </c:pt>
                <c:pt idx="2">
                  <c:v>14504</c:v>
                </c:pt>
                <c:pt idx="3">
                  <c:v>16512</c:v>
                </c:pt>
                <c:pt idx="4">
                  <c:v>20792</c:v>
                </c:pt>
                <c:pt idx="5">
                  <c:v>67386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C9-694F-BEA3-048DF1A52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3650816"/>
        <c:axId val="513660896"/>
      </c:barChart>
      <c:lineChart>
        <c:grouping val="standard"/>
        <c:varyColors val="0"/>
        <c:ser>
          <c:idx val="3"/>
          <c:order val="3"/>
          <c:tx>
            <c:strRef>
              <c:f>'🏠 Dashboard'!$AC$4</c:f>
              <c:strCache>
                <c:ptCount val="1"/>
                <c:pt idx="0">
                  <c:v>◈  Savings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'🏠 Dashboard'!$Y$5:$Y$14</c:f>
              <c:numCache>
                <c:formatCode>@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'🏠 Dashboard'!$AC$5:$AC$14</c:f>
              <c:numCache>
                <c:formatCode>\₹#,##0</c:formatCode>
                <c:ptCount val="10"/>
                <c:pt idx="0">
                  <c:v>76193.019999999786</c:v>
                </c:pt>
                <c:pt idx="1">
                  <c:v>236436</c:v>
                </c:pt>
                <c:pt idx="2">
                  <c:v>9905</c:v>
                </c:pt>
                <c:pt idx="3">
                  <c:v>7213.4700000002049</c:v>
                </c:pt>
                <c:pt idx="4">
                  <c:v>-157784.06999999995</c:v>
                </c:pt>
                <c:pt idx="5">
                  <c:v>-157754.43999999994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BC9-694F-BEA3-048DF1A52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650816"/>
        <c:axId val="513660896"/>
      </c:lineChart>
      <c:catAx>
        <c:axId val="51371033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@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11296"/>
        <c:crosses val="autoZero"/>
        <c:auto val="1"/>
        <c:lblAlgn val="ctr"/>
        <c:lblOffset val="100"/>
        <c:noMultiLvlLbl val="0"/>
      </c:catAx>
      <c:valAx>
        <c:axId val="51371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 (₹)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₹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10336"/>
        <c:crosses val="autoZero"/>
        <c:crossBetween val="between"/>
      </c:valAx>
      <c:valAx>
        <c:axId val="51366089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savings (₹)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₹#,##0;&quot;(₹&quot;#,##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50816"/>
        <c:crosses val="max"/>
        <c:crossBetween val="between"/>
      </c:valAx>
      <c:catAx>
        <c:axId val="513650816"/>
        <c:scaling>
          <c:orientation val="minMax"/>
        </c:scaling>
        <c:delete val="1"/>
        <c:axPos val="b"/>
        <c:numFmt formatCode="@" sourceLinked="1"/>
        <c:majorTickMark val="none"/>
        <c:minorTickMark val="none"/>
        <c:tickLblPos val="nextTo"/>
        <c:crossAx val="513660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Monthly Income vs Expenses  +  Net Savings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83244105716749"/>
          <c:y val="0.22270432414520314"/>
          <c:w val="0.73168626192424346"/>
          <c:h val="0.4425975125196905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'🏠 Dashboard'!$E$17</c:f>
              <c:strCache>
                <c:ptCount val="1"/>
                <c:pt idx="0">
                  <c:v>INCOME</c:v>
                </c:pt>
              </c:strCache>
            </c:strRef>
          </c:tx>
          <c:spPr>
            <a:gradFill>
              <a:gsLst>
                <a:gs pos="0">
                  <a:schemeClr val="accent2">
                    <a:shade val="51000"/>
                  </a:schemeClr>
                </a:gs>
                <a:gs pos="80000">
                  <a:schemeClr val="accent2">
                    <a:shade val="93000"/>
                  </a:schemeClr>
                </a:gs>
                <a:gs pos="100000">
                  <a:schemeClr val="accent2">
                    <a:shade val="94000"/>
                  </a:schemeClr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cat>
            <c:strRef>
              <c:f>'🏠 Dashboard'!$D$18:$D$29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'🏠 Dashboard'!$E$18:$E$29</c:f>
              <c:numCache>
                <c:formatCode>\₹#,##0</c:formatCode>
                <c:ptCount val="12"/>
                <c:pt idx="0">
                  <c:v>120874</c:v>
                </c:pt>
                <c:pt idx="1">
                  <c:v>50500</c:v>
                </c:pt>
                <c:pt idx="2">
                  <c:v>50500</c:v>
                </c:pt>
                <c:pt idx="3">
                  <c:v>53055</c:v>
                </c:pt>
                <c:pt idx="4">
                  <c:v>50500</c:v>
                </c:pt>
                <c:pt idx="5">
                  <c:v>50500</c:v>
                </c:pt>
                <c:pt idx="6">
                  <c:v>0</c:v>
                </c:pt>
                <c:pt idx="7">
                  <c:v>13392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6E-544C-9E40-97F57BAA525A}"/>
            </c:ext>
          </c:extLst>
        </c:ser>
        <c:ser>
          <c:idx val="2"/>
          <c:order val="1"/>
          <c:tx>
            <c:strRef>
              <c:f>'🏠 Dashboard'!$F$17</c:f>
              <c:strCache>
                <c:ptCount val="1"/>
                <c:pt idx="0">
                  <c:v>EXPENSES</c:v>
                </c:pt>
              </c:strCache>
            </c:strRef>
          </c:tx>
          <c:spPr>
            <a:gradFill>
              <a:gsLst>
                <a:gs pos="0">
                  <a:schemeClr val="accent3">
                    <a:shade val="51000"/>
                  </a:schemeClr>
                </a:gs>
                <a:gs pos="80000">
                  <a:schemeClr val="accent3">
                    <a:shade val="93000"/>
                  </a:schemeClr>
                </a:gs>
                <a:gs pos="100000">
                  <a:schemeClr val="accent3">
                    <a:shade val="94000"/>
                  </a:schemeClr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cat>
            <c:strRef>
              <c:f>'🏠 Dashboard'!$D$18:$D$29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'🏠 Dashboard'!$F$18:$F$29</c:f>
              <c:numCache>
                <c:formatCode>\₹#,##0</c:formatCode>
                <c:ptCount val="12"/>
                <c:pt idx="0">
                  <c:v>33853.599999999999</c:v>
                </c:pt>
                <c:pt idx="1">
                  <c:v>143053.24000000002</c:v>
                </c:pt>
                <c:pt idx="2">
                  <c:v>65611.799999999988</c:v>
                </c:pt>
                <c:pt idx="3">
                  <c:v>79968.200000000012</c:v>
                </c:pt>
                <c:pt idx="4">
                  <c:v>103426.6</c:v>
                </c:pt>
                <c:pt idx="5">
                  <c:v>34784</c:v>
                </c:pt>
                <c:pt idx="6">
                  <c:v>18992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6E-544C-9E40-97F57BAA5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-25"/>
        <c:axId val="1655331055"/>
        <c:axId val="1655331535"/>
      </c:barChart>
      <c:lineChart>
        <c:grouping val="standard"/>
        <c:varyColors val="0"/>
        <c:ser>
          <c:idx val="0"/>
          <c:order val="2"/>
          <c:tx>
            <c:strRef>
              <c:f>'🏠 Dashboard'!$G$17</c:f>
              <c:strCache>
                <c:ptCount val="1"/>
                <c:pt idx="0">
                  <c:v>Investment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>
                <a:gsLst>
                  <a:gs pos="0">
                    <a:schemeClr val="accent1">
                      <a:shade val="51000"/>
                    </a:schemeClr>
                  </a:gs>
                  <a:gs pos="80000">
                    <a:schemeClr val="accent1">
                      <a:shade val="93000"/>
                    </a:schemeClr>
                  </a:gs>
                  <a:gs pos="100000">
                    <a:schemeClr val="accent1">
                      <a:shade val="94000"/>
                    </a:schemeClr>
                  </a:gs>
                </a:gsLst>
                <a:lin ang="16200000" scaled="0"/>
                <a:tileRect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'🏠 Dashboard'!$D$18:$D$29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'🏠 Dashboard'!$G$18:$G$29</c:f>
              <c:numCache>
                <c:formatCode>\₹#,##0</c:formatCode>
                <c:ptCount val="12"/>
                <c:pt idx="0">
                  <c:v>1006</c:v>
                </c:pt>
                <c:pt idx="1">
                  <c:v>376</c:v>
                </c:pt>
                <c:pt idx="2">
                  <c:v>13876</c:v>
                </c:pt>
                <c:pt idx="3">
                  <c:v>1376</c:v>
                </c:pt>
                <c:pt idx="4">
                  <c:v>376</c:v>
                </c:pt>
                <c:pt idx="5">
                  <c:v>50376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6E-544C-9E40-97F57BAA525A}"/>
            </c:ext>
          </c:extLst>
        </c:ser>
        <c:ser>
          <c:idx val="3"/>
          <c:order val="3"/>
          <c:tx>
            <c:strRef>
              <c:f>'🏠 Dashboard'!$H$17</c:f>
              <c:strCache>
                <c:ptCount val="1"/>
                <c:pt idx="0">
                  <c:v>NET SAVINGS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gradFill>
                <a:gsLst>
                  <a:gs pos="0">
                    <a:schemeClr val="accent4">
                      <a:shade val="51000"/>
                    </a:schemeClr>
                  </a:gs>
                  <a:gs pos="80000">
                    <a:schemeClr val="accent4">
                      <a:shade val="93000"/>
                    </a:schemeClr>
                  </a:gs>
                  <a:gs pos="100000">
                    <a:schemeClr val="accent4">
                      <a:shade val="94000"/>
                    </a:schemeClr>
                  </a:gs>
                </a:gsLst>
                <a:lin ang="16200000" scaled="0"/>
                <a:tileRect/>
              </a:gradFill>
              <a:ln w="9525">
                <a:solidFill>
                  <a:schemeClr val="accent4"/>
                </a:solidFill>
                <a:round/>
              </a:ln>
              <a:effectLst/>
            </c:spPr>
          </c:marker>
          <c:dPt>
            <c:idx val="4"/>
            <c:marker>
              <c:symbol val="circle"/>
              <c:size val="6"/>
              <c:spPr>
                <a:gradFill>
                  <a:gsLst>
                    <a:gs pos="0">
                      <a:schemeClr val="accent4">
                        <a:shade val="51000"/>
                      </a:schemeClr>
                    </a:gs>
                    <a:gs pos="80000">
                      <a:schemeClr val="accent4">
                        <a:shade val="93000"/>
                      </a:schemeClr>
                    </a:gs>
                    <a:gs pos="100000">
                      <a:schemeClr val="accent4">
                        <a:shade val="94000"/>
                      </a:schemeClr>
                    </a:gs>
                  </a:gsLst>
                  <a:lin ang="16200000" scaled="0"/>
                  <a:tileRect/>
                </a:gradFill>
                <a:ln w="9525">
                  <a:solidFill>
                    <a:schemeClr val="accent4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A6E-544C-9E40-97F57BAA525A}"/>
              </c:ext>
            </c:extLst>
          </c:dPt>
          <c:cat>
            <c:strRef>
              <c:f>'🏠 Dashboard'!$D$18:$D$29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'🏠 Dashboard'!$H$18:$H$29</c:f>
              <c:numCache>
                <c:formatCode>\₹#,##0</c:formatCode>
                <c:ptCount val="12"/>
                <c:pt idx="0">
                  <c:v>87020.4</c:v>
                </c:pt>
                <c:pt idx="1">
                  <c:v>-92553.24000000002</c:v>
                </c:pt>
                <c:pt idx="2">
                  <c:v>-15111.799999999988</c:v>
                </c:pt>
                <c:pt idx="3">
                  <c:v>-26913.200000000012</c:v>
                </c:pt>
                <c:pt idx="4">
                  <c:v>-52926.600000000006</c:v>
                </c:pt>
                <c:pt idx="5">
                  <c:v>15716</c:v>
                </c:pt>
                <c:pt idx="6">
                  <c:v>-18992</c:v>
                </c:pt>
                <c:pt idx="7">
                  <c:v>13392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3A6E-544C-9E40-97F57BAA5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398959"/>
        <c:axId val="1773395599"/>
      </c:lineChart>
      <c:catAx>
        <c:axId val="1655331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331535"/>
        <c:crosses val="autoZero"/>
        <c:auto val="1"/>
        <c:lblAlgn val="ctr"/>
        <c:lblOffset val="100"/>
        <c:noMultiLvlLbl val="0"/>
      </c:catAx>
      <c:valAx>
        <c:axId val="1655331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\₹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331055"/>
        <c:crosses val="autoZero"/>
        <c:crossBetween val="between"/>
      </c:valAx>
      <c:valAx>
        <c:axId val="1773395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savings (₹)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₹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398959"/>
        <c:crosses val="max"/>
        <c:crossBetween val="between"/>
      </c:valAx>
      <c:catAx>
        <c:axId val="177339895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733955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0</xdr:rowOff>
    </xdr:from>
    <xdr:ext cx="4752000" cy="2484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9</xdr:col>
      <xdr:colOff>0</xdr:colOff>
      <xdr:row>11</xdr:row>
      <xdr:rowOff>0</xdr:rowOff>
    </xdr:from>
    <xdr:ext cx="4752000" cy="2484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17</xdr:col>
      <xdr:colOff>0</xdr:colOff>
      <xdr:row>11</xdr:row>
      <xdr:rowOff>0</xdr:rowOff>
    </xdr:from>
    <xdr:ext cx="4752000" cy="2484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9</xdr:col>
      <xdr:colOff>0</xdr:colOff>
      <xdr:row>27</xdr:row>
      <xdr:rowOff>0</xdr:rowOff>
    </xdr:from>
    <xdr:ext cx="4752000" cy="2484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17</xdr:col>
      <xdr:colOff>0</xdr:colOff>
      <xdr:row>27</xdr:row>
      <xdr:rowOff>0</xdr:rowOff>
    </xdr:from>
    <xdr:ext cx="4752000" cy="2484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</xdr:col>
      <xdr:colOff>0</xdr:colOff>
      <xdr:row>41</xdr:row>
      <xdr:rowOff>0</xdr:rowOff>
    </xdr:from>
    <xdr:ext cx="4752000" cy="2484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9</xdr:col>
      <xdr:colOff>0</xdr:colOff>
      <xdr:row>45</xdr:row>
      <xdr:rowOff>0</xdr:rowOff>
    </xdr:from>
    <xdr:ext cx="4752000" cy="792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30</xdr:row>
      <xdr:rowOff>0</xdr:rowOff>
    </xdr:from>
    <xdr:to>
      <xdr:col>23</xdr:col>
      <xdr:colOff>262758</xdr:colOff>
      <xdr:row>45</xdr:row>
      <xdr:rowOff>71509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26CF6F4-CF4A-B049-B9DE-E684CB1110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23</xdr:col>
      <xdr:colOff>248161</xdr:colOff>
      <xdr:row>15</xdr:row>
      <xdr:rowOff>145976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299C8756-3467-7741-8AFF-F5DC87A41F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17</xdr:row>
      <xdr:rowOff>0</xdr:rowOff>
    </xdr:from>
    <xdr:to>
      <xdr:col>23</xdr:col>
      <xdr:colOff>277356</xdr:colOff>
      <xdr:row>28</xdr:row>
      <xdr:rowOff>176559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954B3F8-E9C3-1B4F-9058-876DC9C7C4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0</xdr:colOff>
      <xdr:row>12</xdr:row>
      <xdr:rowOff>0</xdr:rowOff>
    </xdr:from>
    <xdr:ext cx="5943600" cy="265747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E43744DD-1AE3-4DC6-A996-34921840D147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753600" y="2209800"/>
          <a:ext cx="5943600" cy="2657475"/>
        </a:xfrm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</xdr:row>
          <xdr:rowOff>139700</xdr:rowOff>
        </xdr:from>
        <xdr:to>
          <xdr:col>12</xdr:col>
          <xdr:colOff>330200</xdr:colOff>
          <xdr:row>3</xdr:row>
          <xdr:rowOff>190500</xdr:rowOff>
        </xdr:to>
        <xdr:sp macro="" textlink="">
          <xdr:nvSpPr>
            <xdr:cNvPr id="10248" name="Button 8" descr="Submit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6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1</xdr:row>
          <xdr:rowOff>63500</xdr:rowOff>
        </xdr:from>
        <xdr:to>
          <xdr:col>12</xdr:col>
          <xdr:colOff>596900</xdr:colOff>
          <xdr:row>3</xdr:row>
          <xdr:rowOff>114300</xdr:rowOff>
        </xdr:to>
        <xdr:sp macro="" textlink="">
          <xdr:nvSpPr>
            <xdr:cNvPr id="11268" name="Button 4" descr="Submit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6FDB6F0-9859-DB49-B3A5-122429DFC562}" name="Table7" displayName="Table7" ref="C26:J226" totalsRowShown="0" headerRowDxfId="65" headerRowBorderDxfId="64" tableBorderDxfId="63" totalsRowBorderDxfId="62">
  <autoFilter ref="C26:J226" xr:uid="{D6FDB6F0-9859-DB49-B3A5-122429DFC562}"/>
  <tableColumns count="8">
    <tableColumn id="1" xr3:uid="{FE2E1AD6-3C49-1048-B17A-BB504D44832D}" name="DATE" dataDxfId="61"/>
    <tableColumn id="2" xr3:uid="{4BD4A6B9-0A29-FD42-929E-14F642164152}" name="DESCRIPTION" dataDxfId="60"/>
    <tableColumn id="3" xr3:uid="{354DD32E-5470-EC47-B41F-DB9F1CAB07A8}" name="TYPE" dataDxfId="59"/>
    <tableColumn id="4" xr3:uid="{5CA8A0FE-6E3F-7547-B157-40BAAE49CC2B}" name="CATEGORY" dataDxfId="58"/>
    <tableColumn id="5" xr3:uid="{96A8092C-D61D-1D4E-8145-3062A0FAD4B4}" name="AMOUNT (₹)" dataDxfId="57"/>
    <tableColumn id="6" xr3:uid="{95713B66-91F1-AB46-BD22-E99308ED4C1F}" name="PAYMENT" dataDxfId="56"/>
    <tableColumn id="7" xr3:uid="{667BABC3-246B-B340-85DA-9274A182A30C}" name="NOTES" dataDxfId="55"/>
    <tableColumn id="8" xr3:uid="{E92C0CAA-8350-284D-A128-7465D95105DB}" name="Year" dataDxfId="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45BC3ED-C691-9645-9332-AD3A0CE4EFB4}" name="Table8" displayName="Table8" ref="X9:AE209" totalsRowShown="0" headerRowDxfId="53" headerRowBorderDxfId="52" tableBorderDxfId="51" totalsRowBorderDxfId="50">
  <autoFilter ref="X9:AE209" xr:uid="{645BC3ED-C691-9645-9332-AD3A0CE4EFB4}"/>
  <tableColumns count="8">
    <tableColumn id="1" xr3:uid="{7D6590A0-7288-A947-87D3-DB00C3473D60}" name="DATE" dataDxfId="49">
      <calculatedColumnFormula array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calculatedColumnFormula>
    </tableColumn>
    <tableColumn id="2" xr3:uid="{39AEA553-71A5-F74A-B8D5-927A486B321F}" name="Name" dataDxfId="48">
      <calculatedColumnFormula array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calculatedColumnFormula>
    </tableColumn>
    <tableColumn id="3" xr3:uid="{71023750-897B-0948-88E5-A347D4F9ABF3}" name="TYPE" dataDxfId="47">
      <calculatedColumnFormula array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calculatedColumnFormula>
    </tableColumn>
    <tableColumn id="4" xr3:uid="{597234C2-E6F7-2242-B737-61AC1BC3FEE6}" name="CATEGORY" dataDxfId="46">
      <calculatedColumnFormula array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calculatedColumnFormula>
    </tableColumn>
    <tableColumn id="5" xr3:uid="{82E8DD57-9B0F-0849-A5DA-C78398FA08C6}" name="AMOUNT (₹)" dataDxfId="45">
      <calculatedColumnFormula array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calculatedColumnFormula>
    </tableColumn>
    <tableColumn id="6" xr3:uid="{2DB3EC1A-5D1D-B64A-A95D-FBD729153AA6}" name="Given" dataDxfId="44">
      <calculatedColumnFormula array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calculatedColumnFormula>
    </tableColumn>
    <tableColumn id="7" xr3:uid="{E680C0AD-8C92-9B40-9254-FF85EC1F24C4}" name="Received" dataDxfId="43">
      <calculatedColumnFormula array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calculatedColumnFormula>
    </tableColumn>
    <tableColumn id="8" xr3:uid="{40F459FC-4710-F945-8EFA-C5F1C2DF2442}" name="Notes" dataDxfId="42">
      <calculatedColumnFormula array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C2D1390-CD25-4359-AE0C-A98DB2E9A53E}" name="Slice_Pay" displayName="Slice_Pay" ref="A2:D15">
  <tableColumns count="4">
    <tableColumn id="1" xr3:uid="{FB5477E5-D359-415C-BD1A-04CB697C86F8}" name="Mukesh"/>
    <tableColumn id="2" xr3:uid="{39D1F2C5-1202-4A05-A56D-6296D31C58B3}" name="100000"/>
    <tableColumn id="3" xr3:uid="{4E6806A7-F5A5-4CB0-8B2F-8D41BD09687F}" name="102950"/>
    <tableColumn id="4" xr3:uid="{B17AC223-9284-4634-903C-CAD67A8A21BA}" name="Rcv"/>
  </tableColumns>
  <tableStyleInfo name="Refer-style 19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705D45-2CFA-46D1-BD50-2BA0A4A4E111}" name="Table1" displayName="Table1" ref="C8:M622" totalsRowShown="0" headerRowDxfId="93" dataDxfId="92" tableBorderDxfId="91">
  <autoFilter ref="C8:M622" xr:uid="{F2705D45-2CFA-46D1-BD50-2BA0A4A4E111}"/>
  <sortState xmlns:xlrd2="http://schemas.microsoft.com/office/spreadsheetml/2017/richdata2" ref="C8:M620">
    <sortCondition ref="C8:C620"/>
  </sortState>
  <tableColumns count="11">
    <tableColumn id="1" xr3:uid="{6F6448E5-BFA4-4354-B91C-CB0420815847}" name="DATE" dataDxfId="90" dataCellStyle="Normal 5"/>
    <tableColumn id="2" xr3:uid="{9BE0829F-4CE9-412D-B8F3-459991F9A235}" name="DESCRIPTION" dataDxfId="89" dataCellStyle="Normal 5"/>
    <tableColumn id="3" xr3:uid="{76182296-4FC5-4260-87C1-7352BD9FE655}" name="YEAR" dataDxfId="88">
      <calculatedColumnFormula>IFERROR(YEAR(C9),"")</calculatedColumnFormula>
    </tableColumn>
    <tableColumn id="4" xr3:uid="{5D1AFD19-A30E-4987-A935-1B5AF96D4D7B}" name="TYPE" dataDxfId="87"/>
    <tableColumn id="5" xr3:uid="{A6D9C6E4-87D2-47C1-A76C-A85561752405}" name="CATEGORY" dataDxfId="86"/>
    <tableColumn id="6" xr3:uid="{8B94CFD5-271A-4BD5-98B1-367E2387B2F9}" name="AMOUNT (₹)" dataDxfId="85"/>
    <tableColumn id="14" xr3:uid="{723FEF8C-7407-2E45-9176-820F9BAB76B8}" name="Net" dataDxfId="84">
      <calculatedColumnFormula>IF(Table1[[#This Row],[TYPE]]="Income",Table1[[#This Row],[AMOUNT (₹)]],-Table1[[#This Row],[AMOUNT (₹)]])</calculatedColumnFormula>
    </tableColumn>
    <tableColumn id="7" xr3:uid="{D9ABB5EE-2FEE-4C76-B354-99BC55A9EE61}" name="PAYMENT" dataDxfId="83"/>
    <tableColumn id="8" xr3:uid="{88335E9B-CBB7-461A-9710-7A80AAEDD7E2}" name="NOTES" dataDxfId="82"/>
    <tableColumn id="9" xr3:uid="{8AFEC424-A19E-4472-95BF-C2549C41B70D}" name="YEAR_MATCH" dataDxfId="81">
      <calculatedColumnFormula>IFERROR(IF(MONTH(C9)&lt;=3,YEAR(C9)-1,YEAR(C9)),"")</calculatedColumnFormula>
    </tableColumn>
    <tableColumn id="10" xr3:uid="{65ED9FEE-DCB2-4270-AFE5-44AF337D1C6D}" name="YEAR#" dataDxfId="80">
      <calculatedColumnFormula>IF(L9="","",COUNTIF($L$9:INDIRECT("K"&amp;ROW()),L9))</calculatedColumnFormula>
    </tableColumn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142A19-F5CF-4A53-BC14-3935C8E9FD19}" name="Table2" displayName="Table2" ref="C8:L305" totalsRowShown="0" headerRowDxfId="37" dataDxfId="36">
  <autoFilter ref="C8:L305" xr:uid="{4C142A19-F5CF-4A53-BC14-3935C8E9FD19}"/>
  <sortState xmlns:xlrd2="http://schemas.microsoft.com/office/spreadsheetml/2017/richdata2" ref="C9:L305">
    <sortCondition ref="C8:C305"/>
  </sortState>
  <tableColumns count="10">
    <tableColumn id="1" xr3:uid="{4A9FB3DB-8713-4FD2-A78E-D40006501175}" name="DATE" dataDxfId="35" dataCellStyle="Normal 5"/>
    <tableColumn id="2" xr3:uid="{716AE531-EBF1-41CB-9430-79AF67E8A5B3}" name="Name" dataDxfId="34" dataCellStyle="Normal 5"/>
    <tableColumn id="3" xr3:uid="{DB6D1CFF-C150-4609-8BB0-4E07B0DE6550}" name="YEAR" dataDxfId="33" dataCellStyle="Normal 5">
      <calculatedColumnFormula>IFERROR(YEAR(C9),"")</calculatedColumnFormula>
    </tableColumn>
    <tableColumn id="4" xr3:uid="{857F3A25-C133-48CC-8DA8-D090DFF41D1F}" name="TYPE" dataDxfId="32" dataCellStyle="Normal 7"/>
    <tableColumn id="5" xr3:uid="{E2A40928-D946-44B9-923A-160684F0ECB3}" name="CATEGORY" dataDxfId="31" dataCellStyle="Normal 5">
      <calculatedColumnFormula>$F$6</calculatedColumnFormula>
    </tableColumn>
    <tableColumn id="6" xr3:uid="{50628868-E35E-4345-B7FB-61C5231BAA02}" name="AMOUNT (₹)" dataDxfId="30" dataCellStyle="Normal 5"/>
    <tableColumn id="7" xr3:uid="{78E942C2-9B58-4594-B21F-8D5D0566FDF1}" name="Given" dataDxfId="29" dataCellStyle="Normal 5">
      <calculatedColumnFormula>IF(Table2[[#This Row],[TYPE]]="Given",Table2[[#This Row],[AMOUNT (₹)]],0)</calculatedColumnFormula>
    </tableColumn>
    <tableColumn id="8" xr3:uid="{94A817C8-162D-45CF-A32C-1D7DC845FD91}" name="Received" dataDxfId="28" dataCellStyle="Normal 5">
      <calculatedColumnFormula>IF(Table2[[#This Row],[TYPE]]="Received",Table2[[#This Row],[AMOUNT (₹)]],0)</calculatedColumnFormula>
    </tableColumn>
    <tableColumn id="9" xr3:uid="{47F14D3E-E8C3-4CAB-B5B8-27958A52C44A}" name="Notes" dataDxfId="27" dataCellStyle="Normal 5"/>
    <tableColumn id="10" xr3:uid="{9986FE41-1885-4F0E-BFCC-F63BAC543F8C}" name="Name#" dataDxfId="26" dataCellStyle="Normal 5">
      <calculatedColumnFormula>IF(D9="","",COUNTIF($D$9:INDIRECT("D"&amp;ROW()),D9))</calculatedColumnFormula>
    </tableColumn>
  </tableColumns>
  <tableStyleInfo name="TableStyleLight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3FA398E-3753-4EDA-A1AF-AB23A9EF89F8}" name="DRCC" displayName="DRCC" ref="I2:N87" headerRowDxfId="25" dataDxfId="24" totalsRowDxfId="23">
  <tableColumns count="6">
    <tableColumn id="1" xr3:uid="{65866E30-A71F-48FF-B8CD-4C456EE2EC56}" name="Due Dt" dataDxfId="22"/>
    <tableColumn id="2" xr3:uid="{BC7D4F07-47A4-46EA-B756-F73367F039E3}" name="DRCC" dataDxfId="21"/>
    <tableColumn id="3" xr3:uid="{F693B1C2-50DB-46C9-8C01-AB78B37AF5A2}" name="EMI" dataDxfId="20"/>
    <tableColumn id="4" xr3:uid="{4D694E07-5D8C-43B5-BFDC-E2C6FA76777C}" name="Paid" dataDxfId="19"/>
    <tableColumn id="5" xr3:uid="{012CB236-D6AC-4660-85E6-9878C15C8A76}" name="Paid Amt" dataDxfId="18"/>
    <tableColumn id="6" xr3:uid="{78055E31-5ED3-4DFF-A3F6-90C4ED626084}" name="Pay Dt" dataDxfId="17"/>
  </tableColumns>
  <tableStyleInfo name="Own-style 2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55A64C1-EF00-403C-AFD2-CB2F432F0369}" name="Currency_at_home" displayName="Currency_at_home" ref="B53:E67" headerRowDxfId="16" dataDxfId="15" totalsRowDxfId="14">
  <tableColumns count="4">
    <tableColumn id="1" xr3:uid="{1004D224-B851-45F7-BF89-048210CDA881}" name="Note" dataDxfId="13"/>
    <tableColumn id="2" xr3:uid="{8DFA1D44-0186-412B-945E-FD2C29559315}" name="Count" dataDxfId="12"/>
    <tableColumn id="3" xr3:uid="{462DB0EC-8B65-4D28-A250-AC6F6E7F89DB}" name="Total Currency" dataDxfId="11"/>
    <tableColumn id="4" xr3:uid="{9FE1A837-162A-4AFB-8181-F0EC78FE4BDC}" name="Status" dataDxfId="10"/>
  </tableColumns>
  <tableStyleInfo name="Own-style 4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4FAEDE0-DA31-E04F-8CF9-660BBDAFDFE1}" name="Table10" displayName="Table10" ref="AC1:AJ70" totalsRowShown="0" headerRowDxfId="9" dataDxfId="8">
  <autoFilter ref="AC1:AJ70" xr:uid="{D4FAEDE0-DA31-E04F-8CF9-660BBDAFDFE1}"/>
  <tableColumns count="8">
    <tableColumn id="1" xr3:uid="{9697E116-3ED3-A74C-822B-9710B68A9CCE}" name="Date" dataDxfId="7"/>
    <tableColumn id="2" xr3:uid="{F7979218-2F8B-904A-AE2E-3B8D609302CD}" name="Desc" dataDxfId="6"/>
    <tableColumn id="3" xr3:uid="{03FD1A92-C070-AC49-BA9C-546BC74D2DDD}" name="Txn" dataDxfId="5"/>
    <tableColumn id="4" xr3:uid="{2A7F703E-C55F-B94D-B456-E9AC0AE9B82C}" name="Account" dataDxfId="4"/>
    <tableColumn id="5" xr3:uid="{A7D63076-A3D0-F144-B653-C8A208EC16D6}" name="Amount" dataDxfId="3"/>
    <tableColumn id="6" xr3:uid="{B1654D71-6894-1E47-9CC4-82C894CD4BB8}" name="Net" dataDxfId="2">
      <calculatedColumnFormula>IF(AE2="Debit",-AG2,AG2)</calculatedColumnFormula>
    </tableColumn>
    <tableColumn id="7" xr3:uid="{B999C6B6-A26F-BA4F-9CA9-CCD14D0BE23A}" name="Balance" dataDxfId="1">
      <calculatedColumnFormula>SUM(AH2:AH$3)</calculatedColumnFormula>
    </tableColumn>
    <tableColumn id="8" xr3:uid="{0C97EAC9-69FE-6048-B9DA-760C6E7AA46E}" name="Papa Expense" dataDxfId="0">
      <calculatedColumnFormula>IF(AF2="Papa",AH2,0)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Library/Containers/com.microsoft.Excel/Data/Library/Application%20Support/Microsoft/Finance_Dashboard_v6.xlsx" TargetMode="External"/><Relationship Id="rId1" Type="http://schemas.openxmlformats.org/officeDocument/2006/relationships/hyperlink" Target="../Library/Containers/com.microsoft.Excel/Data/Library/Application%20Support/Microsoft/Finance_Dashboard_v6.xlsx" TargetMode="Externa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08CDE-8567-434F-A877-43D60666D3E5}">
  <sheetPr>
    <tabColor rgb="FF1E4FD6"/>
  </sheetPr>
  <dimension ref="A1:AL71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2" customWidth="1"/>
    <col min="2" max="37" width="10.33203125" customWidth="1"/>
  </cols>
  <sheetData>
    <row r="1" spans="1:38" ht="15.5" customHeight="1" x14ac:dyDescent="0.2">
      <c r="A1" s="402"/>
      <c r="B1" s="402"/>
      <c r="C1" s="402"/>
      <c r="D1" s="402"/>
      <c r="E1" s="402"/>
      <c r="F1" s="402"/>
      <c r="G1" s="402"/>
      <c r="H1" s="402"/>
      <c r="I1" s="402"/>
      <c r="J1" s="402"/>
      <c r="K1" s="402"/>
      <c r="L1" s="402"/>
      <c r="M1" s="402"/>
      <c r="N1" s="402"/>
      <c r="O1" s="402"/>
      <c r="P1" s="402"/>
      <c r="Q1" s="402"/>
      <c r="R1" s="402"/>
      <c r="S1" s="402"/>
      <c r="T1" s="402"/>
      <c r="U1" s="402"/>
      <c r="V1" s="402"/>
      <c r="W1" s="402"/>
      <c r="X1" s="402"/>
      <c r="Y1" s="402"/>
      <c r="Z1" s="402"/>
      <c r="AA1" s="402"/>
      <c r="AB1" s="402"/>
      <c r="AC1" s="402"/>
      <c r="AD1" s="402"/>
      <c r="AE1" s="402"/>
      <c r="AF1" s="402"/>
      <c r="AG1" s="402"/>
      <c r="AH1" s="402"/>
      <c r="AI1" s="402"/>
      <c r="AJ1" s="402"/>
      <c r="AK1" s="402"/>
    </row>
    <row r="2" spans="1:38" ht="15.5" customHeight="1" x14ac:dyDescent="0.2">
      <c r="A2" s="402"/>
      <c r="B2" s="429" t="s">
        <v>977</v>
      </c>
      <c r="C2" s="415"/>
      <c r="D2" s="415"/>
      <c r="E2" s="415"/>
      <c r="F2" s="415"/>
      <c r="G2" s="415"/>
      <c r="H2" s="415"/>
      <c r="I2" s="403"/>
      <c r="J2" s="414" t="s">
        <v>978</v>
      </c>
      <c r="K2" s="415"/>
      <c r="L2" s="403"/>
      <c r="M2" s="414" t="s">
        <v>979</v>
      </c>
      <c r="N2" s="415"/>
      <c r="O2" s="415"/>
      <c r="P2" s="403"/>
      <c r="Q2" s="403"/>
      <c r="R2" s="403"/>
      <c r="S2" s="403"/>
      <c r="T2" s="402"/>
      <c r="U2" s="402"/>
      <c r="V2" s="402"/>
      <c r="W2" s="402"/>
      <c r="X2" s="402"/>
      <c r="Y2" s="402"/>
      <c r="Z2" s="402"/>
      <c r="AA2" s="402"/>
      <c r="AB2" s="402"/>
      <c r="AC2" s="402"/>
      <c r="AD2" s="402"/>
      <c r="AE2" s="402"/>
      <c r="AF2" s="402"/>
      <c r="AG2" s="402"/>
      <c r="AH2" s="402"/>
      <c r="AI2" s="402"/>
      <c r="AJ2" s="402"/>
      <c r="AK2" s="402"/>
    </row>
    <row r="3" spans="1:38" ht="6" customHeight="1" x14ac:dyDescent="0.2">
      <c r="A3" s="402"/>
      <c r="B3" s="415"/>
      <c r="C3" s="415"/>
      <c r="D3" s="415"/>
      <c r="E3" s="415"/>
      <c r="F3" s="415"/>
      <c r="G3" s="415"/>
      <c r="H3" s="415"/>
      <c r="I3" s="403"/>
      <c r="J3" s="432">
        <v>2026</v>
      </c>
      <c r="K3" s="415"/>
      <c r="L3" s="403"/>
      <c r="M3" s="426">
        <f ca="1">TODAY()</f>
        <v>46242</v>
      </c>
      <c r="N3" s="415"/>
      <c r="O3" s="415"/>
      <c r="P3" s="403"/>
      <c r="Q3" s="403"/>
      <c r="R3" s="403"/>
      <c r="S3" s="403"/>
      <c r="T3" s="402"/>
      <c r="U3" s="402"/>
      <c r="V3" s="402"/>
      <c r="W3" s="402"/>
      <c r="X3" s="402"/>
      <c r="Y3" s="402"/>
      <c r="Z3" s="402"/>
      <c r="AA3" s="402"/>
      <c r="AB3" s="402"/>
      <c r="AC3" s="402"/>
      <c r="AD3" s="402"/>
      <c r="AE3" s="402"/>
      <c r="AF3" s="402"/>
      <c r="AG3" s="402"/>
      <c r="AH3" s="402"/>
      <c r="AI3" s="402"/>
      <c r="AJ3" s="402"/>
      <c r="AK3" s="402"/>
    </row>
    <row r="4" spans="1:38" ht="15.5" customHeight="1" x14ac:dyDescent="0.2">
      <c r="A4" s="402"/>
      <c r="B4" s="433" t="s">
        <v>980</v>
      </c>
      <c r="C4" s="415"/>
      <c r="D4" s="415"/>
      <c r="E4" s="415"/>
      <c r="F4" s="415"/>
      <c r="G4" s="415"/>
      <c r="H4" s="415"/>
      <c r="I4" s="403"/>
      <c r="J4" s="415"/>
      <c r="K4" s="415"/>
      <c r="L4" s="403"/>
      <c r="M4" s="415"/>
      <c r="N4" s="415"/>
      <c r="O4" s="415"/>
      <c r="P4" s="403"/>
      <c r="Q4" s="403"/>
      <c r="R4" s="403"/>
      <c r="S4" s="403"/>
      <c r="T4" s="402"/>
      <c r="U4" s="402"/>
      <c r="V4" s="402"/>
      <c r="W4" s="402"/>
      <c r="X4" s="402"/>
      <c r="Y4" s="402"/>
      <c r="Z4" s="402"/>
      <c r="AA4" s="402"/>
      <c r="AB4" s="402"/>
      <c r="AC4" s="402"/>
      <c r="AD4" s="402"/>
      <c r="AE4" s="402"/>
      <c r="AF4" s="402"/>
      <c r="AG4" s="402"/>
      <c r="AH4" s="402"/>
      <c r="AI4" s="402"/>
      <c r="AJ4" s="402"/>
      <c r="AK4" s="402"/>
    </row>
    <row r="5" spans="1:38" ht="15.5" customHeight="1" x14ac:dyDescent="0.2">
      <c r="A5" s="402"/>
      <c r="B5" s="403"/>
      <c r="C5" s="403"/>
      <c r="D5" s="403"/>
      <c r="E5" s="403"/>
      <c r="F5" s="403"/>
      <c r="G5" s="403"/>
      <c r="H5" s="403"/>
      <c r="I5" s="403"/>
      <c r="J5" s="403"/>
      <c r="K5" s="403"/>
      <c r="L5" s="403"/>
      <c r="M5" s="403"/>
      <c r="N5" s="403"/>
      <c r="O5" s="403"/>
      <c r="P5" s="403"/>
      <c r="Q5" s="403"/>
      <c r="R5" s="403"/>
      <c r="S5" s="403"/>
      <c r="T5" s="402"/>
      <c r="U5" s="402"/>
      <c r="V5" s="402"/>
      <c r="W5" s="402"/>
      <c r="X5" s="402"/>
      <c r="Y5" s="402"/>
      <c r="Z5" s="402"/>
      <c r="AA5" s="402"/>
      <c r="AB5" s="402"/>
      <c r="AC5" s="402"/>
      <c r="AD5" s="402"/>
      <c r="AE5" s="402"/>
      <c r="AF5" s="402"/>
      <c r="AG5" s="402"/>
      <c r="AH5" s="402"/>
      <c r="AI5" s="402"/>
      <c r="AJ5" s="402"/>
      <c r="AK5" s="402"/>
    </row>
    <row r="6" spans="1:38" ht="15.5" customHeight="1" x14ac:dyDescent="0.2">
      <c r="A6" s="402"/>
      <c r="B6" s="440" t="s">
        <v>981</v>
      </c>
      <c r="C6" s="422" t="s">
        <v>982</v>
      </c>
      <c r="D6" s="402"/>
      <c r="E6" s="436" t="s">
        <v>983</v>
      </c>
      <c r="F6" s="422" t="s">
        <v>984</v>
      </c>
      <c r="G6" s="402"/>
      <c r="H6" s="460" t="s">
        <v>985</v>
      </c>
      <c r="I6" s="422" t="s">
        <v>986</v>
      </c>
      <c r="J6" s="402"/>
      <c r="K6" s="418" t="s">
        <v>987</v>
      </c>
      <c r="L6" s="422" t="s">
        <v>988</v>
      </c>
      <c r="M6" s="402"/>
      <c r="N6" s="423" t="s">
        <v>989</v>
      </c>
      <c r="O6" s="422" t="s">
        <v>990</v>
      </c>
      <c r="P6" s="402"/>
      <c r="Q6" s="438" t="s">
        <v>991</v>
      </c>
      <c r="R6" s="422" t="s">
        <v>992</v>
      </c>
      <c r="S6" s="402"/>
      <c r="T6" s="402"/>
      <c r="U6" s="402"/>
      <c r="V6" s="402"/>
      <c r="W6" s="402"/>
      <c r="X6" s="402"/>
      <c r="Y6" s="402"/>
      <c r="Z6" s="402"/>
      <c r="AA6" s="402"/>
      <c r="AB6" s="402"/>
      <c r="AC6" s="402"/>
      <c r="AD6" s="402"/>
      <c r="AE6" s="402"/>
      <c r="AF6" s="402"/>
      <c r="AG6" s="402"/>
      <c r="AH6" s="402"/>
      <c r="AI6" s="402"/>
      <c r="AJ6" s="402"/>
      <c r="AK6" s="402"/>
    </row>
    <row r="7" spans="1:38" ht="15.5" customHeight="1" x14ac:dyDescent="0.2">
      <c r="A7" s="402"/>
      <c r="B7" s="441"/>
      <c r="C7" s="420">
        <f>SUMPRODUCT((YEAR(Transactions!$C$9:$C$5000)=$J$3)*(Transactions!$F$9:$F$5000="Income")*Transactions!$H$9:$H$5000)</f>
        <v>389321</v>
      </c>
      <c r="D7" s="402"/>
      <c r="E7" s="437"/>
      <c r="F7" s="420">
        <f>SUMPRODUCT((YEAR(Transactions!$C$9:$C$5000)=$J$3)*(Transactions!$F$9:$F$5000="Expense")*Transactions!$H$9:$H$5000)</f>
        <v>479689.43999999994</v>
      </c>
      <c r="G7" s="402"/>
      <c r="H7" s="461"/>
      <c r="I7" s="420">
        <f>SUMPRODUCT((YEAR(Transactions!$C$9:$C$5000)=$J$3)*(Transactions!$F$9:$F$5000="Investment")*Transactions!$H$9:$H$5000)</f>
        <v>67386</v>
      </c>
      <c r="J7" s="402"/>
      <c r="K7" s="419"/>
      <c r="L7" s="420">
        <f>C7-F7-I7</f>
        <v>-157754.43999999994</v>
      </c>
      <c r="M7" s="402"/>
      <c r="N7" s="424"/>
      <c r="O7" s="420">
        <f>IFERROR((C7-F7-I7)/C7,0)</f>
        <v>-0.40520403471685307</v>
      </c>
      <c r="P7" s="402"/>
      <c r="Q7" s="439"/>
      <c r="R7" s="420">
        <f>SUMPRODUCT((YEAR(Transactions!$C$9:$C$5000)=$J$3)*(Transactions!$C$9:$C$5000&lt;&gt;""))</f>
        <v>113</v>
      </c>
      <c r="S7" s="402"/>
      <c r="T7" s="402"/>
      <c r="U7" s="402"/>
      <c r="V7" s="402"/>
      <c r="W7" s="402"/>
      <c r="X7" s="402"/>
      <c r="Y7" s="402"/>
      <c r="Z7" s="402"/>
      <c r="AA7" s="402"/>
      <c r="AB7" s="402"/>
      <c r="AC7" s="402"/>
      <c r="AD7" s="402"/>
      <c r="AE7" s="402"/>
      <c r="AF7" s="402"/>
      <c r="AG7" s="402"/>
      <c r="AH7" s="402"/>
      <c r="AI7" s="402"/>
      <c r="AJ7" s="402"/>
      <c r="AK7" s="402"/>
    </row>
    <row r="8" spans="1:38" ht="15.5" customHeight="1" x14ac:dyDescent="0.2">
      <c r="A8" s="402"/>
      <c r="B8" s="444"/>
      <c r="C8" s="421"/>
      <c r="D8" s="402"/>
      <c r="E8" s="458"/>
      <c r="F8" s="421"/>
      <c r="G8" s="402"/>
      <c r="H8" s="427"/>
      <c r="I8" s="421"/>
      <c r="J8" s="402"/>
      <c r="K8" s="455"/>
      <c r="L8" s="421"/>
      <c r="M8" s="402"/>
      <c r="N8" s="434"/>
      <c r="O8" s="421"/>
      <c r="P8" s="402"/>
      <c r="Q8" s="442"/>
      <c r="R8" s="421"/>
      <c r="S8" s="402"/>
      <c r="T8" s="402"/>
      <c r="U8" s="402"/>
      <c r="V8" s="402"/>
      <c r="W8" s="402"/>
      <c r="X8" s="402"/>
      <c r="Y8" s="402"/>
      <c r="Z8" s="402"/>
      <c r="AA8" s="402"/>
      <c r="AB8" s="402"/>
      <c r="AC8" s="402"/>
      <c r="AD8" s="402"/>
      <c r="AE8" s="402"/>
      <c r="AF8" s="402"/>
      <c r="AG8" s="402"/>
      <c r="AH8" s="402"/>
      <c r="AI8" s="402"/>
      <c r="AJ8" s="402"/>
      <c r="AK8" s="402"/>
    </row>
    <row r="9" spans="1:38" ht="15.5" customHeight="1" x14ac:dyDescent="0.2">
      <c r="A9" s="402"/>
      <c r="B9" s="445"/>
      <c r="C9" s="425" t="str">
        <f>IF(C7=0,"",IF(C7&gt;=(SUMPRODUCT((YEAR(Transactions!$C$9:$C$5000)=$J$3-1)*(Transactions!$F$9:$F$5000="Income")*Transactions!$H$9:$H$5000)),"▲ ","▼ ")&amp;TEXT(ABS((C7-(SUMPRODUCT((YEAR(Transactions!$C$9:$C$5000)=$J$3-1)*(Transactions!$F$9:$F$5000="Income")*Transactions!$H$9:$H$5000)))/(SUMPRODUCT((YEAR(Transactions!$C$9:$C$5000)=$J$3-1)*(Transactions!$F$9:$F$5000="Income")*Transactions!$H$9:$H$5000))),"0.0%")&amp;" YoY")</f>
        <v>▼ 41.9% YoY</v>
      </c>
      <c r="D9" s="402"/>
      <c r="E9" s="459"/>
      <c r="F9" s="425" t="str">
        <f>IF(F7=0,"",IF(F7&gt;=(SUMPRODUCT((YEAR(Transactions!$C$9:$C$5000)=$J$3-1)*(Transactions!$F$9:$F$5000="Expense")*Transactions!$H$9:$H$5000)),"▲ ","▼ ")&amp;TEXT(ABS((F7-(SUMPRODUCT((YEAR(Transactions!$C$9:$C$5000)=$J$3-1)*(Transactions!$F$9:$F$5000="Expense")*Transactions!$H$9:$H$5000)))/(SUMPRODUCT((YEAR(Transactions!$C$9:$C$5000)=$J$3-1)*(Transactions!$F$9:$F$5000="Expense")*Transactions!$H$9:$H$5000))),"0.0%")&amp;" YoY")</f>
        <v>▼ 40.6% YoY</v>
      </c>
      <c r="G9" s="402"/>
      <c r="H9" s="428"/>
      <c r="I9" s="425" t="str">
        <f>IF(I7=0,"",IF(I7&gt;=(SUMPRODUCT((YEAR(Transactions!$C$9:$C$5000)=$J$3-1)*(Transactions!$F$9:$F$5000="Investment")*Transactions!$H$9:$H$5000)),"▲ ","▼ ")&amp;TEXT(ABS((I7-(SUMPRODUCT((YEAR(Transactions!$C$9:$C$5000)=$J$3-1)*(Transactions!$F$9:$F$5000="Investment")*Transactions!$H$9:$H$5000)))/(SUMPRODUCT((YEAR(Transactions!$C$9:$C$5000)=$J$3-1)*(Transactions!$F$9:$F$5000="Investment")*Transactions!$H$9:$H$5000))),"0.0%")&amp;" YoY")</f>
        <v>▲ 224.1% YoY</v>
      </c>
      <c r="J9" s="402"/>
      <c r="K9" s="456"/>
      <c r="L9" s="425" t="str">
        <f>TEXT(L7,"+₹#,##0;-₹#,##0")&amp;" this yr"</f>
        <v>-₹1,57,754 this yr</v>
      </c>
      <c r="M9" s="402"/>
      <c r="N9" s="435"/>
      <c r="O9" s="425" t="s">
        <v>993</v>
      </c>
      <c r="P9" s="402"/>
      <c r="Q9" s="443"/>
      <c r="R9" s="425" t="s">
        <v>994</v>
      </c>
      <c r="S9" s="402"/>
      <c r="T9" s="402"/>
      <c r="U9" s="402"/>
      <c r="V9" s="402"/>
      <c r="W9" s="402"/>
      <c r="X9" s="402"/>
      <c r="Y9" s="402"/>
      <c r="Z9" s="402"/>
      <c r="AA9" s="402"/>
      <c r="AB9" s="402"/>
      <c r="AC9" s="402"/>
      <c r="AD9" s="402"/>
      <c r="AE9" s="402"/>
      <c r="AF9" s="402"/>
      <c r="AG9" s="402"/>
      <c r="AH9" s="402"/>
      <c r="AI9" s="402"/>
      <c r="AJ9" s="402"/>
      <c r="AK9" s="402"/>
    </row>
    <row r="10" spans="1:38" ht="15.5" customHeight="1" x14ac:dyDescent="0.2">
      <c r="A10" s="402"/>
      <c r="B10" s="402"/>
      <c r="C10" s="402"/>
      <c r="D10" s="402"/>
      <c r="E10" s="402"/>
      <c r="F10" s="402"/>
      <c r="G10" s="402"/>
      <c r="H10" s="402"/>
      <c r="I10" s="402"/>
      <c r="J10" s="402"/>
      <c r="K10" s="402"/>
      <c r="L10" s="402"/>
      <c r="M10" s="402"/>
      <c r="N10" s="402"/>
      <c r="O10" s="402"/>
      <c r="P10" s="402"/>
      <c r="Q10" s="402"/>
      <c r="R10" s="402"/>
      <c r="S10" s="402"/>
      <c r="T10" s="402"/>
      <c r="U10" s="402"/>
      <c r="V10" s="402"/>
      <c r="W10" s="402"/>
      <c r="X10" s="402"/>
      <c r="Y10" s="402"/>
      <c r="Z10" s="402"/>
      <c r="AA10" s="402"/>
      <c r="AB10" s="402"/>
      <c r="AC10" s="402"/>
      <c r="AD10" s="402"/>
      <c r="AE10" s="402"/>
      <c r="AF10" s="402"/>
      <c r="AG10" s="402"/>
      <c r="AH10" s="402"/>
      <c r="AI10" s="402"/>
      <c r="AJ10" s="402"/>
      <c r="AK10" s="402"/>
    </row>
    <row r="11" spans="1:38" ht="15.5" customHeight="1" x14ac:dyDescent="0.2">
      <c r="A11" s="402"/>
      <c r="B11" s="405" t="s">
        <v>995</v>
      </c>
      <c r="C11" s="402"/>
      <c r="D11" s="402"/>
      <c r="E11" s="402"/>
      <c r="F11" s="402"/>
      <c r="G11" s="402"/>
      <c r="H11" s="402"/>
      <c r="I11" s="402"/>
      <c r="J11" s="405" t="s">
        <v>996</v>
      </c>
      <c r="K11" s="402"/>
      <c r="L11" s="402"/>
      <c r="M11" s="402"/>
      <c r="N11" s="402"/>
      <c r="O11" s="402"/>
      <c r="P11" s="402"/>
      <c r="Q11" s="402"/>
      <c r="R11" s="405" t="s">
        <v>997</v>
      </c>
      <c r="S11" s="402"/>
      <c r="T11" s="402"/>
      <c r="U11" s="404" t="s">
        <v>998</v>
      </c>
      <c r="V11" s="402"/>
      <c r="W11" s="402"/>
      <c r="X11" s="402"/>
      <c r="Y11" s="402"/>
      <c r="Z11" s="402"/>
      <c r="AA11" s="402"/>
      <c r="AB11" s="402"/>
      <c r="AC11" s="402"/>
      <c r="AD11" s="402"/>
      <c r="AE11" s="402"/>
      <c r="AF11" s="402"/>
      <c r="AG11" s="402"/>
      <c r="AH11" s="402"/>
      <c r="AI11" s="402"/>
      <c r="AJ11" s="402"/>
      <c r="AK11" s="404" t="s">
        <v>999</v>
      </c>
    </row>
    <row r="12" spans="1:38" ht="15.5" customHeight="1" x14ac:dyDescent="0.2">
      <c r="A12" s="402"/>
      <c r="B12" s="402"/>
      <c r="C12" s="402"/>
      <c r="D12" s="402"/>
      <c r="E12" s="402"/>
      <c r="F12" s="402"/>
      <c r="G12" s="402"/>
      <c r="H12" s="402"/>
      <c r="I12" s="402"/>
      <c r="J12" s="402"/>
      <c r="K12" s="402"/>
      <c r="L12" s="402"/>
      <c r="M12" s="402"/>
      <c r="N12" s="402"/>
      <c r="O12" s="402"/>
      <c r="P12" s="402"/>
      <c r="Q12" s="402"/>
      <c r="R12" s="402"/>
      <c r="S12" s="402"/>
      <c r="T12" s="402"/>
      <c r="U12" s="402" t="s">
        <v>1000</v>
      </c>
      <c r="V12" s="402" t="s">
        <v>277</v>
      </c>
      <c r="W12" s="402" t="s">
        <v>274</v>
      </c>
      <c r="X12" s="402" t="s">
        <v>1001</v>
      </c>
      <c r="Y12" s="402" t="s">
        <v>1002</v>
      </c>
      <c r="Z12" s="402" t="s">
        <v>854</v>
      </c>
      <c r="AA12" s="402"/>
      <c r="AB12" s="402" t="s">
        <v>1003</v>
      </c>
      <c r="AC12" s="402" t="s">
        <v>854</v>
      </c>
      <c r="AD12" s="402"/>
      <c r="AE12" s="402" t="s">
        <v>1004</v>
      </c>
      <c r="AF12" s="402" t="s">
        <v>854</v>
      </c>
      <c r="AG12" s="402"/>
      <c r="AH12" s="402" t="s">
        <v>1005</v>
      </c>
      <c r="AI12" s="402" t="s">
        <v>855</v>
      </c>
      <c r="AJ12" s="402"/>
      <c r="AK12" s="402" t="s">
        <v>1002</v>
      </c>
      <c r="AL12" t="s">
        <v>854</v>
      </c>
    </row>
    <row r="13" spans="1:38" ht="15.5" customHeight="1" x14ac:dyDescent="0.2">
      <c r="A13" s="402"/>
      <c r="B13" s="402"/>
      <c r="C13" s="402"/>
      <c r="D13" s="402"/>
      <c r="E13" s="402"/>
      <c r="F13" s="402"/>
      <c r="G13" s="402"/>
      <c r="H13" s="402"/>
      <c r="I13" s="402"/>
      <c r="J13" s="402"/>
      <c r="K13" s="402"/>
      <c r="L13" s="402"/>
      <c r="M13" s="402"/>
      <c r="N13" s="402"/>
      <c r="O13" s="402"/>
      <c r="P13" s="402"/>
      <c r="Q13" s="402"/>
      <c r="R13" s="402"/>
      <c r="S13" s="402"/>
      <c r="T13" s="402"/>
      <c r="U13" s="402" t="s">
        <v>256</v>
      </c>
      <c r="V13" s="402">
        <f>SUMPRODUCT((YEAR(Transactions!$C$9:$C$5000)=$J$3)*(MONTH(Transactions!$C$9:$C$5000)=1)*(Transactions!$F$9:$F$5000="Income")*Transactions!$H$9:$H$5000)</f>
        <v>120874</v>
      </c>
      <c r="W13" s="402">
        <f>SUMPRODUCT((YEAR(Transactions!$C$9:$C$5000)=$J$3)*(MONTH(Transactions!$C$9:$C$5000)=1)*(Transactions!$F$9:$F$5000="Expense")*Transactions!$H$9:$H$5000)</f>
        <v>33853.599999999999</v>
      </c>
      <c r="X13" s="402">
        <f t="shared" ref="X13:X24" si="0">IFERROR((V13-W13)/V13,0)</f>
        <v>0.71992653506957649</v>
      </c>
      <c r="Y13" s="402" t="str">
        <f t="shared" ref="Y13:Y18" si="1">IFERROR(INDEX($AK$13:$AK$32,MATCH(Z13,$AL$13:$AL$32,0)),"")</f>
        <v>Nisha</v>
      </c>
      <c r="Z13" s="402">
        <f>LARGE($AL$13:$AL$32,1)</f>
        <v>131700</v>
      </c>
      <c r="AA13" s="402"/>
      <c r="AB13" s="402" t="s">
        <v>333</v>
      </c>
      <c r="AC13" s="402">
        <f>SUMPRODUCT((YEAR(Transactions!$C$9:$C$5000)=$J$3)*(Transactions!$J$9:$J$5000="UPI")*Transactions!$H$9:$H$5000)</f>
        <v>77492</v>
      </c>
      <c r="AD13" s="402"/>
      <c r="AE13" s="402" t="s">
        <v>277</v>
      </c>
      <c r="AF13" s="402">
        <f>C7</f>
        <v>389321</v>
      </c>
      <c r="AG13" s="402"/>
      <c r="AH13" s="402" t="str">
        <f>IFERROR(INDEX(Settings!$E$13:$E$34,MATCH(AI13,Settings!$F$13:$F$34,0)),"")</f>
        <v>Papa</v>
      </c>
      <c r="AI13" s="402">
        <f>LARGE(Settings!$F$13:$F$34,1)</f>
        <v>112942</v>
      </c>
      <c r="AJ13" s="402"/>
      <c r="AK13" s="402" t="str">
        <f>Settings!$D$13</f>
        <v>Alka</v>
      </c>
      <c r="AL13">
        <f>IF(AK13="",0,SUMPRODUCT((YEAR(Transactions!$C$9:$C$5000)=$J$3)*(Transactions!$F$9:$F$5000="Expense")*(Transactions!$G$9:$G$5000=AK13)*Transactions!$H$9:$H$5000))</f>
        <v>44600</v>
      </c>
    </row>
    <row r="14" spans="1:38" ht="15.5" customHeight="1" x14ac:dyDescent="0.2">
      <c r="A14" s="402"/>
      <c r="B14" s="402"/>
      <c r="C14" s="402"/>
      <c r="D14" s="402"/>
      <c r="E14" s="402"/>
      <c r="F14" s="402"/>
      <c r="G14" s="402"/>
      <c r="H14" s="402"/>
      <c r="I14" s="402"/>
      <c r="J14" s="402"/>
      <c r="K14" s="402"/>
      <c r="L14" s="402"/>
      <c r="M14" s="402"/>
      <c r="N14" s="402"/>
      <c r="O14" s="402"/>
      <c r="P14" s="402"/>
      <c r="Q14" s="402"/>
      <c r="R14" s="402"/>
      <c r="S14" s="402"/>
      <c r="T14" s="402"/>
      <c r="U14" s="402" t="s">
        <v>258</v>
      </c>
      <c r="V14" s="402">
        <f>SUMPRODUCT((YEAR(Transactions!$C$9:$C$5000)=$J$3)*(MONTH(Transactions!$C$9:$C$5000)=2)*(Transactions!$F$9:$F$5000="Income")*Transactions!$H$9:$H$5000)</f>
        <v>50500</v>
      </c>
      <c r="W14" s="402">
        <f>SUMPRODUCT((YEAR(Transactions!$C$9:$C$5000)=$J$3)*(MONTH(Transactions!$C$9:$C$5000)=2)*(Transactions!$F$9:$F$5000="Expense")*Transactions!$H$9:$H$5000)</f>
        <v>143053.24000000002</v>
      </c>
      <c r="X14" s="402">
        <f t="shared" si="0"/>
        <v>-1.8327374257425746</v>
      </c>
      <c r="Y14" s="402" t="str">
        <f t="shared" si="1"/>
        <v>Rajan</v>
      </c>
      <c r="Z14" s="402">
        <f>LARGE($AL$13:$AL$32,2)</f>
        <v>79206.55</v>
      </c>
      <c r="AA14" s="402"/>
      <c r="AB14" s="402" t="s">
        <v>275</v>
      </c>
      <c r="AC14" s="402">
        <f>SUMPRODUCT((YEAR(Transactions!$C$9:$C$5000)=$J$3)*(Transactions!$J$9:$J$5000="Net Banking")*Transactions!$H$9:$H$5000)</f>
        <v>50500</v>
      </c>
      <c r="AD14" s="402"/>
      <c r="AE14" s="402" t="s">
        <v>274</v>
      </c>
      <c r="AF14" s="402">
        <f>F7</f>
        <v>479689.43999999994</v>
      </c>
      <c r="AG14" s="402"/>
      <c r="AH14" s="402" t="str">
        <f>IFERROR(INDEX(Settings!$E$13:$E$34,MATCH(AI14,Settings!$F$13:$F$34,0)),"")</f>
        <v>Anuj Bhaiya</v>
      </c>
      <c r="AI14" s="402">
        <f>LARGE(Settings!$F$13:$F$34,2)</f>
        <v>105000</v>
      </c>
      <c r="AJ14" s="402"/>
      <c r="AK14" s="402" t="str">
        <f>Settings!$D$14</f>
        <v>Cashflow</v>
      </c>
      <c r="AL14">
        <f>IF(AK14="",0,SUMPRODUCT((YEAR(Transactions!$C$9:$C$5000)=$J$3)*(Transactions!$F$9:$F$5000="Expense")*(Transactions!$G$9:$G$5000=AK14)*Transactions!$H$9:$H$5000))</f>
        <v>0</v>
      </c>
    </row>
    <row r="15" spans="1:38" ht="15.5" customHeight="1" x14ac:dyDescent="0.2">
      <c r="A15" s="402"/>
      <c r="B15" s="402"/>
      <c r="C15" s="402"/>
      <c r="D15" s="402"/>
      <c r="E15" s="402"/>
      <c r="F15" s="402"/>
      <c r="G15" s="402"/>
      <c r="H15" s="402"/>
      <c r="I15" s="402"/>
      <c r="J15" s="402"/>
      <c r="K15" s="402"/>
      <c r="L15" s="402"/>
      <c r="M15" s="402"/>
      <c r="N15" s="402"/>
      <c r="O15" s="402"/>
      <c r="P15" s="402"/>
      <c r="Q15" s="402"/>
      <c r="R15" s="402"/>
      <c r="S15" s="402"/>
      <c r="T15" s="402"/>
      <c r="U15" s="402" t="s">
        <v>260</v>
      </c>
      <c r="V15" s="402">
        <f>SUMPRODUCT((YEAR(Transactions!$C$9:$C$5000)=$J$3)*(MONTH(Transactions!$C$9:$C$5000)=3)*(Transactions!$F$9:$F$5000="Income")*Transactions!$H$9:$H$5000)</f>
        <v>50500</v>
      </c>
      <c r="W15" s="402">
        <f>SUMPRODUCT((YEAR(Transactions!$C$9:$C$5000)=$J$3)*(MONTH(Transactions!$C$9:$C$5000)=3)*(Transactions!$F$9:$F$5000="Expense")*Transactions!$H$9:$H$5000)</f>
        <v>65611.799999999988</v>
      </c>
      <c r="X15" s="402">
        <f t="shared" si="0"/>
        <v>-0.2992435643564354</v>
      </c>
      <c r="Y15" s="402" t="str">
        <f t="shared" si="1"/>
        <v>Pawan</v>
      </c>
      <c r="Z15" s="402">
        <f>LARGE($AL$13:$AL$32,3)</f>
        <v>55171</v>
      </c>
      <c r="AA15" s="402"/>
      <c r="AB15" s="402" t="s">
        <v>426</v>
      </c>
      <c r="AC15" s="402">
        <f>SUMPRODUCT((YEAR(Transactions!$C$9:$C$5000)=$J$3)*(Transactions!$J$9:$J$5000="Credit Card")*Transactions!$H$9:$H$5000)</f>
        <v>26002</v>
      </c>
      <c r="AD15" s="402"/>
      <c r="AE15" s="402" t="s">
        <v>30</v>
      </c>
      <c r="AF15" s="402">
        <f>I7</f>
        <v>67386</v>
      </c>
      <c r="AG15" s="402"/>
      <c r="AH15" s="402" t="str">
        <f>IFERROR(INDEX(Settings!$E$13:$E$34,MATCH(AI15,Settings!$F$13:$F$34,0)),"")</f>
        <v>Bholu bhaiya</v>
      </c>
      <c r="AI15" s="402">
        <f>LARGE(Settings!$F$13:$F$34,3)</f>
        <v>58772.2</v>
      </c>
      <c r="AJ15" s="402"/>
      <c r="AK15" s="402" t="str">
        <f>Settings!$D$15</f>
        <v>Delhi</v>
      </c>
      <c r="AL15">
        <f>IF(AK15="",0,SUMPRODUCT((YEAR(Transactions!$C$9:$C$5000)=$J$3)*(Transactions!$F$9:$F$5000="Expense")*(Transactions!$G$9:$G$5000=AK15)*Transactions!$H$9:$H$5000))</f>
        <v>47375.89</v>
      </c>
    </row>
    <row r="16" spans="1:38" ht="15.5" customHeight="1" x14ac:dyDescent="0.2">
      <c r="A16" s="402"/>
      <c r="B16" s="402"/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 t="s">
        <v>262</v>
      </c>
      <c r="V16" s="402">
        <f>SUMPRODUCT((YEAR(Transactions!$C$9:$C$5000)=$J$3)*(MONTH(Transactions!$C$9:$C$5000)=4)*(Transactions!$F$9:$F$5000="Income")*Transactions!$H$9:$H$5000)</f>
        <v>53055</v>
      </c>
      <c r="W16" s="402">
        <f>SUMPRODUCT((YEAR(Transactions!$C$9:$C$5000)=$J$3)*(MONTH(Transactions!$C$9:$C$5000)=4)*(Transactions!$F$9:$F$5000="Expense")*Transactions!$H$9:$H$5000)</f>
        <v>79968.200000000012</v>
      </c>
      <c r="X16" s="402">
        <f t="shared" si="0"/>
        <v>-0.50726981434360596</v>
      </c>
      <c r="Y16" s="402" t="str">
        <f t="shared" si="1"/>
        <v>Home</v>
      </c>
      <c r="Z16" s="402">
        <f>LARGE($AL$13:$AL$32,4)</f>
        <v>51509</v>
      </c>
      <c r="AA16" s="402"/>
      <c r="AB16" s="402" t="s">
        <v>533</v>
      </c>
      <c r="AC16" s="402">
        <f>SUMPRODUCT((YEAR(Transactions!$C$9:$C$5000)=$J$3)*(Transactions!$J$9:$J$5000="Cash")*Transactions!$H$9:$H$5000)</f>
        <v>8200</v>
      </c>
      <c r="AD16" s="402"/>
      <c r="AE16" s="402"/>
      <c r="AF16" s="402"/>
      <c r="AG16" s="402"/>
      <c r="AH16" s="402" t="str">
        <f>IFERROR(INDEX(Settings!$E$13:$E$34,MATCH(AI16,Settings!$F$13:$F$34,0)),"")</f>
        <v>Bitan Bhaiya</v>
      </c>
      <c r="AI16" s="402">
        <f>LARGE(Settings!$F$13:$F$34,4)</f>
        <v>43341.600000000006</v>
      </c>
      <c r="AJ16" s="402"/>
      <c r="AK16" s="402" t="str">
        <f>Settings!$D$16</f>
        <v>Delhi Room</v>
      </c>
      <c r="AL16">
        <f>IF(AK16="",0,SUMPRODUCT((YEAR(Transactions!$C$9:$C$5000)=$J$3)*(Transactions!$F$9:$F$5000="Expense")*(Transactions!$G$9:$G$5000=AK16)*Transactions!$H$9:$H$5000))</f>
        <v>42640</v>
      </c>
    </row>
    <row r="17" spans="1:38" ht="15.5" customHeight="1" x14ac:dyDescent="0.2">
      <c r="A17" s="402"/>
      <c r="B17" s="402"/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 t="s">
        <v>39</v>
      </c>
      <c r="V17" s="402">
        <f>SUMPRODUCT((YEAR(Transactions!$C$9:$C$5000)=$J$3)*(MONTH(Transactions!$C$9:$C$5000)=5)*(Transactions!$F$9:$F$5000="Income")*Transactions!$H$9:$H$5000)</f>
        <v>50500</v>
      </c>
      <c r="W17" s="402">
        <f>SUMPRODUCT((YEAR(Transactions!$C$9:$C$5000)=$J$3)*(MONTH(Transactions!$C$9:$C$5000)=5)*(Transactions!$F$9:$F$5000="Expense")*Transactions!$H$9:$H$5000)</f>
        <v>103426.6</v>
      </c>
      <c r="X17" s="402">
        <f t="shared" si="0"/>
        <v>-1.048051485148515</v>
      </c>
      <c r="Y17" s="402" t="str">
        <f t="shared" si="1"/>
        <v>Delhi</v>
      </c>
      <c r="Z17" s="402">
        <f>LARGE($AL$13:$AL$32,5)</f>
        <v>47375.89</v>
      </c>
      <c r="AA17" s="402"/>
      <c r="AB17" s="402" t="s">
        <v>1006</v>
      </c>
      <c r="AC17" s="402">
        <f>SUMPRODUCT((YEAR(Transactions!$C$9:$C$5000)=$J$3)*(Transactions!$J$9:$J$5000="Debit Card")*Transactions!$H$9:$H$5000)</f>
        <v>0</v>
      </c>
      <c r="AD17" s="402"/>
      <c r="AE17" s="402"/>
      <c r="AF17" s="402"/>
      <c r="AG17" s="402"/>
      <c r="AH17" s="402" t="str">
        <f>IFERROR(INDEX(Settings!$E$13:$E$34,MATCH(AI17,Settings!$F$13:$F$34,0)),"")</f>
        <v>Ankit Tiwari</v>
      </c>
      <c r="AI17" s="402">
        <f>LARGE(Settings!$F$13:$F$34,5)</f>
        <v>20000</v>
      </c>
      <c r="AJ17" s="402"/>
      <c r="AK17" s="402" t="str">
        <f>Settings!$D$17</f>
        <v>Ed LOAN</v>
      </c>
      <c r="AL17">
        <f>IF(AK17="",0,SUMPRODUCT((YEAR(Transactions!$C$9:$C$5000)=$J$3)*(Transactions!$F$9:$F$5000="Expense")*(Transactions!$G$9:$G$5000=AK17)*Transactions!$H$9:$H$5000))</f>
        <v>0</v>
      </c>
    </row>
    <row r="18" spans="1:38" ht="15.5" customHeight="1" x14ac:dyDescent="0.2">
      <c r="A18" s="402"/>
      <c r="B18" s="402"/>
      <c r="C18" s="402"/>
      <c r="D18" s="402"/>
      <c r="E18" s="402"/>
      <c r="F18" s="402"/>
      <c r="G18" s="402"/>
      <c r="H18" s="402"/>
      <c r="I18" s="402"/>
      <c r="J18" s="402"/>
      <c r="K18" s="402"/>
      <c r="L18" s="402"/>
      <c r="M18" s="402"/>
      <c r="N18" s="402"/>
      <c r="O18" s="402"/>
      <c r="P18" s="402"/>
      <c r="Q18" s="402"/>
      <c r="R18" s="402"/>
      <c r="S18" s="402"/>
      <c r="T18" s="402"/>
      <c r="U18" s="402" t="s">
        <v>1007</v>
      </c>
      <c r="V18" s="402">
        <f>SUMPRODUCT((YEAR(Transactions!$C$9:$C$5000)=$J$3)*(MONTH(Transactions!$C$9:$C$5000)=6)*(Transactions!$F$9:$F$5000="Income")*Transactions!$H$9:$H$5000)</f>
        <v>50500</v>
      </c>
      <c r="W18" s="402">
        <f>SUMPRODUCT((YEAR(Transactions!$C$9:$C$5000)=$J$3)*(MONTH(Transactions!$C$9:$C$5000)=6)*(Transactions!$F$9:$F$5000="Expense")*Transactions!$H$9:$H$5000)</f>
        <v>34784</v>
      </c>
      <c r="X18" s="402">
        <f t="shared" si="0"/>
        <v>0.31120792079207921</v>
      </c>
      <c r="Y18" s="402" t="str">
        <f t="shared" si="1"/>
        <v>Alka</v>
      </c>
      <c r="Z18" s="402">
        <f>LARGE($AL$13:$AL$32,6)</f>
        <v>44600</v>
      </c>
      <c r="AA18" s="402"/>
      <c r="AB18" s="402" t="s">
        <v>1008</v>
      </c>
      <c r="AC18" s="402">
        <f>SUMPRODUCT((YEAR(Transactions!$C$9:$C$5000)=$J$3)*(Transactions!$J$9:$J$5000="Cheque")*Transactions!$H$9:$H$5000)</f>
        <v>0</v>
      </c>
      <c r="AD18" s="402"/>
      <c r="AE18" s="402"/>
      <c r="AF18" s="402"/>
      <c r="AG18" s="402"/>
      <c r="AH18" s="402"/>
      <c r="AI18" s="402"/>
      <c r="AJ18" s="402"/>
      <c r="AK18" s="402" t="str">
        <f>Settings!$D$18</f>
        <v>Home</v>
      </c>
      <c r="AL18">
        <f>IF(AK18="",0,SUMPRODUCT((YEAR(Transactions!$C$9:$C$5000)=$J$3)*(Transactions!$F$9:$F$5000="Expense")*(Transactions!$G$9:$G$5000=AK18)*Transactions!$H$9:$H$5000))</f>
        <v>51509</v>
      </c>
    </row>
    <row r="19" spans="1:38" ht="15.5" customHeight="1" x14ac:dyDescent="0.2">
      <c r="A19" s="402"/>
      <c r="B19" s="402"/>
      <c r="C19" s="402"/>
      <c r="D19" s="402"/>
      <c r="E19" s="402"/>
      <c r="F19" s="402"/>
      <c r="G19" s="402"/>
      <c r="H19" s="402"/>
      <c r="I19" s="402"/>
      <c r="J19" s="402"/>
      <c r="K19" s="402"/>
      <c r="L19" s="402"/>
      <c r="M19" s="402"/>
      <c r="N19" s="402"/>
      <c r="O19" s="402"/>
      <c r="P19" s="402"/>
      <c r="Q19" s="402"/>
      <c r="R19" s="402"/>
      <c r="S19" s="402"/>
      <c r="T19" s="402"/>
      <c r="U19" s="402" t="s">
        <v>1009</v>
      </c>
      <c r="V19" s="402">
        <f>SUMPRODUCT((YEAR(Transactions!$C$9:$C$5000)=$J$3)*(MONTH(Transactions!$C$9:$C$5000)=7)*(Transactions!$F$9:$F$5000="Income")*Transactions!$H$9:$H$5000)</f>
        <v>0</v>
      </c>
      <c r="W19" s="402">
        <f>SUMPRODUCT((YEAR(Transactions!$C$9:$C$5000)=$J$3)*(MONTH(Transactions!$C$9:$C$5000)=7)*(Transactions!$F$9:$F$5000="Expense")*Transactions!$H$9:$H$5000)</f>
        <v>18992</v>
      </c>
      <c r="X19" s="402">
        <f t="shared" si="0"/>
        <v>0</v>
      </c>
      <c r="Y19" s="402" t="s">
        <v>86</v>
      </c>
      <c r="Z19" s="402">
        <f>F7-SUM(Z13:Z18)</f>
        <v>70126.999999999942</v>
      </c>
      <c r="AA19" s="402"/>
      <c r="AB19" s="402" t="s">
        <v>86</v>
      </c>
      <c r="AC19" s="402">
        <f>SUMPRODUCT((YEAR(Transactions!$C$9:$C$5000)=$J$3)*(Transactions!$J$9:$J$5000="Other")*Transactions!$H$9:$H$5000)</f>
        <v>0</v>
      </c>
      <c r="AD19" s="402"/>
      <c r="AE19" s="402"/>
      <c r="AF19" s="402"/>
      <c r="AG19" s="402"/>
      <c r="AH19" s="402"/>
      <c r="AI19" s="402"/>
      <c r="AJ19" s="402"/>
      <c r="AK19" s="402" t="str">
        <f>Settings!$D$19</f>
        <v>Nisha</v>
      </c>
      <c r="AL19">
        <f>IF(AK19="",0,SUMPRODUCT((YEAR(Transactions!$C$9:$C$5000)=$J$3)*(Transactions!$F$9:$F$5000="Expense")*(Transactions!$G$9:$G$5000=AK19)*Transactions!$H$9:$H$5000))</f>
        <v>131700</v>
      </c>
    </row>
    <row r="20" spans="1:38" ht="15.5" customHeight="1" x14ac:dyDescent="0.2">
      <c r="A20" s="402"/>
      <c r="B20" s="402"/>
      <c r="C20" s="402"/>
      <c r="D20" s="402"/>
      <c r="E20" s="402"/>
      <c r="F20" s="402"/>
      <c r="G20" s="402"/>
      <c r="H20" s="402"/>
      <c r="I20" s="402"/>
      <c r="J20" s="402"/>
      <c r="K20" s="402"/>
      <c r="L20" s="402"/>
      <c r="M20" s="402"/>
      <c r="N20" s="402"/>
      <c r="O20" s="402"/>
      <c r="P20" s="402"/>
      <c r="Q20" s="402"/>
      <c r="R20" s="402"/>
      <c r="S20" s="402"/>
      <c r="T20" s="402"/>
      <c r="U20" s="402" t="s">
        <v>269</v>
      </c>
      <c r="V20" s="402">
        <f>SUMPRODUCT((YEAR(Transactions!$C$9:$C$5000)=$J$3)*(MONTH(Transactions!$C$9:$C$5000)=8)*(Transactions!$F$9:$F$5000="Income")*Transactions!$H$9:$H$5000)</f>
        <v>13392</v>
      </c>
      <c r="W20" s="402">
        <f>SUMPRODUCT((YEAR(Transactions!$C$9:$C$5000)=$J$3)*(MONTH(Transactions!$C$9:$C$5000)=8)*(Transactions!$F$9:$F$5000="Expense")*Transactions!$H$9:$H$5000)</f>
        <v>0</v>
      </c>
      <c r="X20" s="402">
        <f t="shared" si="0"/>
        <v>1</v>
      </c>
      <c r="Y20" s="402"/>
      <c r="Z20" s="402"/>
      <c r="AA20" s="402"/>
      <c r="AB20" s="402"/>
      <c r="AC20" s="402"/>
      <c r="AD20" s="402"/>
      <c r="AE20" s="402"/>
      <c r="AF20" s="402"/>
      <c r="AG20" s="402"/>
      <c r="AH20" s="402"/>
      <c r="AI20" s="402"/>
      <c r="AJ20" s="402"/>
      <c r="AK20" s="402" t="str">
        <f>Settings!$D$20</f>
        <v>Other</v>
      </c>
      <c r="AL20">
        <f>IF(AK20="",0,SUMPRODUCT((YEAR(Transactions!$C$9:$C$5000)=$J$3)*(Transactions!$F$9:$F$5000="Expense")*(Transactions!$G$9:$G$5000=AK20)*Transactions!$H$9:$H$5000))</f>
        <v>500</v>
      </c>
    </row>
    <row r="21" spans="1:38" ht="15.5" customHeight="1" x14ac:dyDescent="0.2">
      <c r="A21" s="402"/>
      <c r="B21" s="402"/>
      <c r="C21" s="402"/>
      <c r="D21" s="402"/>
      <c r="E21" s="402"/>
      <c r="F21" s="402"/>
      <c r="G21" s="402"/>
      <c r="H21" s="402"/>
      <c r="I21" s="402"/>
      <c r="J21" s="402"/>
      <c r="K21" s="402"/>
      <c r="L21" s="402"/>
      <c r="M21" s="402"/>
      <c r="N21" s="402"/>
      <c r="O21" s="402"/>
      <c r="P21" s="402"/>
      <c r="Q21" s="402"/>
      <c r="R21" s="402"/>
      <c r="S21" s="402"/>
      <c r="T21" s="402"/>
      <c r="U21" s="402" t="s">
        <v>1010</v>
      </c>
      <c r="V21" s="402">
        <f>SUMPRODUCT((YEAR(Transactions!$C$9:$C$5000)=$J$3)*(MONTH(Transactions!$C$9:$C$5000)=9)*(Transactions!$F$9:$F$5000="Income")*Transactions!$H$9:$H$5000)</f>
        <v>0</v>
      </c>
      <c r="W21" s="402">
        <f>SUMPRODUCT((YEAR(Transactions!$C$9:$C$5000)=$J$3)*(MONTH(Transactions!$C$9:$C$5000)=9)*(Transactions!$F$9:$F$5000="Expense")*Transactions!$H$9:$H$5000)</f>
        <v>0</v>
      </c>
      <c r="X21" s="402">
        <f t="shared" si="0"/>
        <v>0</v>
      </c>
      <c r="Y21" s="402"/>
      <c r="Z21" s="402"/>
      <c r="AA21" s="402"/>
      <c r="AB21" s="402"/>
      <c r="AC21" s="402"/>
      <c r="AD21" s="402"/>
      <c r="AE21" s="402"/>
      <c r="AF21" s="402"/>
      <c r="AG21" s="402"/>
      <c r="AH21" s="402"/>
      <c r="AI21" s="402"/>
      <c r="AJ21" s="402"/>
      <c r="AK21" s="402" t="str">
        <f>Settings!$D$21</f>
        <v>Pawan</v>
      </c>
      <c r="AL21">
        <f>IF(AK21="",0,SUMPRODUCT((YEAR(Transactions!$C$9:$C$5000)=$J$3)*(Transactions!$F$9:$F$5000="Expense")*(Transactions!$G$9:$G$5000=AK21)*Transactions!$H$9:$H$5000))</f>
        <v>55171</v>
      </c>
    </row>
    <row r="22" spans="1:38" ht="15.5" customHeight="1" x14ac:dyDescent="0.2">
      <c r="A22" s="402"/>
      <c r="B22" s="402"/>
      <c r="C22" s="402"/>
      <c r="D22" s="402"/>
      <c r="E22" s="402"/>
      <c r="F22" s="402"/>
      <c r="G22" s="402"/>
      <c r="H22" s="402"/>
      <c r="I22" s="402"/>
      <c r="J22" s="402"/>
      <c r="K22" s="402"/>
      <c r="L22" s="402"/>
      <c r="M22" s="402"/>
      <c r="N22" s="402"/>
      <c r="O22" s="402"/>
      <c r="P22" s="402"/>
      <c r="Q22" s="402"/>
      <c r="R22" s="402"/>
      <c r="S22" s="402"/>
      <c r="T22" s="402"/>
      <c r="U22" s="402" t="s">
        <v>345</v>
      </c>
      <c r="V22" s="402">
        <f>SUMPRODUCT((YEAR(Transactions!$C$9:$C$5000)=$J$3)*(MONTH(Transactions!$C$9:$C$5000)=10)*(Transactions!$F$9:$F$5000="Income")*Transactions!$H$9:$H$5000)</f>
        <v>0</v>
      </c>
      <c r="W22" s="402">
        <f>SUMPRODUCT((YEAR(Transactions!$C$9:$C$5000)=$J$3)*(MONTH(Transactions!$C$9:$C$5000)=10)*(Transactions!$F$9:$F$5000="Expense")*Transactions!$H$9:$H$5000)</f>
        <v>0</v>
      </c>
      <c r="X22" s="402">
        <f t="shared" si="0"/>
        <v>0</v>
      </c>
      <c r="Y22" s="402"/>
      <c r="Z22" s="402"/>
      <c r="AA22" s="402"/>
      <c r="AB22" s="402"/>
      <c r="AC22" s="402"/>
      <c r="AD22" s="402"/>
      <c r="AE22" s="402"/>
      <c r="AF22" s="402"/>
      <c r="AG22" s="402"/>
      <c r="AH22" s="402"/>
      <c r="AI22" s="402"/>
      <c r="AJ22" s="402"/>
      <c r="AK22" s="402" t="str">
        <f>Settings!$D$22</f>
        <v>Railway</v>
      </c>
      <c r="AL22">
        <f>IF(AK22="",0,SUMPRODUCT((YEAR(Transactions!$C$9:$C$5000)=$J$3)*(Transactions!$F$9:$F$5000="Expense")*(Transactions!$G$9:$G$5000=AK22)*Transactions!$H$9:$H$5000))</f>
        <v>16351.000000000002</v>
      </c>
    </row>
    <row r="23" spans="1:38" ht="15.5" customHeight="1" x14ac:dyDescent="0.2">
      <c r="A23" s="402"/>
      <c r="B23" s="402"/>
      <c r="C23" s="402"/>
      <c r="D23" s="402"/>
      <c r="E23" s="402"/>
      <c r="F23" s="402"/>
      <c r="G23" s="402"/>
      <c r="H23" s="402"/>
      <c r="I23" s="402"/>
      <c r="J23" s="402"/>
      <c r="K23" s="402"/>
      <c r="L23" s="402"/>
      <c r="M23" s="402"/>
      <c r="N23" s="402"/>
      <c r="O23" s="402"/>
      <c r="P23" s="402"/>
      <c r="Q23" s="402"/>
      <c r="R23" s="402"/>
      <c r="S23" s="402"/>
      <c r="T23" s="402"/>
      <c r="U23" s="402" t="s">
        <v>252</v>
      </c>
      <c r="V23" s="402">
        <f>SUMPRODUCT((YEAR(Transactions!$C$9:$C$5000)=$J$3)*(MONTH(Transactions!$C$9:$C$5000)=11)*(Transactions!$F$9:$F$5000="Income")*Transactions!$H$9:$H$5000)</f>
        <v>0</v>
      </c>
      <c r="W23" s="402">
        <f>SUMPRODUCT((YEAR(Transactions!$C$9:$C$5000)=$J$3)*(MONTH(Transactions!$C$9:$C$5000)=11)*(Transactions!$F$9:$F$5000="Expense")*Transactions!$H$9:$H$5000)</f>
        <v>0</v>
      </c>
      <c r="X23" s="402">
        <f t="shared" si="0"/>
        <v>0</v>
      </c>
      <c r="Y23" s="402"/>
      <c r="Z23" s="402"/>
      <c r="AA23" s="402"/>
      <c r="AB23" s="402"/>
      <c r="AC23" s="402"/>
      <c r="AD23" s="402"/>
      <c r="AE23" s="402"/>
      <c r="AF23" s="402"/>
      <c r="AG23" s="402"/>
      <c r="AH23" s="402"/>
      <c r="AI23" s="402"/>
      <c r="AJ23" s="402"/>
      <c r="AK23" s="402" t="str">
        <f>Settings!$D$23</f>
        <v>Rajan</v>
      </c>
      <c r="AL23">
        <f>IF(AK23="",0,SUMPRODUCT((YEAR(Transactions!$C$9:$C$5000)=$J$3)*(Transactions!$F$9:$F$5000="Expense")*(Transactions!$G$9:$G$5000=AK23)*Transactions!$H$9:$H$5000))</f>
        <v>79206.55</v>
      </c>
    </row>
    <row r="24" spans="1:38" ht="15.5" customHeight="1" x14ac:dyDescent="0.2">
      <c r="A24" s="402"/>
      <c r="B24" s="402"/>
      <c r="C24" s="402"/>
      <c r="D24" s="402"/>
      <c r="E24" s="402"/>
      <c r="F24" s="402"/>
      <c r="G24" s="402"/>
      <c r="H24" s="402"/>
      <c r="I24" s="402"/>
      <c r="J24" s="402"/>
      <c r="K24" s="402"/>
      <c r="L24" s="402"/>
      <c r="M24" s="402"/>
      <c r="N24" s="402"/>
      <c r="O24" s="402"/>
      <c r="P24" s="402"/>
      <c r="Q24" s="402"/>
      <c r="R24" s="402"/>
      <c r="S24" s="402"/>
      <c r="T24" s="402"/>
      <c r="U24" s="402" t="s">
        <v>254</v>
      </c>
      <c r="V24" s="402">
        <f>SUMPRODUCT((YEAR(Transactions!$C$9:$C$5000)=$J$3)*(MONTH(Transactions!$C$9:$C$5000)=12)*(Transactions!$F$9:$F$5000="Income")*Transactions!$H$9:$H$5000)</f>
        <v>0</v>
      </c>
      <c r="W24" s="402">
        <f>SUMPRODUCT((YEAR(Transactions!$C$9:$C$5000)=$J$3)*(MONTH(Transactions!$C$9:$C$5000)=12)*(Transactions!$F$9:$F$5000="Expense")*Transactions!$H$9:$H$5000)</f>
        <v>0</v>
      </c>
      <c r="X24" s="402">
        <f t="shared" si="0"/>
        <v>0</v>
      </c>
      <c r="Y24" s="402"/>
      <c r="Z24" s="402"/>
      <c r="AA24" s="402"/>
      <c r="AB24" s="402"/>
      <c r="AC24" s="402"/>
      <c r="AD24" s="402"/>
      <c r="AE24" s="402"/>
      <c r="AF24" s="402"/>
      <c r="AG24" s="402"/>
      <c r="AH24" s="402"/>
      <c r="AI24" s="402"/>
      <c r="AJ24" s="402"/>
      <c r="AK24" s="402" t="str">
        <f>Settings!$D$24</f>
        <v>Recharge</v>
      </c>
      <c r="AL24">
        <f>IF(AK24="",0,SUMPRODUCT((YEAR(Transactions!$C$9:$C$5000)=$J$3)*(Transactions!$F$9:$F$5000="Expense")*(Transactions!$G$9:$G$5000=AK24)*Transactions!$H$9:$H$5000))</f>
        <v>10636</v>
      </c>
    </row>
    <row r="25" spans="1:38" ht="15.5" customHeight="1" x14ac:dyDescent="0.2">
      <c r="A25" s="402"/>
      <c r="B25" s="402"/>
      <c r="C25" s="402"/>
      <c r="D25" s="402"/>
      <c r="E25" s="402"/>
      <c r="F25" s="402"/>
      <c r="G25" s="402"/>
      <c r="H25" s="402"/>
      <c r="I25" s="402"/>
      <c r="J25" s="402"/>
      <c r="K25" s="402"/>
      <c r="L25" s="402"/>
      <c r="M25" s="402"/>
      <c r="N25" s="402"/>
      <c r="O25" s="402"/>
      <c r="P25" s="402"/>
      <c r="Q25" s="402"/>
      <c r="R25" s="402"/>
      <c r="S25" s="402"/>
      <c r="T25" s="402"/>
      <c r="U25" s="402"/>
      <c r="V25" s="402"/>
      <c r="W25" s="402"/>
      <c r="X25" s="402"/>
      <c r="Y25" s="402"/>
      <c r="Z25" s="402"/>
      <c r="AA25" s="402"/>
      <c r="AB25" s="402"/>
      <c r="AC25" s="402"/>
      <c r="AD25" s="402"/>
      <c r="AE25" s="402"/>
      <c r="AF25" s="402"/>
      <c r="AG25" s="402"/>
      <c r="AH25" s="402"/>
      <c r="AI25" s="402"/>
      <c r="AJ25" s="402"/>
      <c r="AK25" s="402" t="str">
        <f>Settings!$D$25</f>
        <v>DRCC</v>
      </c>
      <c r="AL25">
        <f>IF(AK25="",0,SUMPRODUCT((YEAR(Transactions!$C$9:$C$5000)=$J$3)*(Transactions!$F$9:$F$5000="Expense")*(Transactions!$G$9:$G$5000=AK25)*Transactions!$H$9:$H$5000))</f>
        <v>0</v>
      </c>
    </row>
    <row r="26" spans="1:38" ht="15.5" customHeight="1" x14ac:dyDescent="0.2">
      <c r="A26" s="402"/>
      <c r="B26" s="405" t="s">
        <v>1011</v>
      </c>
      <c r="C26" s="402"/>
      <c r="D26" s="402"/>
      <c r="E26" s="402"/>
      <c r="F26" s="402"/>
      <c r="G26" s="402"/>
      <c r="H26" s="402"/>
      <c r="I26" s="402"/>
      <c r="J26" s="405" t="s">
        <v>1012</v>
      </c>
      <c r="K26" s="402"/>
      <c r="L26" s="402"/>
      <c r="M26" s="402"/>
      <c r="N26" s="402"/>
      <c r="O26" s="402"/>
      <c r="P26" s="402"/>
      <c r="Q26" s="402"/>
      <c r="R26" s="405" t="s">
        <v>1013</v>
      </c>
      <c r="S26" s="402"/>
      <c r="T26" s="402"/>
      <c r="U26" s="402"/>
      <c r="V26" s="402"/>
      <c r="W26" s="402"/>
      <c r="X26" s="402"/>
      <c r="Y26" s="402"/>
      <c r="Z26" s="402"/>
      <c r="AA26" s="402"/>
      <c r="AB26" s="402"/>
      <c r="AC26" s="402"/>
      <c r="AD26" s="402"/>
      <c r="AE26" s="402"/>
      <c r="AF26" s="402"/>
      <c r="AG26" s="402"/>
      <c r="AH26" s="402"/>
      <c r="AI26" s="402"/>
      <c r="AJ26" s="402"/>
      <c r="AK26" s="402" t="str">
        <f>Settings!$D$26</f>
        <v>Saving</v>
      </c>
      <c r="AL26">
        <f>IF(AK26="",0,SUMPRODUCT((YEAR(Transactions!$C$9:$C$5000)=$J$3)*(Transactions!$F$9:$F$5000="Expense")*(Transactions!$G$9:$G$5000=AK26)*Transactions!$H$9:$H$5000))</f>
        <v>0</v>
      </c>
    </row>
    <row r="27" spans="1:38" ht="15.5" customHeight="1" x14ac:dyDescent="0.2">
      <c r="A27" s="402"/>
      <c r="B27" s="407"/>
      <c r="C27" s="407"/>
      <c r="D27" s="407"/>
      <c r="E27" s="407"/>
      <c r="F27" s="407"/>
      <c r="G27" s="407"/>
      <c r="H27" s="407"/>
      <c r="I27" s="402"/>
      <c r="J27" s="402"/>
      <c r="K27" s="402"/>
      <c r="L27" s="402"/>
      <c r="M27" s="402"/>
      <c r="N27" s="402"/>
      <c r="O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2"/>
      <c r="AD27" s="402"/>
      <c r="AE27" s="402"/>
      <c r="AF27" s="402"/>
      <c r="AG27" s="402"/>
      <c r="AH27" s="402"/>
      <c r="AI27" s="402"/>
      <c r="AJ27" s="402"/>
      <c r="AK27" s="402">
        <f>Settings!$D$27</f>
        <v>0</v>
      </c>
      <c r="AL27">
        <f>IF(AK27="",0,SUMPRODUCT((YEAR(Transactions!$C$9:$C$5000)=$J$3)*(Transactions!$F$9:$F$5000="Expense")*(Transactions!$G$9:$G$5000=AK27)*Transactions!$H$9:$H$5000))</f>
        <v>0</v>
      </c>
    </row>
    <row r="28" spans="1:38" ht="15.5" customHeight="1" x14ac:dyDescent="0.2">
      <c r="A28" s="402"/>
      <c r="B28" s="408" t="s">
        <v>1014</v>
      </c>
      <c r="C28" s="430" t="str">
        <f>AH13</f>
        <v>Papa</v>
      </c>
      <c r="D28" s="431"/>
      <c r="E28" s="431"/>
      <c r="F28" s="417"/>
      <c r="G28" s="416">
        <f>AI13</f>
        <v>112942</v>
      </c>
      <c r="H28" s="417"/>
      <c r="I28" s="402"/>
      <c r="J28" s="402"/>
      <c r="K28" s="402"/>
      <c r="L28" s="402"/>
      <c r="M28" s="402"/>
      <c r="N28" s="402"/>
      <c r="O28" s="402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402"/>
      <c r="AB28" s="402"/>
      <c r="AC28" s="402"/>
      <c r="AD28" s="402"/>
      <c r="AE28" s="402"/>
      <c r="AF28" s="402"/>
      <c r="AG28" s="402"/>
      <c r="AH28" s="402"/>
      <c r="AI28" s="402"/>
      <c r="AJ28" s="402"/>
      <c r="AK28" s="402">
        <f>Settings!$D$28</f>
        <v>0</v>
      </c>
      <c r="AL28">
        <f>IF(AK28="",0,SUMPRODUCT((YEAR(Transactions!$C$9:$C$5000)=$J$3)*(Transactions!$F$9:$F$5000="Expense")*(Transactions!$G$9:$G$5000=AK28)*Transactions!$H$9:$H$5000))</f>
        <v>0</v>
      </c>
    </row>
    <row r="29" spans="1:38" ht="15.5" customHeight="1" x14ac:dyDescent="0.2">
      <c r="A29" s="402"/>
      <c r="B29" s="408" t="s">
        <v>1015</v>
      </c>
      <c r="C29" s="430" t="str">
        <f>AH14</f>
        <v>Anuj Bhaiya</v>
      </c>
      <c r="D29" s="431"/>
      <c r="E29" s="431"/>
      <c r="F29" s="417"/>
      <c r="G29" s="416">
        <f>AI14</f>
        <v>105000</v>
      </c>
      <c r="H29" s="417"/>
      <c r="I29" s="402"/>
      <c r="J29" s="402"/>
      <c r="K29" s="402"/>
      <c r="L29" s="402"/>
      <c r="M29" s="402"/>
      <c r="N29" s="402"/>
      <c r="O29" s="402"/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  <c r="AA29" s="402"/>
      <c r="AB29" s="402"/>
      <c r="AC29" s="402"/>
      <c r="AD29" s="402"/>
      <c r="AE29" s="402"/>
      <c r="AF29" s="402"/>
      <c r="AG29" s="402"/>
      <c r="AH29" s="402"/>
      <c r="AI29" s="402"/>
      <c r="AJ29" s="402"/>
      <c r="AK29" s="402">
        <f>Settings!$D$29</f>
        <v>0</v>
      </c>
      <c r="AL29">
        <f>IF(AK29="",0,SUMPRODUCT((YEAR(Transactions!$C$9:$C$5000)=$J$3)*(Transactions!$F$9:$F$5000="Expense")*(Transactions!$G$9:$G$5000=AK29)*Transactions!$H$9:$H$5000))</f>
        <v>0</v>
      </c>
    </row>
    <row r="30" spans="1:38" ht="15.5" customHeight="1" x14ac:dyDescent="0.2">
      <c r="A30" s="402"/>
      <c r="B30" s="408" t="s">
        <v>1016</v>
      </c>
      <c r="C30" s="430" t="str">
        <f>AH15</f>
        <v>Bholu bhaiya</v>
      </c>
      <c r="D30" s="431"/>
      <c r="E30" s="431"/>
      <c r="F30" s="417"/>
      <c r="G30" s="416">
        <f>AI15</f>
        <v>58772.2</v>
      </c>
      <c r="H30" s="417"/>
      <c r="I30" s="402"/>
      <c r="J30" s="402"/>
      <c r="K30" s="402"/>
      <c r="L30" s="402"/>
      <c r="M30" s="402"/>
      <c r="N30" s="402"/>
      <c r="O30" s="402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  <c r="AA30" s="402"/>
      <c r="AB30" s="402"/>
      <c r="AC30" s="402"/>
      <c r="AD30" s="402"/>
      <c r="AE30" s="402"/>
      <c r="AF30" s="402"/>
      <c r="AG30" s="402"/>
      <c r="AH30" s="402"/>
      <c r="AI30" s="402"/>
      <c r="AJ30" s="402"/>
      <c r="AK30" s="402">
        <f>Settings!$D$30</f>
        <v>0</v>
      </c>
      <c r="AL30">
        <f>IF(AK30="",0,SUMPRODUCT((YEAR(Transactions!$C$9:$C$5000)=$J$3)*(Transactions!$F$9:$F$5000="Expense")*(Transactions!$G$9:$G$5000=AK30)*Transactions!$H$9:$H$5000))</f>
        <v>0</v>
      </c>
    </row>
    <row r="31" spans="1:38" ht="15.5" customHeight="1" x14ac:dyDescent="0.2">
      <c r="A31" s="402"/>
      <c r="B31" s="408" t="s">
        <v>1017</v>
      </c>
      <c r="C31" s="430" t="str">
        <f>AH16</f>
        <v>Bitan Bhaiya</v>
      </c>
      <c r="D31" s="431"/>
      <c r="E31" s="431"/>
      <c r="F31" s="417"/>
      <c r="G31" s="416">
        <f>AI16</f>
        <v>43341.600000000006</v>
      </c>
      <c r="H31" s="417"/>
      <c r="I31" s="402"/>
      <c r="J31" s="402"/>
      <c r="K31" s="402"/>
      <c r="L31" s="402"/>
      <c r="M31" s="402"/>
      <c r="N31" s="402"/>
      <c r="O31" s="402"/>
      <c r="P31" s="402"/>
      <c r="Q31" s="402"/>
      <c r="R31" s="402"/>
      <c r="S31" s="402"/>
      <c r="T31" s="402"/>
      <c r="U31" s="402"/>
      <c r="V31" s="402"/>
      <c r="W31" s="402"/>
      <c r="X31" s="402"/>
      <c r="Y31" s="402"/>
      <c r="Z31" s="402"/>
      <c r="AA31" s="402"/>
      <c r="AB31" s="402"/>
      <c r="AC31" s="402"/>
      <c r="AD31" s="402"/>
      <c r="AE31" s="402"/>
      <c r="AF31" s="402"/>
      <c r="AG31" s="402"/>
      <c r="AH31" s="402"/>
      <c r="AI31" s="402"/>
      <c r="AJ31" s="402"/>
      <c r="AK31" s="402">
        <f>Settings!$D$31</f>
        <v>0</v>
      </c>
      <c r="AL31">
        <f>IF(AK31="",0,SUMPRODUCT((YEAR(Transactions!$C$9:$C$5000)=$J$3)*(Transactions!$F$9:$F$5000="Expense")*(Transactions!$G$9:$G$5000=AK31)*Transactions!$H$9:$H$5000))</f>
        <v>0</v>
      </c>
    </row>
    <row r="32" spans="1:38" ht="15.5" customHeight="1" x14ac:dyDescent="0.2">
      <c r="A32" s="402"/>
      <c r="B32" s="408" t="s">
        <v>1017</v>
      </c>
      <c r="C32" s="430" t="str">
        <f>AH17</f>
        <v>Ankit Tiwari</v>
      </c>
      <c r="D32" s="431"/>
      <c r="E32" s="431"/>
      <c r="F32" s="417"/>
      <c r="G32" s="416">
        <f>AI17</f>
        <v>20000</v>
      </c>
      <c r="H32" s="417"/>
      <c r="I32" s="402"/>
      <c r="J32" s="402"/>
      <c r="K32" s="402"/>
      <c r="L32" s="402"/>
      <c r="M32" s="402"/>
      <c r="N32" s="402"/>
      <c r="O32" s="402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AD32" s="402"/>
      <c r="AE32" s="402"/>
      <c r="AF32" s="402"/>
      <c r="AG32" s="402"/>
      <c r="AH32" s="402"/>
      <c r="AI32" s="402"/>
      <c r="AJ32" s="402"/>
      <c r="AK32" s="402">
        <f>Settings!$D$32</f>
        <v>0</v>
      </c>
      <c r="AL32">
        <f>IF(AK32="",0,SUMPRODUCT((YEAR(Transactions!$C$9:$C$5000)=$J$3)*(Transactions!$F$9:$F$5000="Expense")*(Transactions!$G$9:$G$5000=AK32)*Transactions!$H$9:$H$5000))</f>
        <v>0</v>
      </c>
    </row>
    <row r="33" spans="1:38" ht="15.5" customHeight="1" x14ac:dyDescent="0.2">
      <c r="A33" s="402"/>
      <c r="B33" s="407"/>
      <c r="C33" s="407"/>
      <c r="D33" s="407"/>
      <c r="E33" s="407"/>
      <c r="F33" s="407"/>
      <c r="G33" s="407"/>
      <c r="H33" s="407"/>
      <c r="I33" s="402"/>
      <c r="J33" s="402"/>
      <c r="K33" s="402"/>
      <c r="L33" s="402"/>
      <c r="M33" s="402"/>
      <c r="N33" s="402"/>
      <c r="O33" s="402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  <c r="AA33" s="402"/>
      <c r="AB33" s="402"/>
      <c r="AC33" s="402"/>
      <c r="AD33" s="402"/>
      <c r="AE33" s="402"/>
      <c r="AF33" s="402"/>
      <c r="AG33" s="402"/>
      <c r="AH33" s="402"/>
      <c r="AI33" s="402"/>
      <c r="AJ33" s="402"/>
      <c r="AK33" s="402"/>
    </row>
    <row r="34" spans="1:38" ht="15.5" customHeight="1" x14ac:dyDescent="0.2">
      <c r="A34" s="402"/>
      <c r="B34" s="407"/>
      <c r="C34" s="407"/>
      <c r="D34" s="407"/>
      <c r="E34" s="407"/>
      <c r="F34" s="407"/>
      <c r="G34" s="407"/>
      <c r="H34" s="407"/>
      <c r="I34" s="402"/>
      <c r="J34" s="402"/>
      <c r="K34" s="402"/>
      <c r="L34" s="402"/>
      <c r="M34" s="402"/>
      <c r="N34" s="402"/>
      <c r="O34" s="40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AD34" s="402"/>
      <c r="AE34" s="402"/>
      <c r="AF34" s="402"/>
      <c r="AG34" s="402"/>
      <c r="AH34" s="402"/>
      <c r="AI34" s="402"/>
      <c r="AJ34" s="402"/>
      <c r="AK34" s="402"/>
    </row>
    <row r="35" spans="1:38" ht="15.5" customHeight="1" x14ac:dyDescent="0.2">
      <c r="A35" s="402"/>
      <c r="B35" s="407"/>
      <c r="C35" s="407"/>
      <c r="D35" s="407"/>
      <c r="E35" s="407"/>
      <c r="F35" s="407"/>
      <c r="G35" s="407"/>
      <c r="H35" s="407"/>
      <c r="I35" s="402"/>
      <c r="J35" s="402"/>
      <c r="K35" s="402"/>
      <c r="L35" s="402"/>
      <c r="M35" s="402"/>
      <c r="N35" s="402"/>
      <c r="O35" s="402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  <c r="AA35" s="402"/>
      <c r="AB35" s="402"/>
      <c r="AC35" s="402"/>
      <c r="AD35" s="402"/>
      <c r="AE35" s="402"/>
      <c r="AF35" s="402"/>
      <c r="AG35" s="402"/>
      <c r="AH35" s="402"/>
      <c r="AI35" s="402"/>
      <c r="AJ35" s="402"/>
      <c r="AK35" s="402"/>
    </row>
    <row r="36" spans="1:38" ht="15.5" customHeight="1" x14ac:dyDescent="0.2">
      <c r="A36" s="402"/>
      <c r="B36" s="407"/>
      <c r="C36" s="407"/>
      <c r="D36" s="407"/>
      <c r="E36" s="407"/>
      <c r="F36" s="407"/>
      <c r="G36" s="407"/>
      <c r="H36" s="407"/>
      <c r="I36" s="402"/>
      <c r="J36" s="402"/>
      <c r="K36" s="402"/>
      <c r="L36" s="402"/>
      <c r="M36" s="402"/>
      <c r="N36" s="402"/>
      <c r="O36" s="402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AD36" s="402"/>
      <c r="AE36" s="402"/>
      <c r="AF36" s="402"/>
      <c r="AG36" s="402"/>
      <c r="AH36" s="402"/>
      <c r="AI36" s="402"/>
      <c r="AJ36" s="402"/>
      <c r="AK36" s="402"/>
    </row>
    <row r="37" spans="1:38" ht="15.5" customHeight="1" x14ac:dyDescent="0.2">
      <c r="A37" s="402"/>
      <c r="B37" s="407"/>
      <c r="C37" s="407"/>
      <c r="D37" s="407"/>
      <c r="E37" s="407"/>
      <c r="F37" s="407"/>
      <c r="G37" s="407"/>
      <c r="H37" s="407"/>
      <c r="I37" s="402"/>
      <c r="J37" s="402"/>
      <c r="K37" s="402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AD37" s="402"/>
      <c r="AE37" s="402"/>
      <c r="AF37" s="402"/>
      <c r="AG37" s="402"/>
      <c r="AH37" s="402"/>
      <c r="AI37" s="402"/>
      <c r="AJ37" s="402"/>
      <c r="AK37" s="402"/>
    </row>
    <row r="38" spans="1:38" ht="15.5" customHeight="1" x14ac:dyDescent="0.2">
      <c r="A38" s="402"/>
      <c r="B38" s="407"/>
      <c r="C38" s="407"/>
      <c r="D38" s="407"/>
      <c r="E38" s="407"/>
      <c r="F38" s="407"/>
      <c r="G38" s="407"/>
      <c r="H38" s="407"/>
      <c r="I38" s="402"/>
      <c r="J38" s="402"/>
      <c r="K38" s="402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402"/>
      <c r="AB38" s="402"/>
      <c r="AC38" s="402"/>
      <c r="AD38" s="402"/>
      <c r="AE38" s="402"/>
      <c r="AF38" s="402"/>
      <c r="AG38" s="402"/>
      <c r="AH38" s="402"/>
      <c r="AI38" s="402"/>
      <c r="AJ38" s="402"/>
      <c r="AK38" s="402"/>
    </row>
    <row r="39" spans="1:38" ht="15.5" customHeight="1" x14ac:dyDescent="0.2">
      <c r="A39" s="402"/>
      <c r="B39" s="407"/>
      <c r="C39" s="407"/>
      <c r="D39" s="407"/>
      <c r="E39" s="407"/>
      <c r="F39" s="407"/>
      <c r="G39" s="407"/>
      <c r="H39" s="407"/>
      <c r="I39" s="402"/>
      <c r="J39" s="402"/>
      <c r="K39" s="402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  <c r="AA39" s="402"/>
      <c r="AB39" s="402"/>
      <c r="AC39" s="402"/>
      <c r="AD39" s="402"/>
      <c r="AE39" s="402"/>
      <c r="AF39" s="402"/>
      <c r="AG39" s="402"/>
      <c r="AH39" s="402"/>
      <c r="AI39" s="402"/>
      <c r="AJ39" s="402"/>
      <c r="AK39" s="402"/>
    </row>
    <row r="40" spans="1:38" ht="15.5" customHeight="1" x14ac:dyDescent="0.2">
      <c r="A40" s="402"/>
      <c r="B40" s="402"/>
      <c r="C40" s="402"/>
      <c r="D40" s="402"/>
      <c r="E40" s="402"/>
      <c r="F40" s="402"/>
      <c r="G40" s="402"/>
      <c r="H40" s="402"/>
      <c r="I40" s="402"/>
      <c r="J40" s="402"/>
      <c r="K40" s="402"/>
      <c r="L40" s="402"/>
      <c r="M40" s="402"/>
      <c r="N40" s="402"/>
      <c r="O40" s="402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  <c r="AA40" s="402"/>
      <c r="AB40" s="402"/>
      <c r="AC40" s="402"/>
      <c r="AD40" s="402"/>
      <c r="AE40" s="402"/>
      <c r="AF40" s="402"/>
      <c r="AG40" s="402"/>
      <c r="AH40" s="402"/>
      <c r="AI40" s="402"/>
      <c r="AJ40" s="402"/>
      <c r="AK40" s="402"/>
    </row>
    <row r="41" spans="1:38" ht="15.5" customHeight="1" x14ac:dyDescent="0.2">
      <c r="A41" s="402"/>
      <c r="B41" s="405" t="s">
        <v>1018</v>
      </c>
      <c r="C41" s="402"/>
      <c r="D41" s="402"/>
      <c r="E41" s="402"/>
      <c r="F41" s="402"/>
      <c r="G41" s="402"/>
      <c r="H41" s="402"/>
      <c r="I41" s="402"/>
      <c r="J41" s="405" t="s">
        <v>1019</v>
      </c>
      <c r="K41" s="402"/>
      <c r="L41" s="402"/>
      <c r="M41" s="402"/>
      <c r="N41" s="402"/>
      <c r="O41" s="402"/>
      <c r="P41" s="402"/>
      <c r="Q41" s="402"/>
      <c r="R41" s="405" t="s">
        <v>1020</v>
      </c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AD41" s="402"/>
      <c r="AE41" s="402"/>
      <c r="AF41" s="402"/>
      <c r="AG41" s="402"/>
      <c r="AH41" s="402"/>
      <c r="AI41" s="402"/>
      <c r="AJ41" s="402"/>
      <c r="AK41" s="402" t="s">
        <v>1021</v>
      </c>
      <c r="AL41">
        <f>IFERROR(F7/C7,0)</f>
        <v>1.2321180722334524</v>
      </c>
    </row>
    <row r="42" spans="1:38" ht="15.5" customHeight="1" x14ac:dyDescent="0.2">
      <c r="A42" s="402"/>
      <c r="B42" s="402"/>
      <c r="C42" s="402"/>
      <c r="D42" s="402"/>
      <c r="E42" s="402"/>
      <c r="F42" s="402"/>
      <c r="G42" s="402"/>
      <c r="H42" s="402"/>
      <c r="I42" s="402"/>
      <c r="J42" s="407"/>
      <c r="K42" s="407"/>
      <c r="L42" s="407"/>
      <c r="M42" s="407"/>
      <c r="N42" s="407"/>
      <c r="O42" s="407"/>
      <c r="P42" s="407"/>
      <c r="Q42" s="402"/>
      <c r="R42" s="413" t="s">
        <v>7</v>
      </c>
      <c r="S42" s="413" t="s">
        <v>277</v>
      </c>
      <c r="T42" s="413" t="s">
        <v>274</v>
      </c>
      <c r="U42" s="413" t="s">
        <v>30</v>
      </c>
      <c r="V42" s="413" t="s">
        <v>1022</v>
      </c>
      <c r="W42" s="402"/>
      <c r="X42" s="402"/>
      <c r="Y42" s="402"/>
      <c r="Z42" s="402"/>
      <c r="AA42" s="402"/>
      <c r="AB42" s="402"/>
      <c r="AC42" s="402"/>
      <c r="AD42" s="402"/>
      <c r="AE42" s="402"/>
      <c r="AF42" s="402"/>
      <c r="AG42" s="402"/>
      <c r="AH42" s="402"/>
      <c r="AI42" s="402"/>
      <c r="AJ42" s="402"/>
      <c r="AK42" s="402"/>
    </row>
    <row r="43" spans="1:38" ht="15.5" customHeight="1" x14ac:dyDescent="0.2">
      <c r="A43" s="402"/>
      <c r="B43" s="402"/>
      <c r="C43" s="402"/>
      <c r="D43" s="402"/>
      <c r="E43" s="402"/>
      <c r="F43" s="402"/>
      <c r="G43" s="402"/>
      <c r="H43" s="402"/>
      <c r="I43" s="402"/>
      <c r="J43" s="447">
        <f>IFERROR(F7/C7,0)</f>
        <v>1.2321180722334524</v>
      </c>
      <c r="K43" s="448"/>
      <c r="L43" s="448"/>
      <c r="M43" s="448"/>
      <c r="N43" s="448"/>
      <c r="O43" s="448"/>
      <c r="P43" s="449"/>
      <c r="Q43" s="402"/>
      <c r="R43" s="409">
        <v>2021</v>
      </c>
      <c r="S43" s="410">
        <f>SUMPRODUCT((YEAR(Transactions!$C$9:$C$5000)=2021)*(Transactions!$F$9:$F$5000="Income")*Transactions!$H$9:$H$5000)</f>
        <v>147316</v>
      </c>
      <c r="T43" s="410">
        <f>SUMPRODUCT((YEAR(Transactions!$C$9:$C$5000)=2021)*(Transactions!$F$9:$F$5000="Expense")*Transactions!$H$9:$H$5000)</f>
        <v>16122.980000000214</v>
      </c>
      <c r="U43" s="410">
        <f>SUMPRODUCT((YEAR(Transactions!$C$9:$C$5000)=2021)*(Transactions!$F$9:$F$5000="Investment")*Transactions!$H$9:$H$5000)</f>
        <v>55000</v>
      </c>
      <c r="V43" s="410">
        <f t="shared" ref="V43:V49" si="2">S43-T43-U43</f>
        <v>76193.019999999786</v>
      </c>
      <c r="W43" s="402"/>
      <c r="X43" s="402"/>
      <c r="Y43" s="402"/>
      <c r="Z43" s="402"/>
      <c r="AA43" s="402"/>
      <c r="AB43" s="402"/>
      <c r="AC43" s="402"/>
      <c r="AD43" s="402"/>
      <c r="AE43" s="402"/>
      <c r="AF43" s="402"/>
      <c r="AG43" s="402"/>
      <c r="AH43" s="402"/>
      <c r="AI43" s="402"/>
      <c r="AJ43" s="402"/>
      <c r="AK43" s="402"/>
    </row>
    <row r="44" spans="1:38" ht="15.5" customHeight="1" x14ac:dyDescent="0.2">
      <c r="A44" s="402"/>
      <c r="B44" s="402"/>
      <c r="C44" s="402"/>
      <c r="D44" s="402"/>
      <c r="E44" s="402"/>
      <c r="F44" s="402"/>
      <c r="G44" s="402"/>
      <c r="H44" s="402"/>
      <c r="I44" s="402"/>
      <c r="J44" s="450"/>
      <c r="K44" s="415"/>
      <c r="L44" s="415"/>
      <c r="M44" s="415"/>
      <c r="N44" s="415"/>
      <c r="O44" s="415"/>
      <c r="P44" s="451"/>
      <c r="Q44" s="402"/>
      <c r="R44" s="409">
        <v>2022</v>
      </c>
      <c r="S44" s="410">
        <f>SUMPRODUCT((YEAR(Transactions!$C$9:$C$5000)=2022)*(Transactions!$F$9:$F$5000="Income")*Transactions!$H$9:$H$5000)</f>
        <v>447176</v>
      </c>
      <c r="T44" s="410">
        <f>SUMPRODUCT((YEAR(Transactions!$C$9:$C$5000)=2022)*(Transactions!$F$9:$F$5000="Expense")*Transactions!$H$9:$H$5000)</f>
        <v>203940</v>
      </c>
      <c r="U44" s="410">
        <f>SUMPRODUCT((YEAR(Transactions!$C$9:$C$5000)=2022)*(Transactions!$F$9:$F$5000="Investment")*Transactions!$H$9:$H$5000)</f>
        <v>6800</v>
      </c>
      <c r="V44" s="410">
        <f t="shared" si="2"/>
        <v>236436</v>
      </c>
      <c r="W44" s="402"/>
      <c r="X44" s="402"/>
      <c r="Y44" s="402"/>
      <c r="Z44" s="402"/>
      <c r="AA44" s="402"/>
      <c r="AB44" s="402"/>
      <c r="AC44" s="402"/>
      <c r="AD44" s="402"/>
      <c r="AE44" s="402"/>
      <c r="AF44" s="402"/>
      <c r="AG44" s="402"/>
      <c r="AH44" s="402"/>
      <c r="AI44" s="402"/>
      <c r="AJ44" s="402"/>
      <c r="AK44" s="402"/>
    </row>
    <row r="45" spans="1:38" ht="15.5" customHeight="1" x14ac:dyDescent="0.2">
      <c r="A45" s="402"/>
      <c r="B45" s="402"/>
      <c r="C45" s="402"/>
      <c r="D45" s="402"/>
      <c r="E45" s="402"/>
      <c r="F45" s="402"/>
      <c r="G45" s="402"/>
      <c r="H45" s="402"/>
      <c r="I45" s="402"/>
      <c r="J45" s="452"/>
      <c r="K45" s="453"/>
      <c r="L45" s="453"/>
      <c r="M45" s="453"/>
      <c r="N45" s="453"/>
      <c r="O45" s="453"/>
      <c r="P45" s="454"/>
      <c r="Q45" s="402"/>
      <c r="R45" s="409">
        <v>2023</v>
      </c>
      <c r="S45" s="410">
        <f>SUMPRODUCT((YEAR(Transactions!$C$9:$C$5000)=2023)*(Transactions!$F$9:$F$5000="Income")*Transactions!$H$9:$H$5000)</f>
        <v>520304</v>
      </c>
      <c r="T45" s="410">
        <f>SUMPRODUCT((YEAR(Transactions!$C$9:$C$5000)=2023)*(Transactions!$F$9:$F$5000="Expense")*Transactions!$H$9:$H$5000)</f>
        <v>495895</v>
      </c>
      <c r="U45" s="410">
        <f>SUMPRODUCT((YEAR(Transactions!$C$9:$C$5000)=2023)*(Transactions!$F$9:$F$5000="Investment")*Transactions!$H$9:$H$5000)</f>
        <v>14504</v>
      </c>
      <c r="V45" s="410">
        <f t="shared" si="2"/>
        <v>9905</v>
      </c>
      <c r="W45" s="402"/>
      <c r="X45" s="402"/>
      <c r="Y45" s="402"/>
      <c r="Z45" s="402"/>
      <c r="AA45" s="402"/>
      <c r="AB45" s="402"/>
      <c r="AC45" s="402"/>
      <c r="AD45" s="402"/>
      <c r="AE45" s="402"/>
      <c r="AF45" s="402"/>
      <c r="AG45" s="402"/>
      <c r="AH45" s="402"/>
      <c r="AI45" s="402"/>
      <c r="AJ45" s="402"/>
      <c r="AK45" s="402"/>
    </row>
    <row r="46" spans="1:38" ht="15.5" customHeight="1" x14ac:dyDescent="0.2">
      <c r="A46" s="402"/>
      <c r="B46" s="402"/>
      <c r="C46" s="402"/>
      <c r="D46" s="402"/>
      <c r="E46" s="402"/>
      <c r="F46" s="402"/>
      <c r="G46" s="402"/>
      <c r="H46" s="402"/>
      <c r="I46" s="402"/>
      <c r="J46" s="407"/>
      <c r="K46" s="407"/>
      <c r="L46" s="407"/>
      <c r="M46" s="407"/>
      <c r="N46" s="407"/>
      <c r="O46" s="407"/>
      <c r="P46" s="407"/>
      <c r="Q46" s="402"/>
      <c r="R46" s="409">
        <v>2024</v>
      </c>
      <c r="S46" s="410">
        <f>SUMPRODUCT((YEAR(Transactions!$C$9:$C$5000)=2024)*(Transactions!$F$9:$F$5000="Income")*Transactions!$H$9:$H$5000)</f>
        <v>722110</v>
      </c>
      <c r="T46" s="410">
        <f>SUMPRODUCT((YEAR(Transactions!$C$9:$C$5000)=2024)*(Transactions!$F$9:$F$5000="Expense")*Transactions!$H$9:$H$5000)</f>
        <v>698384.5299999998</v>
      </c>
      <c r="U46" s="410">
        <f>SUMPRODUCT((YEAR(Transactions!$C$9:$C$5000)=2024)*(Transactions!$F$9:$F$5000="Investment")*Transactions!$H$9:$H$5000)</f>
        <v>16512</v>
      </c>
      <c r="V46" s="410">
        <f t="shared" si="2"/>
        <v>7213.4700000002049</v>
      </c>
      <c r="W46" s="402"/>
      <c r="X46" s="402"/>
      <c r="Y46" s="402"/>
      <c r="Z46" s="402"/>
      <c r="AA46" s="402"/>
      <c r="AB46" s="402"/>
      <c r="AC46" s="402"/>
      <c r="AD46" s="402"/>
      <c r="AE46" s="402"/>
      <c r="AF46" s="402"/>
      <c r="AG46" s="402"/>
      <c r="AH46" s="402"/>
      <c r="AI46" s="402"/>
      <c r="AJ46" s="402"/>
      <c r="AK46" s="402"/>
    </row>
    <row r="47" spans="1:38" ht="15.5" customHeight="1" x14ac:dyDescent="0.2">
      <c r="A47" s="402"/>
      <c r="B47" s="402"/>
      <c r="C47" s="402"/>
      <c r="D47" s="402"/>
      <c r="E47" s="402"/>
      <c r="F47" s="402"/>
      <c r="G47" s="402"/>
      <c r="H47" s="402"/>
      <c r="I47" s="402"/>
      <c r="J47" s="407"/>
      <c r="K47" s="407"/>
      <c r="L47" s="407"/>
      <c r="M47" s="407"/>
      <c r="N47" s="407"/>
      <c r="O47" s="407"/>
      <c r="P47" s="407"/>
      <c r="Q47" s="402"/>
      <c r="R47" s="409">
        <v>2025</v>
      </c>
      <c r="S47" s="410">
        <f>SUMPRODUCT((YEAR(Transactions!$C$9:$C$5000)=2025)*(Transactions!$F$9:$F$5000="Income")*Transactions!$H$9:$H$5000)</f>
        <v>670000</v>
      </c>
      <c r="T47" s="410">
        <f>SUMPRODUCT((YEAR(Transactions!$C$9:$C$5000)=2025)*(Transactions!$F$9:$F$5000="Expense")*Transactions!$H$9:$H$5000)</f>
        <v>806992.07</v>
      </c>
      <c r="U47" s="410">
        <f>SUMPRODUCT((YEAR(Transactions!$C$9:$C$5000)=2025)*(Transactions!$F$9:$F$5000="Investment")*Transactions!$H$9:$H$5000)</f>
        <v>20792</v>
      </c>
      <c r="V47" s="410">
        <f t="shared" si="2"/>
        <v>-157784.06999999995</v>
      </c>
      <c r="W47" s="402"/>
      <c r="X47" s="402"/>
      <c r="Y47" s="402"/>
      <c r="Z47" s="402"/>
      <c r="AA47" s="402"/>
      <c r="AB47" s="402"/>
      <c r="AC47" s="402"/>
      <c r="AD47" s="402"/>
      <c r="AE47" s="402"/>
      <c r="AF47" s="402"/>
      <c r="AG47" s="402"/>
      <c r="AH47" s="402"/>
      <c r="AI47" s="402"/>
      <c r="AJ47" s="402"/>
      <c r="AK47" s="402"/>
    </row>
    <row r="48" spans="1:38" ht="15.5" customHeight="1" x14ac:dyDescent="0.2">
      <c r="A48" s="402"/>
      <c r="B48" s="402"/>
      <c r="C48" s="402"/>
      <c r="D48" s="402"/>
      <c r="E48" s="402"/>
      <c r="F48" s="402"/>
      <c r="G48" s="402"/>
      <c r="H48" s="402"/>
      <c r="I48" s="402"/>
      <c r="J48" s="457" t="s">
        <v>1023</v>
      </c>
      <c r="K48" s="448"/>
      <c r="L48" s="448"/>
      <c r="M48" s="448"/>
      <c r="N48" s="448"/>
      <c r="O48" s="448"/>
      <c r="P48" s="449"/>
      <c r="Q48" s="402"/>
      <c r="R48" s="411">
        <v>2026</v>
      </c>
      <c r="S48" s="412">
        <f>SUMPRODUCT((YEAR(Transactions!$C$9:$C$5000)=2026)*(Transactions!$F$9:$F$5000="Income")*Transactions!$H$9:$H$5000)</f>
        <v>389321</v>
      </c>
      <c r="T48" s="412">
        <f>SUMPRODUCT((YEAR(Transactions!$C$9:$C$5000)=2026)*(Transactions!$F$9:$F$5000="Expense")*Transactions!$H$9:$H$5000)</f>
        <v>479689.43999999994</v>
      </c>
      <c r="U48" s="412">
        <f>SUMPRODUCT((YEAR(Transactions!$C$9:$C$5000)=2026)*(Transactions!$F$9:$F$5000="Investment")*Transactions!$H$9:$H$5000)</f>
        <v>67386</v>
      </c>
      <c r="V48" s="412">
        <f t="shared" si="2"/>
        <v>-157754.43999999994</v>
      </c>
      <c r="W48" s="402"/>
      <c r="X48" s="402"/>
      <c r="Y48" s="402"/>
      <c r="Z48" s="402"/>
      <c r="AA48" s="402"/>
      <c r="AB48" s="402"/>
      <c r="AC48" s="402"/>
      <c r="AD48" s="402"/>
      <c r="AE48" s="402"/>
      <c r="AF48" s="402"/>
      <c r="AG48" s="402"/>
      <c r="AH48" s="402"/>
      <c r="AI48" s="402"/>
      <c r="AJ48" s="402"/>
      <c r="AK48" s="402"/>
    </row>
    <row r="49" spans="1:37" ht="15.5" customHeight="1" x14ac:dyDescent="0.2">
      <c r="A49" s="402"/>
      <c r="B49" s="402"/>
      <c r="C49" s="402"/>
      <c r="D49" s="402"/>
      <c r="E49" s="402"/>
      <c r="F49" s="402"/>
      <c r="G49" s="402"/>
      <c r="H49" s="402"/>
      <c r="I49" s="402"/>
      <c r="J49" s="452"/>
      <c r="K49" s="453"/>
      <c r="L49" s="453"/>
      <c r="M49" s="453"/>
      <c r="N49" s="453"/>
      <c r="O49" s="453"/>
      <c r="P49" s="454"/>
      <c r="Q49" s="402"/>
      <c r="R49" s="409">
        <v>2027</v>
      </c>
      <c r="S49" s="410">
        <f>SUMPRODUCT((YEAR(Transactions!$C$9:$C$5000)=2027)*(Transactions!$F$9:$F$5000="Income")*Transactions!$H$9:$H$5000)</f>
        <v>0</v>
      </c>
      <c r="T49" s="410">
        <f>SUMPRODUCT((YEAR(Transactions!$C$9:$C$5000)=2027)*(Transactions!$F$9:$F$5000="Expense")*Transactions!$H$9:$H$5000)</f>
        <v>0</v>
      </c>
      <c r="U49" s="410">
        <f>SUMPRODUCT((YEAR(Transactions!$C$9:$C$5000)=2027)*(Transactions!$F$9:$F$5000="Investment")*Transactions!$H$9:$H$5000)</f>
        <v>0</v>
      </c>
      <c r="V49" s="410">
        <f t="shared" si="2"/>
        <v>0</v>
      </c>
      <c r="W49" s="402"/>
      <c r="X49" s="402"/>
      <c r="Y49" s="402"/>
      <c r="Z49" s="402"/>
      <c r="AA49" s="402"/>
      <c r="AB49" s="402"/>
      <c r="AC49" s="402"/>
      <c r="AD49" s="402"/>
      <c r="AE49" s="402"/>
      <c r="AF49" s="402"/>
      <c r="AG49" s="402"/>
      <c r="AH49" s="402"/>
      <c r="AI49" s="402"/>
      <c r="AJ49" s="402"/>
      <c r="AK49" s="402"/>
    </row>
    <row r="50" spans="1:37" ht="15.5" customHeight="1" x14ac:dyDescent="0.2">
      <c r="A50" s="402"/>
      <c r="B50" s="402"/>
      <c r="C50" s="402"/>
      <c r="D50" s="402"/>
      <c r="E50" s="402"/>
      <c r="F50" s="402"/>
      <c r="G50" s="402"/>
      <c r="H50" s="402"/>
      <c r="I50" s="402"/>
      <c r="J50" s="402"/>
      <c r="K50" s="402"/>
      <c r="L50" s="402"/>
      <c r="M50" s="402"/>
      <c r="N50" s="402"/>
      <c r="O50" s="402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AD50" s="402"/>
      <c r="AE50" s="402"/>
      <c r="AF50" s="402"/>
      <c r="AG50" s="402"/>
      <c r="AH50" s="402"/>
      <c r="AI50" s="402"/>
      <c r="AJ50" s="402"/>
      <c r="AK50" s="402"/>
    </row>
    <row r="51" spans="1:37" ht="15.5" customHeight="1" x14ac:dyDescent="0.2">
      <c r="A51" s="402"/>
      <c r="B51" s="402"/>
      <c r="C51" s="402"/>
      <c r="D51" s="402"/>
      <c r="E51" s="402"/>
      <c r="F51" s="402"/>
      <c r="G51" s="402"/>
      <c r="H51" s="402"/>
      <c r="I51" s="402"/>
      <c r="J51" s="402"/>
      <c r="K51" s="402"/>
      <c r="L51" s="402"/>
      <c r="M51" s="402"/>
      <c r="N51" s="402"/>
      <c r="O51" s="402"/>
      <c r="P51" s="402"/>
      <c r="Q51" s="402"/>
      <c r="R51" s="402"/>
      <c r="S51" s="402"/>
      <c r="T51" s="402"/>
      <c r="U51" s="402"/>
      <c r="V51" s="402"/>
      <c r="W51" s="402"/>
      <c r="X51" s="402"/>
      <c r="Y51" s="402"/>
      <c r="Z51" s="402"/>
      <c r="AA51" s="402"/>
      <c r="AB51" s="402"/>
      <c r="AC51" s="402"/>
      <c r="AD51" s="402"/>
      <c r="AE51" s="402"/>
      <c r="AF51" s="402"/>
      <c r="AG51" s="402"/>
      <c r="AH51" s="402"/>
      <c r="AI51" s="402"/>
      <c r="AJ51" s="402"/>
      <c r="AK51" s="402"/>
    </row>
    <row r="52" spans="1:37" ht="15.5" customHeight="1" x14ac:dyDescent="0.2">
      <c r="A52" s="402"/>
      <c r="B52" s="402"/>
      <c r="C52" s="402"/>
      <c r="D52" s="402"/>
      <c r="E52" s="402"/>
      <c r="F52" s="402"/>
      <c r="G52" s="402"/>
      <c r="H52" s="402"/>
      <c r="I52" s="402"/>
      <c r="J52" s="402"/>
      <c r="K52" s="402"/>
      <c r="L52" s="402"/>
      <c r="M52" s="402"/>
      <c r="N52" s="402"/>
      <c r="O52" s="402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</row>
    <row r="53" spans="1:37" ht="15.5" customHeight="1" x14ac:dyDescent="0.2">
      <c r="A53" s="402"/>
      <c r="B53" s="402"/>
      <c r="C53" s="402"/>
      <c r="D53" s="402"/>
      <c r="E53" s="402"/>
      <c r="F53" s="402"/>
      <c r="G53" s="402"/>
      <c r="H53" s="402"/>
      <c r="I53" s="402"/>
      <c r="J53" s="402"/>
      <c r="K53" s="402"/>
      <c r="L53" s="402"/>
      <c r="M53" s="402"/>
      <c r="N53" s="402"/>
      <c r="O53" s="402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AD53" s="402"/>
      <c r="AE53" s="402"/>
      <c r="AF53" s="402"/>
      <c r="AG53" s="402"/>
      <c r="AH53" s="402"/>
      <c r="AI53" s="402"/>
      <c r="AJ53" s="402"/>
      <c r="AK53" s="402"/>
    </row>
    <row r="54" spans="1:37" ht="15.5" customHeight="1" x14ac:dyDescent="0.2">
      <c r="A54" s="402"/>
      <c r="B54" s="402"/>
      <c r="C54" s="402"/>
      <c r="D54" s="402"/>
      <c r="E54" s="402"/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</row>
    <row r="55" spans="1:37" ht="15.5" customHeight="1" x14ac:dyDescent="0.2">
      <c r="A55" s="402"/>
      <c r="B55" s="402"/>
      <c r="C55" s="402"/>
      <c r="D55" s="402"/>
      <c r="E55" s="402"/>
      <c r="F55" s="402"/>
      <c r="G55" s="402"/>
      <c r="H55" s="402"/>
      <c r="I55" s="402"/>
      <c r="J55" s="402"/>
      <c r="K55" s="402"/>
      <c r="L55" s="402"/>
      <c r="M55" s="402"/>
      <c r="N55" s="402"/>
      <c r="O55" s="402"/>
      <c r="P55" s="402"/>
      <c r="Q55" s="402"/>
      <c r="R55" s="402"/>
      <c r="S55" s="402"/>
      <c r="T55" s="402"/>
      <c r="U55" s="402"/>
      <c r="V55" s="402"/>
      <c r="W55" s="402"/>
      <c r="X55" s="402"/>
      <c r="Y55" s="402"/>
      <c r="Z55" s="402"/>
      <c r="AA55" s="402"/>
      <c r="AB55" s="402"/>
      <c r="AC55" s="402"/>
      <c r="AD55" s="402"/>
      <c r="AE55" s="402"/>
      <c r="AF55" s="402"/>
      <c r="AG55" s="402"/>
      <c r="AH55" s="402"/>
      <c r="AI55" s="402"/>
      <c r="AJ55" s="402"/>
      <c r="AK55" s="402"/>
    </row>
    <row r="56" spans="1:37" ht="15.5" customHeight="1" x14ac:dyDescent="0.2">
      <c r="A56" s="402"/>
      <c r="B56" s="402"/>
      <c r="C56" s="402"/>
      <c r="D56" s="402"/>
      <c r="E56" s="402"/>
      <c r="F56" s="402"/>
      <c r="G56" s="402"/>
      <c r="H56" s="402"/>
      <c r="I56" s="402"/>
      <c r="J56" s="402"/>
      <c r="K56" s="402"/>
      <c r="L56" s="402"/>
      <c r="M56" s="402"/>
      <c r="N56" s="402"/>
      <c r="O56" s="402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AD56" s="402"/>
      <c r="AE56" s="402"/>
      <c r="AF56" s="402"/>
      <c r="AG56" s="402"/>
      <c r="AH56" s="402"/>
      <c r="AI56" s="402"/>
      <c r="AJ56" s="402"/>
      <c r="AK56" s="402"/>
    </row>
    <row r="57" spans="1:37" ht="15.5" customHeight="1" x14ac:dyDescent="0.2">
      <c r="A57" s="402"/>
      <c r="B57" s="402"/>
      <c r="C57" s="402"/>
      <c r="D57" s="402"/>
      <c r="E57" s="402"/>
      <c r="F57" s="402"/>
      <c r="G57" s="402"/>
      <c r="H57" s="402"/>
      <c r="I57" s="402"/>
      <c r="J57" s="402"/>
      <c r="K57" s="402"/>
      <c r="L57" s="402"/>
      <c r="M57" s="402"/>
      <c r="N57" s="402"/>
      <c r="O57" s="402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  <c r="AA57" s="402"/>
      <c r="AB57" s="402"/>
      <c r="AC57" s="402"/>
      <c r="AD57" s="402"/>
      <c r="AE57" s="402"/>
      <c r="AF57" s="402"/>
      <c r="AG57" s="402"/>
      <c r="AH57" s="402"/>
      <c r="AI57" s="402"/>
      <c r="AJ57" s="402"/>
      <c r="AK57" s="402"/>
    </row>
    <row r="58" spans="1:37" ht="15.5" customHeight="1" x14ac:dyDescent="0.2">
      <c r="A58" s="402"/>
      <c r="B58" s="402"/>
      <c r="C58" s="402"/>
      <c r="D58" s="402"/>
      <c r="E58" s="402"/>
      <c r="F58" s="402"/>
      <c r="G58" s="402"/>
      <c r="H58" s="402"/>
      <c r="I58" s="402"/>
      <c r="J58" s="402"/>
      <c r="K58" s="402"/>
      <c r="L58" s="402"/>
      <c r="M58" s="402"/>
      <c r="N58" s="402"/>
      <c r="O58" s="402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  <c r="AA58" s="402"/>
      <c r="AB58" s="402"/>
      <c r="AC58" s="402"/>
      <c r="AD58" s="402"/>
      <c r="AE58" s="402"/>
      <c r="AF58" s="402"/>
      <c r="AG58" s="402"/>
      <c r="AH58" s="402"/>
      <c r="AI58" s="402"/>
      <c r="AJ58" s="402"/>
      <c r="AK58" s="402"/>
    </row>
    <row r="59" spans="1:37" ht="15.5" customHeight="1" x14ac:dyDescent="0.2">
      <c r="A59" s="402"/>
      <c r="B59" s="402"/>
      <c r="C59" s="402"/>
      <c r="D59" s="402"/>
      <c r="E59" s="402"/>
      <c r="F59" s="402"/>
      <c r="G59" s="402"/>
      <c r="H59" s="402"/>
      <c r="I59" s="402"/>
      <c r="J59" s="402"/>
      <c r="K59" s="402"/>
      <c r="L59" s="402"/>
      <c r="M59" s="402"/>
      <c r="N59" s="402"/>
      <c r="O59" s="402"/>
      <c r="P59" s="402"/>
      <c r="Q59" s="402"/>
      <c r="R59" s="402"/>
      <c r="S59" s="402"/>
      <c r="T59" s="402"/>
      <c r="U59" s="402"/>
      <c r="V59" s="402"/>
      <c r="W59" s="402"/>
      <c r="X59" s="402"/>
      <c r="Y59" s="402"/>
      <c r="Z59" s="402"/>
      <c r="AA59" s="402"/>
      <c r="AB59" s="402"/>
      <c r="AC59" s="402"/>
      <c r="AD59" s="402"/>
      <c r="AE59" s="402"/>
      <c r="AF59" s="402"/>
      <c r="AG59" s="402"/>
      <c r="AH59" s="402"/>
      <c r="AI59" s="402"/>
      <c r="AJ59" s="402"/>
      <c r="AK59" s="402"/>
    </row>
    <row r="60" spans="1:37" ht="15.5" customHeight="1" x14ac:dyDescent="0.2">
      <c r="A60" s="402"/>
      <c r="B60" s="446" t="s">
        <v>1024</v>
      </c>
      <c r="C60" s="415"/>
      <c r="D60" s="415"/>
      <c r="E60" s="415"/>
      <c r="F60" s="415"/>
      <c r="G60" s="415"/>
      <c r="H60" s="415"/>
      <c r="I60" s="415"/>
      <c r="J60" s="415"/>
      <c r="K60" s="415"/>
      <c r="L60" s="415"/>
      <c r="M60" s="415"/>
      <c r="N60" s="415"/>
      <c r="O60" s="415"/>
      <c r="P60" s="415"/>
      <c r="Q60" s="415"/>
      <c r="R60" s="415"/>
      <c r="S60" s="415"/>
      <c r="T60" s="402"/>
      <c r="U60" s="402"/>
      <c r="V60" s="402"/>
      <c r="W60" s="402"/>
      <c r="X60" s="402"/>
      <c r="Y60" s="402"/>
      <c r="Z60" s="402"/>
      <c r="AA60" s="402"/>
      <c r="AB60" s="402"/>
      <c r="AC60" s="402"/>
      <c r="AD60" s="402"/>
      <c r="AE60" s="402"/>
      <c r="AF60" s="402"/>
      <c r="AG60" s="402"/>
      <c r="AH60" s="402"/>
      <c r="AI60" s="402"/>
      <c r="AJ60" s="402"/>
      <c r="AK60" s="402"/>
    </row>
    <row r="61" spans="1:37" ht="15.5" customHeight="1" x14ac:dyDescent="0.2">
      <c r="A61" s="402"/>
      <c r="B61" s="402"/>
      <c r="C61" s="402"/>
      <c r="D61" s="402"/>
      <c r="E61" s="402"/>
      <c r="F61" s="402"/>
      <c r="G61" s="402"/>
      <c r="H61" s="402"/>
      <c r="I61" s="402"/>
      <c r="J61" s="402"/>
      <c r="K61" s="402"/>
      <c r="L61" s="402"/>
      <c r="M61" s="402"/>
      <c r="N61" s="402"/>
      <c r="O61" s="402"/>
      <c r="P61" s="402"/>
      <c r="Q61" s="402"/>
      <c r="R61" s="402"/>
      <c r="S61" s="402"/>
      <c r="T61" s="402"/>
      <c r="U61" s="402"/>
      <c r="V61" s="402"/>
      <c r="W61" s="402"/>
      <c r="X61" s="402"/>
      <c r="Y61" s="402"/>
      <c r="Z61" s="402"/>
      <c r="AA61" s="402"/>
      <c r="AB61" s="402"/>
      <c r="AC61" s="402"/>
      <c r="AD61" s="402"/>
      <c r="AE61" s="402"/>
      <c r="AF61" s="402"/>
      <c r="AG61" s="402"/>
      <c r="AH61" s="402"/>
      <c r="AI61" s="402"/>
      <c r="AJ61" s="402"/>
      <c r="AK61" s="402"/>
    </row>
    <row r="62" spans="1:37" ht="15.5" customHeight="1" x14ac:dyDescent="0.2">
      <c r="A62" s="402"/>
      <c r="B62" s="406" t="str">
        <f>HYPERLINK("#'🏠 Dashboard'!A1","🏠 Classic Dashboard")</f>
        <v>🏠 Classic Dashboard</v>
      </c>
      <c r="C62" s="402"/>
      <c r="D62" s="402"/>
      <c r="E62" s="406" t="str">
        <f>HYPERLINK("#Settings!A1","⚙️ Settings &amp; Entry")</f>
        <v>⚙️ Settings &amp; Entry</v>
      </c>
      <c r="F62" s="402"/>
      <c r="G62" s="402"/>
      <c r="H62" s="406" t="str">
        <f>HYPERLINK("#Transactions!C2","➕ Add a Transaction")</f>
        <v>➕ Add a Transaction</v>
      </c>
      <c r="I62" s="402"/>
      <c r="J62" s="402"/>
      <c r="K62" s="402"/>
      <c r="L62" s="402"/>
      <c r="M62" s="402"/>
      <c r="N62" s="402"/>
      <c r="O62" s="402"/>
      <c r="P62" s="402"/>
      <c r="Q62" s="402"/>
      <c r="R62" s="402"/>
      <c r="S62" s="402"/>
      <c r="T62" s="402"/>
      <c r="U62" s="402"/>
      <c r="V62" s="402"/>
      <c r="W62" s="402"/>
      <c r="X62" s="402"/>
      <c r="Y62" s="402"/>
      <c r="Z62" s="402"/>
      <c r="AA62" s="402"/>
      <c r="AB62" s="402"/>
      <c r="AC62" s="402"/>
      <c r="AD62" s="402"/>
      <c r="AE62" s="402"/>
      <c r="AF62" s="402"/>
      <c r="AG62" s="402"/>
      <c r="AH62" s="402"/>
      <c r="AI62" s="402"/>
      <c r="AJ62" s="402"/>
      <c r="AK62" s="402"/>
    </row>
    <row r="63" spans="1:37" ht="15.5" customHeight="1" x14ac:dyDescent="0.2">
      <c r="A63" s="402"/>
      <c r="B63" s="402"/>
      <c r="C63" s="402"/>
      <c r="D63" s="402"/>
      <c r="E63" s="402"/>
      <c r="F63" s="402"/>
      <c r="G63" s="402"/>
      <c r="H63" s="402"/>
      <c r="I63" s="402"/>
      <c r="J63" s="402"/>
      <c r="K63" s="402"/>
      <c r="L63" s="402"/>
      <c r="M63" s="402"/>
      <c r="N63" s="402"/>
      <c r="O63" s="402"/>
      <c r="P63" s="402"/>
      <c r="Q63" s="402"/>
      <c r="R63" s="402"/>
      <c r="S63" s="402"/>
      <c r="T63" s="402"/>
      <c r="U63" s="402"/>
      <c r="V63" s="402"/>
      <c r="W63" s="402"/>
      <c r="X63" s="402"/>
      <c r="Y63" s="402"/>
      <c r="Z63" s="402"/>
      <c r="AA63" s="402"/>
      <c r="AB63" s="402"/>
      <c r="AC63" s="402"/>
      <c r="AD63" s="402"/>
      <c r="AE63" s="402"/>
      <c r="AF63" s="402"/>
      <c r="AG63" s="402"/>
      <c r="AH63" s="402"/>
      <c r="AI63" s="402"/>
      <c r="AJ63" s="402"/>
      <c r="AK63" s="402"/>
    </row>
    <row r="64" spans="1:37" ht="15.5" customHeight="1" x14ac:dyDescent="0.2">
      <c r="A64" s="402"/>
      <c r="B64" s="402"/>
      <c r="C64" s="402"/>
      <c r="D64" s="402"/>
      <c r="E64" s="402"/>
      <c r="F64" s="402"/>
      <c r="G64" s="402"/>
      <c r="H64" s="402"/>
      <c r="I64" s="402"/>
      <c r="J64" s="402"/>
      <c r="K64" s="402"/>
      <c r="L64" s="402"/>
      <c r="M64" s="402"/>
      <c r="N64" s="402"/>
      <c r="O64" s="402"/>
      <c r="P64" s="402"/>
      <c r="Q64" s="402"/>
      <c r="R64" s="402"/>
      <c r="S64" s="402"/>
      <c r="T64" s="402"/>
      <c r="U64" s="402"/>
      <c r="V64" s="402"/>
      <c r="W64" s="402"/>
      <c r="X64" s="402"/>
      <c r="Y64" s="402"/>
      <c r="Z64" s="402"/>
      <c r="AA64" s="402"/>
      <c r="AB64" s="402"/>
      <c r="AC64" s="402"/>
      <c r="AD64" s="402"/>
      <c r="AE64" s="402"/>
      <c r="AF64" s="402"/>
      <c r="AG64" s="402"/>
      <c r="AH64" s="402"/>
      <c r="AI64" s="402"/>
      <c r="AJ64" s="402"/>
      <c r="AK64" s="402"/>
    </row>
    <row r="65" spans="1:37" ht="15.5" customHeight="1" x14ac:dyDescent="0.2">
      <c r="A65" s="402"/>
      <c r="B65" s="402"/>
      <c r="C65" s="402"/>
      <c r="D65" s="402"/>
      <c r="E65" s="402"/>
      <c r="F65" s="402"/>
      <c r="G65" s="402"/>
      <c r="H65" s="402"/>
      <c r="I65" s="402"/>
      <c r="J65" s="402"/>
      <c r="K65" s="402"/>
      <c r="L65" s="402"/>
      <c r="M65" s="402"/>
      <c r="N65" s="402"/>
      <c r="O65" s="402"/>
      <c r="P65" s="402"/>
      <c r="Q65" s="402"/>
      <c r="R65" s="402"/>
      <c r="S65" s="402"/>
      <c r="T65" s="402"/>
      <c r="U65" s="402"/>
      <c r="V65" s="402"/>
      <c r="W65" s="402"/>
      <c r="X65" s="402"/>
      <c r="Y65" s="402"/>
      <c r="Z65" s="402"/>
      <c r="AA65" s="402"/>
      <c r="AB65" s="402"/>
      <c r="AC65" s="402"/>
      <c r="AD65" s="402"/>
      <c r="AE65" s="402"/>
      <c r="AF65" s="402"/>
      <c r="AG65" s="402"/>
      <c r="AH65" s="402"/>
      <c r="AI65" s="402"/>
      <c r="AJ65" s="402"/>
      <c r="AK65" s="402"/>
    </row>
    <row r="66" spans="1:37" ht="15.5" customHeight="1" x14ac:dyDescent="0.2">
      <c r="A66" s="402"/>
      <c r="B66" s="402"/>
      <c r="C66" s="402"/>
      <c r="D66" s="402"/>
      <c r="E66" s="402"/>
      <c r="F66" s="402"/>
      <c r="G66" s="402"/>
      <c r="H66" s="402"/>
      <c r="I66" s="402"/>
      <c r="J66" s="402"/>
      <c r="K66" s="402"/>
      <c r="L66" s="402"/>
      <c r="M66" s="402"/>
      <c r="N66" s="402"/>
      <c r="O66" s="402"/>
      <c r="P66" s="402"/>
      <c r="Q66" s="402"/>
      <c r="R66" s="402"/>
      <c r="S66" s="402"/>
      <c r="T66" s="402"/>
      <c r="U66" s="402"/>
      <c r="V66" s="402"/>
      <c r="W66" s="402"/>
      <c r="X66" s="402"/>
      <c r="Y66" s="402"/>
      <c r="Z66" s="402"/>
      <c r="AA66" s="402"/>
      <c r="AB66" s="402"/>
      <c r="AC66" s="402"/>
      <c r="AD66" s="402"/>
      <c r="AE66" s="402"/>
      <c r="AF66" s="402"/>
      <c r="AG66" s="402"/>
      <c r="AH66" s="402"/>
      <c r="AI66" s="402"/>
      <c r="AJ66" s="402"/>
      <c r="AK66" s="402"/>
    </row>
    <row r="67" spans="1:37" ht="15.5" customHeight="1" x14ac:dyDescent="0.2">
      <c r="A67" s="402"/>
      <c r="B67" s="402"/>
      <c r="C67" s="402"/>
      <c r="D67" s="402"/>
      <c r="E67" s="402"/>
      <c r="F67" s="402"/>
      <c r="G67" s="402"/>
      <c r="H67" s="402"/>
      <c r="I67" s="402"/>
      <c r="J67" s="402"/>
      <c r="K67" s="402"/>
      <c r="L67" s="402"/>
      <c r="M67" s="402"/>
      <c r="N67" s="402"/>
      <c r="O67" s="402"/>
      <c r="P67" s="402"/>
      <c r="Q67" s="402"/>
      <c r="R67" s="402"/>
      <c r="S67" s="402"/>
      <c r="T67" s="402"/>
      <c r="U67" s="402"/>
      <c r="V67" s="402"/>
      <c r="W67" s="402"/>
      <c r="X67" s="402"/>
      <c r="Y67" s="402"/>
      <c r="Z67" s="402"/>
      <c r="AA67" s="402"/>
      <c r="AB67" s="402"/>
      <c r="AC67" s="402"/>
      <c r="AD67" s="402"/>
      <c r="AE67" s="402"/>
      <c r="AF67" s="402"/>
      <c r="AG67" s="402"/>
      <c r="AH67" s="402"/>
      <c r="AI67" s="402"/>
      <c r="AJ67" s="402"/>
      <c r="AK67" s="402"/>
    </row>
    <row r="68" spans="1:37" ht="15.5" customHeight="1" x14ac:dyDescent="0.2">
      <c r="A68" s="402"/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402"/>
      <c r="M68" s="402"/>
      <c r="N68" s="402"/>
      <c r="O68" s="402"/>
      <c r="P68" s="402"/>
      <c r="Q68" s="402"/>
      <c r="R68" s="402"/>
      <c r="S68" s="402"/>
      <c r="T68" s="402"/>
      <c r="U68" s="402"/>
      <c r="V68" s="402"/>
      <c r="W68" s="402"/>
      <c r="X68" s="402"/>
      <c r="Y68" s="402"/>
      <c r="Z68" s="402"/>
      <c r="AA68" s="402"/>
      <c r="AB68" s="402"/>
      <c r="AC68" s="402"/>
      <c r="AD68" s="402"/>
      <c r="AE68" s="402"/>
      <c r="AF68" s="402"/>
      <c r="AG68" s="402"/>
      <c r="AH68" s="402"/>
      <c r="AI68" s="402"/>
      <c r="AJ68" s="402"/>
      <c r="AK68" s="402"/>
    </row>
    <row r="69" spans="1:37" ht="15.5" customHeight="1" x14ac:dyDescent="0.2">
      <c r="A69" s="402"/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402"/>
      <c r="M69" s="402"/>
      <c r="N69" s="402"/>
      <c r="O69" s="402"/>
      <c r="P69" s="402"/>
      <c r="Q69" s="402"/>
      <c r="R69" s="402"/>
      <c r="S69" s="402"/>
      <c r="T69" s="402"/>
      <c r="U69" s="402"/>
      <c r="V69" s="402"/>
      <c r="W69" s="402"/>
      <c r="X69" s="402"/>
      <c r="Y69" s="402"/>
      <c r="Z69" s="402"/>
      <c r="AA69" s="402"/>
      <c r="AB69" s="402"/>
      <c r="AC69" s="402"/>
      <c r="AD69" s="402"/>
      <c r="AE69" s="402"/>
      <c r="AF69" s="402"/>
      <c r="AG69" s="402"/>
      <c r="AH69" s="402"/>
      <c r="AI69" s="402"/>
      <c r="AJ69" s="402"/>
      <c r="AK69" s="402"/>
    </row>
    <row r="70" spans="1:37" ht="15.5" customHeight="1" x14ac:dyDescent="0.2">
      <c r="A70" s="402"/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402"/>
      <c r="M70" s="402"/>
      <c r="N70" s="402"/>
      <c r="O70" s="402"/>
      <c r="P70" s="402"/>
      <c r="Q70" s="402"/>
      <c r="R70" s="402"/>
      <c r="S70" s="402"/>
      <c r="T70" s="402"/>
      <c r="U70" s="402"/>
      <c r="V70" s="402"/>
      <c r="W70" s="402"/>
      <c r="X70" s="402"/>
      <c r="Y70" s="402"/>
      <c r="Z70" s="402"/>
      <c r="AA70" s="402"/>
      <c r="AB70" s="402"/>
      <c r="AC70" s="402"/>
      <c r="AD70" s="402"/>
      <c r="AE70" s="402"/>
      <c r="AF70" s="402"/>
      <c r="AG70" s="402"/>
      <c r="AH70" s="402"/>
      <c r="AI70" s="402"/>
      <c r="AJ70" s="402"/>
      <c r="AK70" s="402"/>
    </row>
    <row r="71" spans="1:37" ht="15.5" customHeight="1" x14ac:dyDescent="0.2">
      <c r="A71" s="402"/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402"/>
      <c r="M71" s="402"/>
      <c r="N71" s="402"/>
      <c r="O71" s="402"/>
      <c r="P71" s="402"/>
      <c r="Q71" s="402"/>
      <c r="R71" s="402"/>
      <c r="S71" s="402"/>
      <c r="T71" s="402"/>
      <c r="U71" s="402"/>
      <c r="V71" s="402"/>
      <c r="W71" s="402"/>
      <c r="X71" s="402"/>
      <c r="Y71" s="402"/>
      <c r="Z71" s="402"/>
      <c r="AA71" s="402"/>
      <c r="AB71" s="402"/>
      <c r="AC71" s="402"/>
      <c r="AD71" s="402"/>
      <c r="AE71" s="402"/>
      <c r="AF71" s="402"/>
      <c r="AG71" s="402"/>
      <c r="AH71" s="402"/>
      <c r="AI71" s="402"/>
      <c r="AJ71" s="402"/>
      <c r="AK71" s="402"/>
    </row>
  </sheetData>
  <mergeCells count="49">
    <mergeCell ref="F6"/>
    <mergeCell ref="R7:R8"/>
    <mergeCell ref="B60:S60"/>
    <mergeCell ref="I7:I8"/>
    <mergeCell ref="J43:P45"/>
    <mergeCell ref="O9"/>
    <mergeCell ref="G30:H30"/>
    <mergeCell ref="K8:K9"/>
    <mergeCell ref="C7:C8"/>
    <mergeCell ref="C29:F29"/>
    <mergeCell ref="G29:H29"/>
    <mergeCell ref="C31:F31"/>
    <mergeCell ref="J48:P49"/>
    <mergeCell ref="L9"/>
    <mergeCell ref="E8:E9"/>
    <mergeCell ref="F9"/>
    <mergeCell ref="H6:H7"/>
    <mergeCell ref="F7:F8"/>
    <mergeCell ref="R6"/>
    <mergeCell ref="N6:N7"/>
    <mergeCell ref="O7:O8"/>
    <mergeCell ref="C9"/>
    <mergeCell ref="H8:H9"/>
    <mergeCell ref="L7:L8"/>
    <mergeCell ref="R9"/>
    <mergeCell ref="I9"/>
    <mergeCell ref="I6"/>
    <mergeCell ref="N8:N9"/>
    <mergeCell ref="C6"/>
    <mergeCell ref="E6:E7"/>
    <mergeCell ref="O6"/>
    <mergeCell ref="Q6:Q7"/>
    <mergeCell ref="Q8:Q9"/>
    <mergeCell ref="M2:O2"/>
    <mergeCell ref="J2:K2"/>
    <mergeCell ref="G32:H32"/>
    <mergeCell ref="K6:K7"/>
    <mergeCell ref="G31:H31"/>
    <mergeCell ref="M3:O4"/>
    <mergeCell ref="B2:H3"/>
    <mergeCell ref="C32:F32"/>
    <mergeCell ref="C28:F28"/>
    <mergeCell ref="J3:K4"/>
    <mergeCell ref="B4:H4"/>
    <mergeCell ref="C30:F30"/>
    <mergeCell ref="G28:H28"/>
    <mergeCell ref="B6:B7"/>
    <mergeCell ref="B8:B9"/>
    <mergeCell ref="L6"/>
  </mergeCells>
  <conditionalFormatting sqref="C9">
    <cfRule type="expression" dxfId="79" priority="1">
      <formula>LEFT(C9,1)="▲"</formula>
    </cfRule>
    <cfRule type="expression" dxfId="78" priority="2">
      <formula>LEFT(C9,1)="▼"</formula>
    </cfRule>
  </conditionalFormatting>
  <conditionalFormatting sqref="F9">
    <cfRule type="expression" dxfId="77" priority="3">
      <formula>LEFT(F9,1)="▲"</formula>
    </cfRule>
    <cfRule type="expression" dxfId="76" priority="4">
      <formula>LEFT(F9,1)="▼"</formula>
    </cfRule>
  </conditionalFormatting>
  <conditionalFormatting sqref="I9">
    <cfRule type="expression" dxfId="75" priority="5">
      <formula>LEFT(I9,1)="▲"</formula>
    </cfRule>
    <cfRule type="expression" dxfId="74" priority="6">
      <formula>LEFT(I9,1)="▼"</formula>
    </cfRule>
  </conditionalFormatting>
  <dataValidations count="1">
    <dataValidation type="list" allowBlank="1" sqref="J3" xr:uid="{00000000-0002-0000-0000-000000000000}">
      <formula1>YearList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DC23-582C-E144-AD70-AD8A31E7DA6F}">
  <sheetPr codeName="Sheet1">
    <tabColor rgb="FF7C3AED"/>
  </sheetPr>
  <dimension ref="A1:AS85"/>
  <sheetViews>
    <sheetView showGridLines="0" zoomScale="110" zoomScaleNormal="80" workbookViewId="0">
      <pane ySplit="5" topLeftCell="A6" activePane="bottomLeft" state="frozen"/>
      <selection pane="bottomLeft" activeCell="G5" sqref="G5"/>
    </sheetView>
  </sheetViews>
  <sheetFormatPr baseColWidth="10" defaultColWidth="8.5" defaultRowHeight="15" x14ac:dyDescent="0.2"/>
  <cols>
    <col min="1" max="2" width="1.5" customWidth="1"/>
    <col min="3" max="3" width="15" customWidth="1"/>
    <col min="4" max="4" width="15.5" bestFit="1" customWidth="1"/>
    <col min="5" max="6" width="15" customWidth="1"/>
    <col min="7" max="7" width="17.33203125" customWidth="1"/>
    <col min="8" max="8" width="17.5" customWidth="1"/>
    <col min="9" max="9" width="15" customWidth="1"/>
    <col min="10" max="10" width="11.5" customWidth="1"/>
    <col min="13" max="13" width="8.5" style="1"/>
    <col min="23" max="23" width="8.5" style="1"/>
    <col min="26" max="26" width="11.83203125" style="321" bestFit="1" customWidth="1"/>
    <col min="27" max="28" width="10.83203125" style="321" customWidth="1"/>
    <col min="29" max="29" width="14.6640625" style="321" customWidth="1"/>
    <col min="30" max="30" width="10.83203125" style="321" customWidth="1"/>
    <col min="31" max="31" width="12.1640625" style="321" customWidth="1"/>
    <col min="32" max="32" width="10.83203125" customWidth="1"/>
    <col min="33" max="33" width="9.83203125" customWidth="1"/>
    <col min="34" max="34" width="9.6640625" customWidth="1"/>
    <col min="35" max="35" width="11" customWidth="1"/>
    <col min="36" max="36" width="10.33203125" customWidth="1"/>
    <col min="37" max="37" width="11.6640625" customWidth="1"/>
    <col min="38" max="38" width="10.83203125" customWidth="1"/>
    <col min="43" max="43" width="15" customWidth="1"/>
    <col min="44" max="45" width="11" customWidth="1"/>
  </cols>
  <sheetData>
    <row r="1" spans="1:45" ht="6" customHeight="1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45" ht="28.5" customHeight="1" x14ac:dyDescent="0.2">
      <c r="A2" s="3"/>
      <c r="B2" s="3"/>
      <c r="C2" s="470" t="s">
        <v>0</v>
      </c>
      <c r="D2" s="470"/>
      <c r="E2" s="470"/>
      <c r="F2" s="470"/>
      <c r="G2" s="470"/>
      <c r="H2" s="470"/>
      <c r="I2" s="471" t="str">
        <f ca="1">TEXT(TODAY(),"DD MMM YYYY")</f>
        <v>08 Aug 2026</v>
      </c>
      <c r="J2" s="471"/>
      <c r="K2" s="2"/>
      <c r="Y2" s="468" t="s">
        <v>1</v>
      </c>
      <c r="Z2" s="468"/>
      <c r="AA2" s="468"/>
      <c r="AB2" s="468"/>
      <c r="AC2" s="468"/>
      <c r="AD2" s="468"/>
      <c r="AF2" s="468" t="s">
        <v>2</v>
      </c>
      <c r="AG2" s="468"/>
      <c r="AH2" s="468"/>
      <c r="AI2" s="468"/>
      <c r="AJ2" s="468"/>
      <c r="AK2" s="468"/>
      <c r="AL2" s="468"/>
      <c r="AM2" s="468"/>
      <c r="AN2" s="468"/>
      <c r="AO2" s="468"/>
      <c r="AP2" s="468"/>
      <c r="AQ2" s="468"/>
      <c r="AR2" s="468"/>
      <c r="AS2" s="468"/>
    </row>
    <row r="3" spans="1:45" ht="15.75" customHeight="1" thickBo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Y3" s="321"/>
      <c r="AD3" s="325" t="str">
        <f>IF($AD$19&gt;0,"✦ Surplus","▼ Deficit")</f>
        <v>✦ Surplus</v>
      </c>
      <c r="AF3" s="4" t="s">
        <v>3</v>
      </c>
      <c r="AG3" s="5">
        <v>2021</v>
      </c>
      <c r="AH3" s="5">
        <v>2022</v>
      </c>
      <c r="AI3" s="5">
        <v>2023</v>
      </c>
      <c r="AJ3" s="5">
        <v>2024</v>
      </c>
      <c r="AK3" s="5">
        <v>2025</v>
      </c>
      <c r="AL3" s="5">
        <v>2026</v>
      </c>
      <c r="AM3" s="5">
        <v>2027</v>
      </c>
      <c r="AN3" s="5">
        <v>2028</v>
      </c>
      <c r="AO3" s="5">
        <v>2029</v>
      </c>
      <c r="AP3" s="5">
        <v>2030</v>
      </c>
      <c r="AQ3" s="5" t="s">
        <v>4</v>
      </c>
      <c r="AR3" s="5" t="s">
        <v>5</v>
      </c>
      <c r="AS3" s="6" t="s">
        <v>6</v>
      </c>
    </row>
    <row r="4" spans="1:45" ht="19.5" customHeight="1" thickBo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Y4" s="332" t="s">
        <v>7</v>
      </c>
      <c r="Z4" s="333" t="s">
        <v>8</v>
      </c>
      <c r="AA4" s="334" t="s">
        <v>9</v>
      </c>
      <c r="AB4" s="335" t="s">
        <v>10</v>
      </c>
      <c r="AC4" s="336" t="s">
        <v>11</v>
      </c>
      <c r="AD4" s="337" t="s">
        <v>12</v>
      </c>
      <c r="AF4" s="42" t="str" cm="1">
        <f t="array" ref="AF4:AF23">IFERROR((Settings!$D$13:D32)," ")</f>
        <v>Alka</v>
      </c>
      <c r="AG4" s="43" cm="1">
        <f t="array" ref="AG4">IFERROR(SUMPRODUCT((YEAR(Transactions!$C$9:$C$5005)=AG$3)*(Transactions!$G$9:$G$5005=$AF4)*(Transactions!$F$9:$F$5005="Expense")*(Transactions!$I$9:$I$5005)),0)</f>
        <v>0</v>
      </c>
      <c r="AH4" s="43" cm="1">
        <f t="array" ref="AH4">IFERROR(SUMPRODUCT((YEAR(Transactions!$C$9:$C$5005)=AH$3)*(Transactions!$G$9:$G$5005=$AF4)*(Transactions!$F$9:$F$5005="Expense")*(Transactions!$I$9:$I$5005)),0)</f>
        <v>0</v>
      </c>
      <c r="AI4" s="43" cm="1">
        <f t="array" ref="AI4">IFERROR(SUMPRODUCT((YEAR(Transactions!$C$9:$C$5005)=AI$3)*(Transactions!$G$9:$G$5005=$AF4)*(Transactions!$F$9:$F$5005="Expense")*(Transactions!$I$9:$I$5005)),0)</f>
        <v>0</v>
      </c>
      <c r="AJ4" s="43" cm="1">
        <f t="array" ref="AJ4">IFERROR(SUMPRODUCT((YEAR(Transactions!$C$9:$C$5005)=AJ$3)*(Transactions!$G$9:$G$5005=$AF4)*(Transactions!$F$9:$F$5005="Expense")*(Transactions!$I$9:$I$5005)),0)</f>
        <v>0</v>
      </c>
      <c r="AK4" s="43" cm="1">
        <f t="array" ref="AK4">IFERROR(SUMPRODUCT((YEAR(Transactions!$C$9:$C$5005)=AK$3)*(Transactions!$G$9:$G$5005=$AF4)*(Transactions!$F$9:$F$5005="Expense")*(Transactions!$I$9:$I$5005)),0)</f>
        <v>-19941</v>
      </c>
      <c r="AL4" s="43" cm="1">
        <f t="array" ref="AL4">IFERROR(SUMPRODUCT((YEAR(Transactions!$C$9:$C$5005)=AL$3)*(Transactions!$G$9:$G$5005=$AF4)*(Transactions!$F$9:$F$5005="Expense")*(Transactions!$I$9:$I$5005)),0)</f>
        <v>-44600</v>
      </c>
      <c r="AM4" s="43" cm="1">
        <f t="array" ref="AM4">IFERROR(SUMPRODUCT((YEAR(Transactions!$C$9:$C$5005)=AM$3)*(Transactions!$G$9:$G$5005=$AF4)*(Transactions!$F$9:$F$5005="Expense")*(Transactions!$I$9:$I$5005)),0)</f>
        <v>0</v>
      </c>
      <c r="AN4" s="43" cm="1">
        <f t="array" ref="AN4">IFERROR(SUMPRODUCT((YEAR(Transactions!$C$9:$C$5005)=AN$3)*(Transactions!$G$9:$G$5005=$AF4)*(Transactions!$F$9:$F$5005="Expense")*(Transactions!$I$9:$I$5005)),0)</f>
        <v>0</v>
      </c>
      <c r="AO4" s="43" cm="1">
        <f t="array" ref="AO4">IFERROR(SUMPRODUCT((YEAR(Transactions!$C$9:$C$5005)=AO$3)*(Transactions!$G$9:$G$5005=$AF4)*(Transactions!$F$9:$F$5005="Expense")*(Transactions!$I$9:$I$5005)),0)</f>
        <v>0</v>
      </c>
      <c r="AP4" s="43" cm="1">
        <f t="array" ref="AP4">IFERROR(SUMPRODUCT((YEAR(Transactions!$C$9:$C$5005)=AP$3)*(Transactions!$G$9:$G$5005=$AF4)*(Transactions!$F$9:$F$5005="Expense")*(Transactions!$I$9:$I$5005)),0)</f>
        <v>0</v>
      </c>
      <c r="AQ4" s="346">
        <f>-SUM(AG4:AP4)</f>
        <v>64541</v>
      </c>
      <c r="AR4" s="346" cm="1">
        <f t="array" ref="AR4">IFERROR(SUMPRODUCT((Transactions!$G$9:$G$5005=$AF4)*(Transactions!$F$9:$F$5005="Income")*(Transactions!$I$9:$I$5005)),0)</f>
        <v>0</v>
      </c>
      <c r="AS4" s="44">
        <f>AQ4-AR4</f>
        <v>64541</v>
      </c>
    </row>
    <row r="5" spans="1:45" ht="16.5" customHeight="1" thickBot="1" x14ac:dyDescent="0.25">
      <c r="A5" s="2"/>
      <c r="B5" s="2"/>
      <c r="C5" s="323"/>
      <c r="D5" s="323" t="s">
        <v>13</v>
      </c>
      <c r="E5" s="345">
        <v>2026</v>
      </c>
      <c r="F5" s="114" t="s">
        <v>1025</v>
      </c>
      <c r="G5" s="345">
        <v>5</v>
      </c>
      <c r="H5" s="114" t="s">
        <v>1026</v>
      </c>
      <c r="I5" s="325" t="str">
        <f>IF($I$30&gt;0,"✦ Surplus","▼ Deficit")</f>
        <v>▼ Deficit</v>
      </c>
      <c r="J5" s="114"/>
      <c r="K5" s="2"/>
      <c r="Y5" s="338">
        <v>2021</v>
      </c>
      <c r="Z5" s="339">
        <f>IFERROR(SUMIFS(Transactions!$H$9:$H4991,Transactions!$E$9:$E4991,'🏠 Dashboard'!Y5,Transactions!$F$9:$F4991,"Income"),0)</f>
        <v>147316</v>
      </c>
      <c r="AA5" s="340">
        <f>IFERROR(SUMIFS(Transactions!$H$9:$H4990,Transactions!$E$9:$E4990,'🏠 Dashboard'!Y5,Transactions!$F$9:$F4990,"Expense"),0)</f>
        <v>16122.980000000214</v>
      </c>
      <c r="AB5" s="341">
        <f>IFERROR(SUMIFS(Transactions!$H$9:$H4989,Transactions!$E$9:$E4989,'🏠 Dashboard'!Y5,Transactions!$F$9:$F4989,"Investment"),0)</f>
        <v>55000</v>
      </c>
      <c r="AC5" s="342">
        <f>Z5-AA5-AB5</f>
        <v>76193.019999999786</v>
      </c>
      <c r="AD5" s="320">
        <f>IFERROR(AC5/Z5,0)</f>
        <v>0.51720804257514308</v>
      </c>
      <c r="AF5" s="45" t="str">
        <v>Cashflow</v>
      </c>
      <c r="AG5" s="43" cm="1">
        <f t="array" ref="AG5">IFERROR(SUMPRODUCT((YEAR(Transactions!$C$9:$C$5005)=AG$3)*(Transactions!$G$9:$G$5005=$AF5)*(Transactions!$F$9:$F$5005="Expense")*(Transactions!$I$9:$I$5005)),0)</f>
        <v>76407.019999999786</v>
      </c>
      <c r="AH5" s="43" cm="1">
        <f t="array" ref="AH5">IFERROR(SUMPRODUCT((YEAR(Transactions!$C$9:$C$5005)=AH$3)*(Transactions!$G$9:$G$5005=$AF5)*(Transactions!$F$9:$F$5005="Expense")*(Transactions!$I$9:$I$5005)),0)</f>
        <v>0</v>
      </c>
      <c r="AI5" s="43" cm="1">
        <f t="array" ref="AI5">IFERROR(SUMPRODUCT((YEAR(Transactions!$C$9:$C$5005)=AI$3)*(Transactions!$G$9:$G$5005=$AF5)*(Transactions!$F$9:$F$5005="Expense")*(Transactions!$I$9:$I$5005)),0)</f>
        <v>0</v>
      </c>
      <c r="AJ5" s="43" cm="1">
        <f t="array" ref="AJ5">IFERROR(SUMPRODUCT((YEAR(Transactions!$C$9:$C$5005)=AJ$3)*(Transactions!$G$9:$G$5005=$AF5)*(Transactions!$F$9:$F$5005="Expense")*(Transactions!$I$9:$I$5005)),0)</f>
        <v>0</v>
      </c>
      <c r="AK5" s="43" cm="1">
        <f t="array" ref="AK5">IFERROR(SUMPRODUCT((YEAR(Transactions!$C$9:$C$5005)=AK$3)*(Transactions!$G$9:$G$5005=$AF5)*(Transactions!$F$9:$F$5005="Expense")*(Transactions!$I$9:$I$5005)),0)</f>
        <v>0</v>
      </c>
      <c r="AL5" s="43" cm="1">
        <f t="array" ref="AL5">IFERROR(SUMPRODUCT((YEAR(Transactions!$C$9:$C$5005)=AL$3)*(Transactions!$G$9:$G$5005=$AF5)*(Transactions!$F$9:$F$5005="Expense")*(Transactions!$I$9:$I$5005)),0)</f>
        <v>0</v>
      </c>
      <c r="AM5" s="43" cm="1">
        <f t="array" ref="AM5">IFERROR(SUMPRODUCT((YEAR(Transactions!$C$9:$C$5005)=AM$3)*(Transactions!$G$9:$G$5005=$AF5)*(Transactions!$F$9:$F$5005="Expense")*(Transactions!$I$9:$I$5005)),0)</f>
        <v>0</v>
      </c>
      <c r="AN5" s="43" cm="1">
        <f t="array" ref="AN5">IFERROR(SUMPRODUCT((YEAR(Transactions!$C$9:$C$5005)=AN$3)*(Transactions!$G$9:$G$5005=$AF5)*(Transactions!$F$9:$F$5005="Expense")*(Transactions!$I$9:$I$5005)),0)</f>
        <v>0</v>
      </c>
      <c r="AO5" s="43" cm="1">
        <f t="array" ref="AO5">IFERROR(SUMPRODUCT((YEAR(Transactions!$C$9:$C$5005)=AO$3)*(Transactions!$G$9:$G$5005=$AF5)*(Transactions!$F$9:$F$5005="Expense")*(Transactions!$I$9:$I$5005)),0)</f>
        <v>0</v>
      </c>
      <c r="AP5" s="43" cm="1">
        <f t="array" ref="AP5">IFERROR(SUMPRODUCT((YEAR(Transactions!$C$9:$C$5005)=AP$3)*(Transactions!$G$9:$G$5005=$AF5)*(Transactions!$F$9:$F$5005="Expense")*(Transactions!$I$9:$I$5005)),0)</f>
        <v>0</v>
      </c>
      <c r="AQ5" s="346">
        <f t="shared" ref="AQ5:AQ23" si="0">-SUM(AG5:AP5)</f>
        <v>-76407.019999999786</v>
      </c>
      <c r="AR5" s="346" cm="1">
        <f t="array" ref="AR5">IFERROR(SUMPRODUCT((Transactions!$G$9:$G$5005=$AF5)*(Transactions!$F$9:$F$5005="Income")*(Transactions!$I$9:$I$5005)),0)</f>
        <v>0</v>
      </c>
      <c r="AS5" s="44">
        <f t="shared" ref="AS5:AS23" si="1">AQ5-AR5</f>
        <v>-76407.019999999786</v>
      </c>
    </row>
    <row r="6" spans="1:45" ht="18" customHeight="1" x14ac:dyDescent="0.2">
      <c r="A6" s="2"/>
      <c r="B6" s="2"/>
      <c r="C6" s="477" t="s">
        <v>14</v>
      </c>
      <c r="D6" s="477"/>
      <c r="E6" s="477"/>
      <c r="F6" s="477"/>
      <c r="G6" s="477"/>
      <c r="H6" s="477"/>
      <c r="I6" s="477"/>
      <c r="J6" s="477"/>
      <c r="K6" s="2"/>
      <c r="Y6" s="338">
        <v>2022</v>
      </c>
      <c r="Z6" s="339">
        <f>IFERROR(SUMIFS(Transactions!$H$9:$H4992,Transactions!$E$9:$E4992,'🏠 Dashboard'!Y6,Transactions!$F$9:$F4992,"Income"),0)</f>
        <v>447176</v>
      </c>
      <c r="AA6" s="340">
        <f>IFERROR(SUMIFS(Transactions!$H$9:$H4991,Transactions!$E$9:$E4991,'🏠 Dashboard'!Y6,Transactions!$F$9:$F4991,"Expense"),0)</f>
        <v>203940</v>
      </c>
      <c r="AB6" s="341">
        <f>IFERROR(SUMIFS(Transactions!$H$9:$H4990,Transactions!$E$9:$E4990,'🏠 Dashboard'!Y6,Transactions!$F$9:$F4990,"Investment"),0)</f>
        <v>6800</v>
      </c>
      <c r="AC6" s="342">
        <f t="shared" ref="AC6:AC18" si="2">Z6-AA6-AB6</f>
        <v>236436</v>
      </c>
      <c r="AD6" s="320">
        <f t="shared" ref="AD6:AD19" si="3">IFERROR(AC6/Z6,0)</f>
        <v>0.5287314167128826</v>
      </c>
      <c r="AF6" s="46" t="str">
        <v>Delhi</v>
      </c>
      <c r="AG6" s="43" cm="1">
        <f t="array" ref="AG6">IFERROR(SUMPRODUCT((YEAR(Transactions!$C$9:$C$5005)=AG$3)*(Transactions!$G$9:$G$5005=$AF6)*(Transactions!$F$9:$F$5005="Expense")*(Transactions!$I$9:$I$5005)),0)</f>
        <v>0</v>
      </c>
      <c r="AH6" s="43" cm="1">
        <f t="array" ref="AH6">IFERROR(SUMPRODUCT((YEAR(Transactions!$C$9:$C$5005)=AH$3)*(Transactions!$G$9:$G$5005=$AF6)*(Transactions!$F$9:$F$5005="Expense")*(Transactions!$I$9:$I$5005)),0)</f>
        <v>-2000</v>
      </c>
      <c r="AI6" s="43" cm="1">
        <f t="array" ref="AI6">IFERROR(SUMPRODUCT((YEAR(Transactions!$C$9:$C$5005)=AI$3)*(Transactions!$G$9:$G$5005=$AF6)*(Transactions!$F$9:$F$5005="Expense")*(Transactions!$I$9:$I$5005)),0)</f>
        <v>-59040</v>
      </c>
      <c r="AJ6" s="43" cm="1">
        <f t="array" ref="AJ6">IFERROR(SUMPRODUCT((YEAR(Transactions!$C$9:$C$5005)=AJ$3)*(Transactions!$G$9:$G$5005=$AF6)*(Transactions!$F$9:$F$5005="Expense")*(Transactions!$I$9:$I$5005)),0)</f>
        <v>-101203.31</v>
      </c>
      <c r="AK6" s="43" cm="1">
        <f t="array" ref="AK6">IFERROR(SUMPRODUCT((YEAR(Transactions!$C$9:$C$5005)=AK$3)*(Transactions!$G$9:$G$5005=$AF6)*(Transactions!$F$9:$F$5005="Expense")*(Transactions!$I$9:$I$5005)),0)</f>
        <v>-95711</v>
      </c>
      <c r="AL6" s="43" cm="1">
        <f t="array" ref="AL6">IFERROR(SUMPRODUCT((YEAR(Transactions!$C$9:$C$5005)=AL$3)*(Transactions!$G$9:$G$5005=$AF6)*(Transactions!$F$9:$F$5005="Expense")*(Transactions!$I$9:$I$5005)),0)</f>
        <v>-47375.89</v>
      </c>
      <c r="AM6" s="43" cm="1">
        <f t="array" ref="AM6">IFERROR(SUMPRODUCT((YEAR(Transactions!$C$9:$C$5005)=AM$3)*(Transactions!$G$9:$G$5005=$AF6)*(Transactions!$F$9:$F$5005="Expense")*(Transactions!$I$9:$I$5005)),0)</f>
        <v>0</v>
      </c>
      <c r="AN6" s="43" cm="1">
        <f t="array" ref="AN6">IFERROR(SUMPRODUCT((YEAR(Transactions!$C$9:$C$5005)=AN$3)*(Transactions!$G$9:$G$5005=$AF6)*(Transactions!$F$9:$F$5005="Expense")*(Transactions!$I$9:$I$5005)),0)</f>
        <v>0</v>
      </c>
      <c r="AO6" s="43" cm="1">
        <f t="array" ref="AO6">IFERROR(SUMPRODUCT((YEAR(Transactions!$C$9:$C$5005)=AO$3)*(Transactions!$G$9:$G$5005=$AF6)*(Transactions!$F$9:$F$5005="Expense")*(Transactions!$I$9:$I$5005)),0)</f>
        <v>0</v>
      </c>
      <c r="AP6" s="43" cm="1">
        <f t="array" ref="AP6">IFERROR(SUMPRODUCT((YEAR(Transactions!$C$9:$C$5005)=AP$3)*(Transactions!$G$9:$G$5005=$AF6)*(Transactions!$F$9:$F$5005="Expense")*(Transactions!$I$9:$I$5005)),0)</f>
        <v>0</v>
      </c>
      <c r="AQ6" s="346">
        <f t="shared" si="0"/>
        <v>305330.2</v>
      </c>
      <c r="AR6" s="346" cm="1">
        <f t="array" ref="AR6">IFERROR(SUMPRODUCT((Transactions!$G$9:$G$5005=$AF6)*(Transactions!$F$9:$F$5005="Income")*(Transactions!$I$9:$I$5005)),0)</f>
        <v>4204</v>
      </c>
      <c r="AS6" s="44">
        <f t="shared" si="1"/>
        <v>301126.2</v>
      </c>
    </row>
    <row r="7" spans="1:45" ht="16.5" customHeight="1" x14ac:dyDescent="0.2">
      <c r="A7" s="2"/>
      <c r="B7" s="2"/>
      <c r="C7" s="473" t="s">
        <v>15</v>
      </c>
      <c r="D7" s="473"/>
      <c r="E7" s="474" t="s">
        <v>16</v>
      </c>
      <c r="F7" s="474"/>
      <c r="G7" s="121" t="s">
        <v>10</v>
      </c>
      <c r="H7" s="123" t="s">
        <v>17</v>
      </c>
      <c r="I7" s="478" t="s">
        <v>18</v>
      </c>
      <c r="J7" s="478"/>
      <c r="K7" s="2"/>
      <c r="Y7" s="338">
        <v>2023</v>
      </c>
      <c r="Z7" s="339">
        <f>IFERROR(SUMIFS(Transactions!$H$9:$H4993,Transactions!$E$9:$E4993,'🏠 Dashboard'!Y7,Transactions!$F$9:$F4993,"Income"),0)</f>
        <v>520304</v>
      </c>
      <c r="AA7" s="340">
        <f>IFERROR(SUMIFS(Transactions!$H$9:$H4992,Transactions!$E$9:$E4992,'🏠 Dashboard'!Y7,Transactions!$F$9:$F4992,"Expense"),0)</f>
        <v>495895</v>
      </c>
      <c r="AB7" s="341">
        <f>IFERROR(SUMIFS(Transactions!$H$9:$H4991,Transactions!$E$9:$E4991,'🏠 Dashboard'!Y7,Transactions!$F$9:$F4991,"Investment"),0)</f>
        <v>14504</v>
      </c>
      <c r="AC7" s="342">
        <f t="shared" si="2"/>
        <v>9905</v>
      </c>
      <c r="AD7" s="320">
        <f t="shared" si="3"/>
        <v>1.9036947630615947E-2</v>
      </c>
      <c r="AF7" s="47" t="str">
        <v>Delhi Room</v>
      </c>
      <c r="AG7" s="43" cm="1">
        <f t="array" ref="AG7">IFERROR(SUMPRODUCT((YEAR(Transactions!$C$9:$C$5005)=AG$3)*(Transactions!$G$9:$G$5005=$AF7)*(Transactions!$F$9:$F$5005="Expense")*(Transactions!$I$9:$I$5005)),0)</f>
        <v>0</v>
      </c>
      <c r="AH7" s="43" cm="1">
        <f t="array" ref="AH7">IFERROR(SUMPRODUCT((YEAR(Transactions!$C$9:$C$5005)=AH$3)*(Transactions!$G$9:$G$5005=$AF7)*(Transactions!$F$9:$F$5005="Expense")*(Transactions!$I$9:$I$5005)),0)</f>
        <v>0</v>
      </c>
      <c r="AI7" s="43" cm="1">
        <f t="array" ref="AI7">IFERROR(SUMPRODUCT((YEAR(Transactions!$C$9:$C$5005)=AI$3)*(Transactions!$G$9:$G$5005=$AF7)*(Transactions!$F$9:$F$5005="Expense")*(Transactions!$I$9:$I$5005)),0)</f>
        <v>0</v>
      </c>
      <c r="AJ7" s="43" cm="1">
        <f t="array" ref="AJ7">IFERROR(SUMPRODUCT((YEAR(Transactions!$C$9:$C$5005)=AJ$3)*(Transactions!$G$9:$G$5005=$AF7)*(Transactions!$F$9:$F$5005="Expense")*(Transactions!$I$9:$I$5005)),0)</f>
        <v>0</v>
      </c>
      <c r="AK7" s="43" cm="1">
        <f t="array" ref="AK7">IFERROR(SUMPRODUCT((YEAR(Transactions!$C$9:$C$5005)=AK$3)*(Transactions!$G$9:$G$5005=$AF7)*(Transactions!$F$9:$F$5005="Expense")*(Transactions!$I$9:$I$5005)),0)</f>
        <v>0</v>
      </c>
      <c r="AL7" s="43" cm="1">
        <f t="array" ref="AL7">IFERROR(SUMPRODUCT((YEAR(Transactions!$C$9:$C$5005)=AL$3)*(Transactions!$G$9:$G$5005=$AF7)*(Transactions!$F$9:$F$5005="Expense")*(Transactions!$I$9:$I$5005)),0)</f>
        <v>-42640</v>
      </c>
      <c r="AM7" s="43" cm="1">
        <f t="array" ref="AM7">IFERROR(SUMPRODUCT((YEAR(Transactions!$C$9:$C$5005)=AM$3)*(Transactions!$G$9:$G$5005=$AF7)*(Transactions!$F$9:$F$5005="Expense")*(Transactions!$I$9:$I$5005)),0)</f>
        <v>0</v>
      </c>
      <c r="AN7" s="43" cm="1">
        <f t="array" ref="AN7">IFERROR(SUMPRODUCT((YEAR(Transactions!$C$9:$C$5005)=AN$3)*(Transactions!$G$9:$G$5005=$AF7)*(Transactions!$F$9:$F$5005="Expense")*(Transactions!$I$9:$I$5005)),0)</f>
        <v>0</v>
      </c>
      <c r="AO7" s="43" cm="1">
        <f t="array" ref="AO7">IFERROR(SUMPRODUCT((YEAR(Transactions!$C$9:$C$5005)=AO$3)*(Transactions!$G$9:$G$5005=$AF7)*(Transactions!$F$9:$F$5005="Expense")*(Transactions!$I$9:$I$5005)),0)</f>
        <v>0</v>
      </c>
      <c r="AP7" s="43" cm="1">
        <f t="array" ref="AP7">IFERROR(SUMPRODUCT((YEAR(Transactions!$C$9:$C$5005)=AP$3)*(Transactions!$G$9:$G$5005=$AF7)*(Transactions!$F$9:$F$5005="Expense")*(Transactions!$I$9:$I$5005)),0)</f>
        <v>0</v>
      </c>
      <c r="AQ7" s="346">
        <f t="shared" si="0"/>
        <v>42640</v>
      </c>
      <c r="AR7" s="346" cm="1">
        <f t="array" ref="AR7">IFERROR(SUMPRODUCT((Transactions!$G$9:$G$5005=$AF7)*(Transactions!$F$9:$F$5005="Income")*(Transactions!$I$9:$I$5005)),0)</f>
        <v>0</v>
      </c>
      <c r="AS7" s="44">
        <f t="shared" si="1"/>
        <v>42640</v>
      </c>
    </row>
    <row r="8" spans="1:45" ht="29" x14ac:dyDescent="0.2">
      <c r="A8" s="2"/>
      <c r="B8" s="2"/>
      <c r="C8" s="462" cm="1">
        <f t="array" ref="C8">IFERROR(SUMPRODUCT((YEAR(Transactions!$C$9:$C$5005)=$E$5)*(Transactions!$F$9:$F$5005="Income")*(Transactions!$H$9:$H$5005)),0)</f>
        <v>389321</v>
      </c>
      <c r="D8" s="462"/>
      <c r="E8" s="463">
        <f>IFERROR(SUMPRODUCT((YEAR(Transactions!$C$9:$C$5005)=$E$5)*(Transactions!$F$9:$F$5005="Expense")*(Transactions!$H$9:$H$5005)),0)</f>
        <v>479689.43999999994</v>
      </c>
      <c r="F8" s="463"/>
      <c r="G8" s="122" cm="1">
        <f t="array" ref="G8">IFERROR(SUMPRODUCT((YEAR(Transactions!$C$9:$C$5005)=$E$5)*(Transactions!$F$9:$F$5005="Investment")*(Transactions!$H$9:$H$5005)),0)</f>
        <v>67386</v>
      </c>
      <c r="H8" s="124">
        <f>AC19</f>
        <v>14208.980000000098</v>
      </c>
      <c r="I8" s="479">
        <f>C8-E8-G8</f>
        <v>-157754.43999999994</v>
      </c>
      <c r="J8" s="479"/>
      <c r="K8" s="2"/>
      <c r="Y8" s="338">
        <v>2024</v>
      </c>
      <c r="Z8" s="339">
        <f>IFERROR(SUMIFS(Transactions!$H$9:$H4994,Transactions!$E$9:$E4994,'🏠 Dashboard'!Y8,Transactions!$F$9:$F4994,"Income"),0)</f>
        <v>722110</v>
      </c>
      <c r="AA8" s="340">
        <f>IFERROR(SUMIFS(Transactions!$H$9:$H4993,Transactions!$E$9:$E4993,'🏠 Dashboard'!Y8,Transactions!$F$9:$F4993,"Expense"),0)</f>
        <v>698384.5299999998</v>
      </c>
      <c r="AB8" s="341">
        <f>IFERROR(SUMIFS(Transactions!$H$9:$H4992,Transactions!$E$9:$E4992,'🏠 Dashboard'!Y8,Transactions!$F$9:$F4992,"Investment"),0)</f>
        <v>16512</v>
      </c>
      <c r="AC8" s="342">
        <f t="shared" si="2"/>
        <v>7213.4700000002049</v>
      </c>
      <c r="AD8" s="320">
        <f t="shared" si="3"/>
        <v>9.9894337427818541E-3</v>
      </c>
      <c r="AF8" s="48" t="str">
        <v>Ed LOAN</v>
      </c>
      <c r="AG8" s="43" cm="1">
        <f t="array" ref="AG8">IFERROR(SUMPRODUCT((YEAR(Transactions!$C$9:$C$5005)=AG$3)*(Transactions!$G$9:$G$5005=$AF8)*(Transactions!$F$9:$F$5005="Expense")*(Transactions!$I$9:$I$5005)),0)</f>
        <v>0</v>
      </c>
      <c r="AH8" s="43" cm="1">
        <f t="array" ref="AH8">IFERROR(SUMPRODUCT((YEAR(Transactions!$C$9:$C$5005)=AH$3)*(Transactions!$G$9:$G$5005=$AF8)*(Transactions!$F$9:$F$5005="Expense")*(Transactions!$I$9:$I$5005)),0)</f>
        <v>0</v>
      </c>
      <c r="AI8" s="43" cm="1">
        <f t="array" ref="AI8">IFERROR(SUMPRODUCT((YEAR(Transactions!$C$9:$C$5005)=AI$3)*(Transactions!$G$9:$G$5005=$AF8)*(Transactions!$F$9:$F$5005="Expense")*(Transactions!$I$9:$I$5005)),0)</f>
        <v>-61929</v>
      </c>
      <c r="AJ8" s="43" cm="1">
        <f t="array" ref="AJ8">IFERROR(SUMPRODUCT((YEAR(Transactions!$C$9:$C$5005)=AJ$3)*(Transactions!$G$9:$G$5005=$AF8)*(Transactions!$F$9:$F$5005="Expense")*(Transactions!$I$9:$I$5005)),0)</f>
        <v>-80708.02</v>
      </c>
      <c r="AK8" s="43" cm="1">
        <f t="array" ref="AK8">IFERROR(SUMPRODUCT((YEAR(Transactions!$C$9:$C$5005)=AK$3)*(Transactions!$G$9:$G$5005=$AF8)*(Transactions!$F$9:$F$5005="Expense")*(Transactions!$I$9:$I$5005)),0)</f>
        <v>-29525.87</v>
      </c>
      <c r="AL8" s="43" cm="1">
        <f t="array" ref="AL8">IFERROR(SUMPRODUCT((YEAR(Transactions!$C$9:$C$5005)=AL$3)*(Transactions!$G$9:$G$5005=$AF8)*(Transactions!$F$9:$F$5005="Expense")*(Transactions!$I$9:$I$5005)),0)</f>
        <v>0</v>
      </c>
      <c r="AM8" s="43" cm="1">
        <f t="array" ref="AM8">IFERROR(SUMPRODUCT((YEAR(Transactions!$C$9:$C$5005)=AM$3)*(Transactions!$G$9:$G$5005=$AF8)*(Transactions!$F$9:$F$5005="Expense")*(Transactions!$I$9:$I$5005)),0)</f>
        <v>0</v>
      </c>
      <c r="AN8" s="43" cm="1">
        <f t="array" ref="AN8">IFERROR(SUMPRODUCT((YEAR(Transactions!$C$9:$C$5005)=AN$3)*(Transactions!$G$9:$G$5005=$AF8)*(Transactions!$F$9:$F$5005="Expense")*(Transactions!$I$9:$I$5005)),0)</f>
        <v>0</v>
      </c>
      <c r="AO8" s="43" cm="1">
        <f t="array" ref="AO8">IFERROR(SUMPRODUCT((YEAR(Transactions!$C$9:$C$5005)=AO$3)*(Transactions!$G$9:$G$5005=$AF8)*(Transactions!$F$9:$F$5005="Expense")*(Transactions!$I$9:$I$5005)),0)</f>
        <v>0</v>
      </c>
      <c r="AP8" s="43" cm="1">
        <f t="array" ref="AP8">IFERROR(SUMPRODUCT((YEAR(Transactions!$C$9:$C$5005)=AP$3)*(Transactions!$G$9:$G$5005=$AF8)*(Transactions!$F$9:$F$5005="Expense")*(Transactions!$I$9:$I$5005)),0)</f>
        <v>0</v>
      </c>
      <c r="AQ8" s="346">
        <f t="shared" si="0"/>
        <v>172162.89</v>
      </c>
      <c r="AR8" s="346" cm="1">
        <f t="array" ref="AR8">IFERROR(SUMPRODUCT((Transactions!$G$9:$G$5005=$AF8)*(Transactions!$F$9:$F$5005="Income")*(Transactions!$I$9:$I$5005)),0)</f>
        <v>0</v>
      </c>
      <c r="AS8" s="44">
        <f t="shared" si="1"/>
        <v>172162.89</v>
      </c>
    </row>
    <row r="9" spans="1:45" ht="15" customHeight="1" x14ac:dyDescent="0.2">
      <c r="A9" s="2"/>
      <c r="B9" s="2"/>
      <c r="C9" s="472"/>
      <c r="D9" s="472"/>
      <c r="E9" s="472"/>
      <c r="F9" s="472"/>
      <c r="G9" s="472"/>
      <c r="H9" s="472"/>
      <c r="I9" s="472"/>
      <c r="J9" s="2"/>
      <c r="K9" s="2"/>
      <c r="Y9" s="338">
        <v>2025</v>
      </c>
      <c r="Z9" s="339">
        <f>IFERROR(SUMIFS(Transactions!$H$9:$H4995,Transactions!$E$9:$E4995,'🏠 Dashboard'!Y9,Transactions!$F$9:$F4995,"Income"),0)</f>
        <v>670000</v>
      </c>
      <c r="AA9" s="340">
        <f>IFERROR(SUMIFS(Transactions!$H$9:$H4994,Transactions!$E$9:$E4994,'🏠 Dashboard'!Y9,Transactions!$F$9:$F4994,"Expense"),0)</f>
        <v>806992.07</v>
      </c>
      <c r="AB9" s="341">
        <f>IFERROR(SUMIFS(Transactions!$H$9:$H4993,Transactions!$E$9:$E4993,'🏠 Dashboard'!Y9,Transactions!$F$9:$F4993,"Investment"),0)</f>
        <v>20792</v>
      </c>
      <c r="AC9" s="342">
        <f t="shared" si="2"/>
        <v>-157784.06999999995</v>
      </c>
      <c r="AD9" s="320">
        <f t="shared" si="3"/>
        <v>-0.23549861194029842</v>
      </c>
      <c r="AF9" s="49" t="str">
        <v>Home</v>
      </c>
      <c r="AG9" s="43" cm="1">
        <f t="array" ref="AG9">IFERROR(SUMPRODUCT((YEAR(Transactions!$C$9:$C$5005)=AG$3)*(Transactions!$G$9:$G$5005=$AF9)*(Transactions!$F$9:$F$5005="Expense")*(Transactions!$I$9:$I$5005)),0)</f>
        <v>-48440</v>
      </c>
      <c r="AH9" s="43" cm="1">
        <f t="array" ref="AH9">IFERROR(SUMPRODUCT((YEAR(Transactions!$C$9:$C$5005)=AH$3)*(Transactions!$G$9:$G$5005=$AF9)*(Transactions!$F$9:$F$5005="Expense")*(Transactions!$I$9:$I$5005)),0)</f>
        <v>-39250</v>
      </c>
      <c r="AI9" s="43" cm="1">
        <f t="array" ref="AI9">IFERROR(SUMPRODUCT((YEAR(Transactions!$C$9:$C$5005)=AI$3)*(Transactions!$G$9:$G$5005=$AF9)*(Transactions!$F$9:$F$5005="Expense")*(Transactions!$I$9:$I$5005)),0)</f>
        <v>-13500</v>
      </c>
      <c r="AJ9" s="43" cm="1">
        <f t="array" ref="AJ9">IFERROR(SUMPRODUCT((YEAR(Transactions!$C$9:$C$5005)=AJ$3)*(Transactions!$G$9:$G$5005=$AF9)*(Transactions!$F$9:$F$5005="Expense")*(Transactions!$I$9:$I$5005)),0)</f>
        <v>-94540.200000000012</v>
      </c>
      <c r="AK9" s="43" cm="1">
        <f t="array" ref="AK9">IFERROR(SUMPRODUCT((YEAR(Transactions!$C$9:$C$5005)=AK$3)*(Transactions!$G$9:$G$5005=$AF9)*(Transactions!$F$9:$F$5005="Expense")*(Transactions!$I$9:$I$5005)),0)</f>
        <v>-84280</v>
      </c>
      <c r="AL9" s="43" cm="1">
        <f t="array" ref="AL9">IFERROR(SUMPRODUCT((YEAR(Transactions!$C$9:$C$5005)=AL$3)*(Transactions!$G$9:$G$5005=$AF9)*(Transactions!$F$9:$F$5005="Expense")*(Transactions!$I$9:$I$5005)),0)</f>
        <v>-51509</v>
      </c>
      <c r="AM9" s="43" cm="1">
        <f t="array" ref="AM9">IFERROR(SUMPRODUCT((YEAR(Transactions!$C$9:$C$5005)=AM$3)*(Transactions!$G$9:$G$5005=$AF9)*(Transactions!$F$9:$F$5005="Expense")*(Transactions!$I$9:$I$5005)),0)</f>
        <v>0</v>
      </c>
      <c r="AN9" s="43" cm="1">
        <f t="array" ref="AN9">IFERROR(SUMPRODUCT((YEAR(Transactions!$C$9:$C$5005)=AN$3)*(Transactions!$G$9:$G$5005=$AF9)*(Transactions!$F$9:$F$5005="Expense")*(Transactions!$I$9:$I$5005)),0)</f>
        <v>0</v>
      </c>
      <c r="AO9" s="43" cm="1">
        <f t="array" ref="AO9">IFERROR(SUMPRODUCT((YEAR(Transactions!$C$9:$C$5005)=AO$3)*(Transactions!$G$9:$G$5005=$AF9)*(Transactions!$F$9:$F$5005="Expense")*(Transactions!$I$9:$I$5005)),0)</f>
        <v>0</v>
      </c>
      <c r="AP9" s="43" cm="1">
        <f t="array" ref="AP9">IFERROR(SUMPRODUCT((YEAR(Transactions!$C$9:$C$5005)=AP$3)*(Transactions!$G$9:$G$5005=$AF9)*(Transactions!$F$9:$F$5005="Expense")*(Transactions!$I$9:$I$5005)),0)</f>
        <v>0</v>
      </c>
      <c r="AQ9" s="346">
        <f t="shared" si="0"/>
        <v>331519.2</v>
      </c>
      <c r="AR9" s="346" cm="1">
        <f t="array" ref="AR9">IFERROR(SUMPRODUCT((Transactions!$G$9:$G$5005=$AF9)*(Transactions!$F$9:$F$5005="Income")*(Transactions!$I$9:$I$5005)),0)</f>
        <v>5000</v>
      </c>
      <c r="AS9" s="44">
        <f t="shared" si="1"/>
        <v>326519.2</v>
      </c>
    </row>
    <row r="10" spans="1:45" ht="15" customHeight="1" x14ac:dyDescent="0.2">
      <c r="A10" s="2"/>
      <c r="B10" s="2"/>
      <c r="C10" s="473" t="s">
        <v>19</v>
      </c>
      <c r="D10" s="473"/>
      <c r="E10" s="474" t="s">
        <v>20</v>
      </c>
      <c r="F10" s="474"/>
      <c r="G10" s="183" t="s">
        <v>21</v>
      </c>
      <c r="H10" s="123" t="s">
        <v>22</v>
      </c>
      <c r="I10" s="475" t="s">
        <v>23</v>
      </c>
      <c r="J10" s="476"/>
      <c r="K10" s="2"/>
      <c r="Y10" s="338">
        <v>2026</v>
      </c>
      <c r="Z10" s="339">
        <f>IFERROR(SUMIFS(Transactions!$H$9:$H4996,Transactions!$E$9:$E4996,'🏠 Dashboard'!Y10,Transactions!$F$9:$F4996,"Income"),0)</f>
        <v>389321</v>
      </c>
      <c r="AA10" s="340">
        <f>IFERROR(SUMIFS(Transactions!$H$9:$H4995,Transactions!$E$9:$E4995,'🏠 Dashboard'!Y10,Transactions!$F$9:$F4995,"Expense"),0)</f>
        <v>479689.43999999994</v>
      </c>
      <c r="AB10" s="341">
        <f>IFERROR(SUMIFS(Transactions!$H$9:$H4994,Transactions!$E$9:$E4994,'🏠 Dashboard'!Y10,Transactions!$F$9:$F4994,"Investment"),0)</f>
        <v>67386</v>
      </c>
      <c r="AC10" s="342">
        <f t="shared" si="2"/>
        <v>-157754.43999999994</v>
      </c>
      <c r="AD10" s="320">
        <f t="shared" si="3"/>
        <v>-0.40520403471685307</v>
      </c>
      <c r="AF10" s="51" t="str">
        <v>Nisha</v>
      </c>
      <c r="AG10" s="43" cm="1">
        <f t="array" ref="AG10">IFERROR(SUMPRODUCT((YEAR(Transactions!$C$9:$C$5005)=AG$3)*(Transactions!$G$9:$G$5005=$AF10)*(Transactions!$F$9:$F$5005="Expense")*(Transactions!$I$9:$I$5005)),0)</f>
        <v>0</v>
      </c>
      <c r="AH10" s="43" cm="1">
        <f t="array" ref="AH10">IFERROR(SUMPRODUCT((YEAR(Transactions!$C$9:$C$5005)=AH$3)*(Transactions!$G$9:$G$5005=$AF10)*(Transactions!$F$9:$F$5005="Expense")*(Transactions!$I$9:$I$5005)),0)</f>
        <v>0</v>
      </c>
      <c r="AI10" s="43" cm="1">
        <f t="array" ref="AI10">IFERROR(SUMPRODUCT((YEAR(Transactions!$C$9:$C$5005)=AI$3)*(Transactions!$G$9:$G$5005=$AF10)*(Transactions!$F$9:$F$5005="Expense")*(Transactions!$I$9:$I$5005)),0)</f>
        <v>-135015</v>
      </c>
      <c r="AJ10" s="43" cm="1">
        <f t="array" ref="AJ10">IFERROR(SUMPRODUCT((YEAR(Transactions!$C$9:$C$5005)=AJ$3)*(Transactions!$G$9:$G$5005=$AF10)*(Transactions!$F$9:$F$5005="Expense")*(Transactions!$I$9:$I$5005)),0)</f>
        <v>-230200</v>
      </c>
      <c r="AK10" s="43" cm="1">
        <f t="array" ref="AK10">IFERROR(SUMPRODUCT((YEAR(Transactions!$C$9:$C$5005)=AK$3)*(Transactions!$G$9:$G$5005=$AF10)*(Transactions!$F$9:$F$5005="Expense")*(Transactions!$I$9:$I$5005)),0)</f>
        <v>-252061</v>
      </c>
      <c r="AL10" s="43" cm="1">
        <f t="array" ref="AL10">IFERROR(SUMPRODUCT((YEAR(Transactions!$C$9:$C$5005)=AL$3)*(Transactions!$G$9:$G$5005=$AF10)*(Transactions!$F$9:$F$5005="Expense")*(Transactions!$I$9:$I$5005)),0)</f>
        <v>-131700</v>
      </c>
      <c r="AM10" s="43" cm="1">
        <f t="array" ref="AM10">IFERROR(SUMPRODUCT((YEAR(Transactions!$C$9:$C$5005)=AM$3)*(Transactions!$G$9:$G$5005=$AF10)*(Transactions!$F$9:$F$5005="Expense")*(Transactions!$I$9:$I$5005)),0)</f>
        <v>0</v>
      </c>
      <c r="AN10" s="43" cm="1">
        <f t="array" ref="AN10">IFERROR(SUMPRODUCT((YEAR(Transactions!$C$9:$C$5005)=AN$3)*(Transactions!$G$9:$G$5005=$AF10)*(Transactions!$F$9:$F$5005="Expense")*(Transactions!$I$9:$I$5005)),0)</f>
        <v>0</v>
      </c>
      <c r="AO10" s="43" cm="1">
        <f t="array" ref="AO10">IFERROR(SUMPRODUCT((YEAR(Transactions!$C$9:$C$5005)=AO$3)*(Transactions!$G$9:$G$5005=$AF10)*(Transactions!$F$9:$F$5005="Expense")*(Transactions!$I$9:$I$5005)),0)</f>
        <v>0</v>
      </c>
      <c r="AP10" s="43" cm="1">
        <f t="array" ref="AP10">IFERROR(SUMPRODUCT((YEAR(Transactions!$C$9:$C$5005)=AP$3)*(Transactions!$G$9:$G$5005=$AF10)*(Transactions!$F$9:$F$5005="Expense")*(Transactions!$I$9:$I$5005)),0)</f>
        <v>0</v>
      </c>
      <c r="AQ10" s="346">
        <f t="shared" si="0"/>
        <v>748976</v>
      </c>
      <c r="AR10" s="346" cm="1">
        <f t="array" ref="AR10">IFERROR(SUMPRODUCT((Transactions!$G$9:$G$5005=$AF10)*(Transactions!$F$9:$F$5005="Income")*(Transactions!$I$9:$I$5005)),0)</f>
        <v>270000</v>
      </c>
      <c r="AS10" s="44">
        <f t="shared" si="1"/>
        <v>478976</v>
      </c>
    </row>
    <row r="11" spans="1:45" ht="29" x14ac:dyDescent="0.2">
      <c r="A11" s="2"/>
      <c r="B11" s="2"/>
      <c r="C11" s="462" cm="1">
        <f t="array" ref="C11">IFERROR(SUMPRODUCT((YEAR(Transactions!$C$9:$C$5005)=$E$5)*(MONTH(Transactions!$C$9:$C$5005)=$G$5)*(Transactions!$F$9:$F$5005="Income")*(Transactions!$H$9:$H$5005)),0)</f>
        <v>50500</v>
      </c>
      <c r="D11" s="462"/>
      <c r="E11" s="463" cm="1">
        <f t="array" ref="E11">IFERROR(SUMPRODUCT((YEAR(Transactions!$C$9:$C$5005)=$E$5)*(MONTH(Transactions!$C$9:$C$5005)=$G$5)*(Transactions!$F$9:$F$5005="Expense")*(Transactions!$H$9:$H$5005)),0)</f>
        <v>103426.6</v>
      </c>
      <c r="F11" s="463"/>
      <c r="G11" s="184">
        <f>C11-E11</f>
        <v>-52926.600000000006</v>
      </c>
      <c r="H11" s="124">
        <f>Cashflow!H7</f>
        <v>-76407.019999999786</v>
      </c>
      <c r="I11" s="344" t="str">
        <f>INDEX(D18:D29,MATCH(G5,C18:C29,0))</f>
        <v>May</v>
      </c>
      <c r="J11" s="344">
        <f>E5</f>
        <v>2026</v>
      </c>
      <c r="K11" s="2"/>
      <c r="Y11" s="338">
        <v>2027</v>
      </c>
      <c r="Z11" s="339">
        <f>IFERROR(SUMIFS(Transactions!$H$9:$H4997,Transactions!$E$9:$E4997,'🏠 Dashboard'!Y11,Transactions!$F$9:$F4997,"Income"),0)</f>
        <v>0</v>
      </c>
      <c r="AA11" s="340">
        <f>IFERROR(SUMIFS(Transactions!$H$9:$H4996,Transactions!$E$9:$E4996,'🏠 Dashboard'!Y11,Transactions!$F$9:$F4996,"Expense"),0)</f>
        <v>0</v>
      </c>
      <c r="AB11" s="341">
        <f>IFERROR(SUMIFS(Transactions!$H$9:$H4995,Transactions!$E$9:$E4995,'🏠 Dashboard'!Y11,Transactions!$F$9:$F4995,"Investment"),0)</f>
        <v>0</v>
      </c>
      <c r="AC11" s="342">
        <f t="shared" si="2"/>
        <v>0</v>
      </c>
      <c r="AD11" s="320">
        <f t="shared" si="3"/>
        <v>0</v>
      </c>
      <c r="AF11" s="52" t="str">
        <v>Other</v>
      </c>
      <c r="AG11" s="43" cm="1">
        <f t="array" ref="AG11">IFERROR(SUMPRODUCT((YEAR(Transactions!$C$9:$C$5005)=AG$3)*(Transactions!$G$9:$G$5005=$AF11)*(Transactions!$F$9:$F$5005="Expense")*(Transactions!$I$9:$I$5005)),0)</f>
        <v>-230</v>
      </c>
      <c r="AH11" s="43" cm="1">
        <f t="array" ref="AH11">IFERROR(SUMPRODUCT((YEAR(Transactions!$C$9:$C$5005)=AH$3)*(Transactions!$G$9:$G$5005=$AF11)*(Transactions!$F$9:$F$5005="Expense")*(Transactions!$I$9:$I$5005)),0)</f>
        <v>0</v>
      </c>
      <c r="AI11" s="43" cm="1">
        <f t="array" ref="AI11">IFERROR(SUMPRODUCT((YEAR(Transactions!$C$9:$C$5005)=AI$3)*(Transactions!$G$9:$G$5005=$AF11)*(Transactions!$F$9:$F$5005="Expense")*(Transactions!$I$9:$I$5005)),0)</f>
        <v>0</v>
      </c>
      <c r="AJ11" s="43" cm="1">
        <f t="array" ref="AJ11">IFERROR(SUMPRODUCT((YEAR(Transactions!$C$9:$C$5005)=AJ$3)*(Transactions!$G$9:$G$5005=$AF11)*(Transactions!$F$9:$F$5005="Expense")*(Transactions!$I$9:$I$5005)),0)</f>
        <v>0</v>
      </c>
      <c r="AK11" s="43" cm="1">
        <f t="array" ref="AK11">IFERROR(SUMPRODUCT((YEAR(Transactions!$C$9:$C$5005)=AK$3)*(Transactions!$G$9:$G$5005=$AF11)*(Transactions!$F$9:$F$5005="Expense")*(Transactions!$I$9:$I$5005)),0)</f>
        <v>-7800</v>
      </c>
      <c r="AL11" s="43" cm="1">
        <f t="array" ref="AL11">IFERROR(SUMPRODUCT((YEAR(Transactions!$C$9:$C$5005)=AL$3)*(Transactions!$G$9:$G$5005=$AF11)*(Transactions!$F$9:$F$5005="Expense")*(Transactions!$I$9:$I$5005)),0)</f>
        <v>-500</v>
      </c>
      <c r="AM11" s="43" cm="1">
        <f t="array" ref="AM11">IFERROR(SUMPRODUCT((YEAR(Transactions!$C$9:$C$5005)=AM$3)*(Transactions!$G$9:$G$5005=$AF11)*(Transactions!$F$9:$F$5005="Expense")*(Transactions!$I$9:$I$5005)),0)</f>
        <v>0</v>
      </c>
      <c r="AN11" s="43" cm="1">
        <f t="array" ref="AN11">IFERROR(SUMPRODUCT((YEAR(Transactions!$C$9:$C$5005)=AN$3)*(Transactions!$G$9:$G$5005=$AF11)*(Transactions!$F$9:$F$5005="Expense")*(Transactions!$I$9:$I$5005)),0)</f>
        <v>0</v>
      </c>
      <c r="AO11" s="43" cm="1">
        <f t="array" ref="AO11">IFERROR(SUMPRODUCT((YEAR(Transactions!$C$9:$C$5005)=AO$3)*(Transactions!$G$9:$G$5005=$AF11)*(Transactions!$F$9:$F$5005="Expense")*(Transactions!$I$9:$I$5005)),0)</f>
        <v>0</v>
      </c>
      <c r="AP11" s="43" cm="1">
        <f t="array" ref="AP11">IFERROR(SUMPRODUCT((YEAR(Transactions!$C$9:$C$5005)=AP$3)*(Transactions!$G$9:$G$5005=$AF11)*(Transactions!$F$9:$F$5005="Expense")*(Transactions!$I$9:$I$5005)),0)</f>
        <v>0</v>
      </c>
      <c r="AQ11" s="346">
        <f t="shared" si="0"/>
        <v>8530</v>
      </c>
      <c r="AR11" s="346" cm="1">
        <f t="array" ref="AR11">IFERROR(SUMPRODUCT((Transactions!$G$9:$G$5005=$AF11)*(Transactions!$F$9:$F$5005="Income")*(Transactions!$I$9:$I$5005)),0)</f>
        <v>0</v>
      </c>
      <c r="AS11" s="44">
        <f t="shared" si="1"/>
        <v>8530</v>
      </c>
    </row>
    <row r="12" spans="1:45" ht="15" customHeight="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Y12" s="338">
        <v>2028</v>
      </c>
      <c r="Z12" s="339">
        <f>IFERROR(SUMIFS(Transactions!$H$9:$H4998,Transactions!$E$9:$E4998,'🏠 Dashboard'!Y12,Transactions!$F$9:$F4998,"Income"),0)</f>
        <v>0</v>
      </c>
      <c r="AA12" s="340">
        <f>IFERROR(SUMIFS(Transactions!$H$9:$H4997,Transactions!$E$9:$E4997,'🏠 Dashboard'!Y12,Transactions!$F$9:$F4997,"Expense"),0)</f>
        <v>0</v>
      </c>
      <c r="AB12" s="341">
        <f>IFERROR(SUMIFS(Transactions!$H$9:$H4996,Transactions!$E$9:$E4996,'🏠 Dashboard'!Y12,Transactions!$F$9:$F4996,"Investment"),0)</f>
        <v>0</v>
      </c>
      <c r="AC12" s="342">
        <f t="shared" si="2"/>
        <v>0</v>
      </c>
      <c r="AD12" s="320">
        <f t="shared" si="3"/>
        <v>0</v>
      </c>
      <c r="AF12" s="49" t="str">
        <v>Pawan</v>
      </c>
      <c r="AG12" s="43" cm="1">
        <f t="array" ref="AG12">IFERROR(SUMPRODUCT((YEAR(Transactions!$C$9:$C$5005)=AG$3)*(Transactions!$G$9:$G$5005=$AF12)*(Transactions!$F$9:$F$5005="Expense")*(Transactions!$I$9:$I$5005)),0)</f>
        <v>-11000</v>
      </c>
      <c r="AH12" s="43" cm="1">
        <f t="array" ref="AH12">IFERROR(SUMPRODUCT((YEAR(Transactions!$C$9:$C$5005)=AH$3)*(Transactions!$G$9:$G$5005=$AF12)*(Transactions!$F$9:$F$5005="Expense")*(Transactions!$I$9:$I$5005)),0)</f>
        <v>-66156</v>
      </c>
      <c r="AI12" s="43" cm="1">
        <f t="array" ref="AI12">IFERROR(SUMPRODUCT((YEAR(Transactions!$C$9:$C$5005)=AI$3)*(Transactions!$G$9:$G$5005=$AF12)*(Transactions!$F$9:$F$5005="Expense")*(Transactions!$I$9:$I$5005)),0)</f>
        <v>-95720</v>
      </c>
      <c r="AJ12" s="43" cm="1">
        <f t="array" ref="AJ12">IFERROR(SUMPRODUCT((YEAR(Transactions!$C$9:$C$5005)=AJ$3)*(Transactions!$G$9:$G$5005=$AF12)*(Transactions!$F$9:$F$5005="Expense")*(Transactions!$I$9:$I$5005)),0)</f>
        <v>-91828.6</v>
      </c>
      <c r="AK12" s="43" cm="1">
        <f t="array" ref="AK12">IFERROR(SUMPRODUCT((YEAR(Transactions!$C$9:$C$5005)=AK$3)*(Transactions!$G$9:$G$5005=$AF12)*(Transactions!$F$9:$F$5005="Expense")*(Transactions!$I$9:$I$5005)),0)</f>
        <v>-59450</v>
      </c>
      <c r="AL12" s="43" cm="1">
        <f t="array" ref="AL12">IFERROR(SUMPRODUCT((YEAR(Transactions!$C$9:$C$5005)=AL$3)*(Transactions!$G$9:$G$5005=$AF12)*(Transactions!$F$9:$F$5005="Expense")*(Transactions!$I$9:$I$5005)),0)</f>
        <v>-55171</v>
      </c>
      <c r="AM12" s="43" cm="1">
        <f t="array" ref="AM12">IFERROR(SUMPRODUCT((YEAR(Transactions!$C$9:$C$5005)=AM$3)*(Transactions!$G$9:$G$5005=$AF12)*(Transactions!$F$9:$F$5005="Expense")*(Transactions!$I$9:$I$5005)),0)</f>
        <v>0</v>
      </c>
      <c r="AN12" s="43" cm="1">
        <f t="array" ref="AN12">IFERROR(SUMPRODUCT((YEAR(Transactions!$C$9:$C$5005)=AN$3)*(Transactions!$G$9:$G$5005=$AF12)*(Transactions!$F$9:$F$5005="Expense")*(Transactions!$I$9:$I$5005)),0)</f>
        <v>0</v>
      </c>
      <c r="AO12" s="43" cm="1">
        <f t="array" ref="AO12">IFERROR(SUMPRODUCT((YEAR(Transactions!$C$9:$C$5005)=AO$3)*(Transactions!$G$9:$G$5005=$AF12)*(Transactions!$F$9:$F$5005="Expense")*(Transactions!$I$9:$I$5005)),0)</f>
        <v>0</v>
      </c>
      <c r="AP12" s="43" cm="1">
        <f t="array" ref="AP12">IFERROR(SUMPRODUCT((YEAR(Transactions!$C$9:$C$5005)=AP$3)*(Transactions!$G$9:$G$5005=$AF12)*(Transactions!$F$9:$F$5005="Expense")*(Transactions!$I$9:$I$5005)),0)</f>
        <v>0</v>
      </c>
      <c r="AQ12" s="346">
        <f t="shared" si="0"/>
        <v>379325.6</v>
      </c>
      <c r="AR12" s="346" cm="1">
        <f t="array" ref="AR12">IFERROR(SUMPRODUCT((Transactions!$G$9:$G$5005=$AF12)*(Transactions!$F$9:$F$5005="Income")*(Transactions!$I$9:$I$5005)),0)</f>
        <v>0</v>
      </c>
      <c r="AS12" s="44">
        <f t="shared" si="1"/>
        <v>379325.6</v>
      </c>
    </row>
    <row r="13" spans="1:45" ht="15" customHeight="1" x14ac:dyDescent="0.2">
      <c r="A13" s="13"/>
      <c r="B13" s="13"/>
      <c r="L13" s="13"/>
      <c r="M13" s="15"/>
      <c r="N13" s="14"/>
      <c r="W13" s="15"/>
      <c r="X13" s="14"/>
      <c r="Y13" s="338">
        <v>2029</v>
      </c>
      <c r="Z13" s="339">
        <f>IFERROR(SUMIFS(Transactions!$H$9:$H4999,Transactions!$E$9:$E4999,'🏠 Dashboard'!Y13,Transactions!$F$9:$F4999,"Income"),0)</f>
        <v>0</v>
      </c>
      <c r="AA13" s="340">
        <f>IFERROR(SUMIFS(Transactions!$H$9:$H4998,Transactions!$E$9:$E4998,'🏠 Dashboard'!Y13,Transactions!$F$9:$F4998,"Expense"),0)</f>
        <v>0</v>
      </c>
      <c r="AB13" s="341">
        <f>IFERROR(SUMIFS(Transactions!$H$9:$H4997,Transactions!$E$9:$E4997,'🏠 Dashboard'!Y13,Transactions!$F$9:$F4997,"Investment"),0)</f>
        <v>0</v>
      </c>
      <c r="AC13" s="342">
        <f t="shared" si="2"/>
        <v>0</v>
      </c>
      <c r="AD13" s="320">
        <f t="shared" si="3"/>
        <v>0</v>
      </c>
      <c r="AF13" s="42" t="str">
        <v>Railway</v>
      </c>
      <c r="AG13" s="43" cm="1">
        <f t="array" ref="AG13">IFERROR(SUMPRODUCT((YEAR(Transactions!$C$9:$C$5005)=AG$3)*(Transactions!$G$9:$G$5005=$AF13)*(Transactions!$F$9:$F$5005="Expense")*(Transactions!$I$9:$I$5005)),0)</f>
        <v>0</v>
      </c>
      <c r="AH13" s="43" cm="1">
        <f t="array" ref="AH13">IFERROR(SUMPRODUCT((YEAR(Transactions!$C$9:$C$5005)=AH$3)*(Transactions!$G$9:$G$5005=$AF13)*(Transactions!$F$9:$F$5005="Expense")*(Transactions!$I$9:$I$5005)),0)</f>
        <v>0</v>
      </c>
      <c r="AI13" s="43" cm="1">
        <f t="array" ref="AI13">IFERROR(SUMPRODUCT((YEAR(Transactions!$C$9:$C$5005)=AI$3)*(Transactions!$G$9:$G$5005=$AF13)*(Transactions!$F$9:$F$5005="Expense")*(Transactions!$I$9:$I$5005)),0)</f>
        <v>-11605</v>
      </c>
      <c r="AJ13" s="43" cm="1">
        <f t="array" ref="AJ13">IFERROR(SUMPRODUCT((YEAR(Transactions!$C$9:$C$5005)=AJ$3)*(Transactions!$G$9:$G$5005=$AF13)*(Transactions!$F$9:$F$5005="Expense")*(Transactions!$I$9:$I$5005)),0)</f>
        <v>-11516.4</v>
      </c>
      <c r="AK13" s="43" cm="1">
        <f t="array" ref="AK13">IFERROR(SUMPRODUCT((YEAR(Transactions!$C$9:$C$5005)=AK$3)*(Transactions!$G$9:$G$5005=$AF13)*(Transactions!$F$9:$F$5005="Expense")*(Transactions!$I$9:$I$5005)),0)</f>
        <v>-24664.199999999997</v>
      </c>
      <c r="AL13" s="43" cm="1">
        <f t="array" ref="AL13">IFERROR(SUMPRODUCT((YEAR(Transactions!$C$9:$C$5005)=AL$3)*(Transactions!$G$9:$G$5005=$AF13)*(Transactions!$F$9:$F$5005="Expense")*(Transactions!$I$9:$I$5005)),0)</f>
        <v>-16351.000000000002</v>
      </c>
      <c r="AM13" s="43" cm="1">
        <f t="array" ref="AM13">IFERROR(SUMPRODUCT((YEAR(Transactions!$C$9:$C$5005)=AM$3)*(Transactions!$G$9:$G$5005=$AF13)*(Transactions!$F$9:$F$5005="Expense")*(Transactions!$I$9:$I$5005)),0)</f>
        <v>0</v>
      </c>
      <c r="AN13" s="43" cm="1">
        <f t="array" ref="AN13">IFERROR(SUMPRODUCT((YEAR(Transactions!$C$9:$C$5005)=AN$3)*(Transactions!$G$9:$G$5005=$AF13)*(Transactions!$F$9:$F$5005="Expense")*(Transactions!$I$9:$I$5005)),0)</f>
        <v>0</v>
      </c>
      <c r="AO13" s="43" cm="1">
        <f t="array" ref="AO13">IFERROR(SUMPRODUCT((YEAR(Transactions!$C$9:$C$5005)=AO$3)*(Transactions!$G$9:$G$5005=$AF13)*(Transactions!$F$9:$F$5005="Expense")*(Transactions!$I$9:$I$5005)),0)</f>
        <v>0</v>
      </c>
      <c r="AP13" s="43" cm="1">
        <f t="array" ref="AP13">IFERROR(SUMPRODUCT((YEAR(Transactions!$C$9:$C$5005)=AP$3)*(Transactions!$G$9:$G$5005=$AF13)*(Transactions!$F$9:$F$5005="Expense")*(Transactions!$I$9:$I$5005)),0)</f>
        <v>0</v>
      </c>
      <c r="AQ13" s="346">
        <f t="shared" si="0"/>
        <v>64136.6</v>
      </c>
      <c r="AR13" s="346" cm="1">
        <f t="array" ref="AR13">IFERROR(SUMPRODUCT((Transactions!$G$9:$G$5005=$AF13)*(Transactions!$F$9:$F$5005="Income")*(Transactions!$I$9:$I$5005)),0)</f>
        <v>4665</v>
      </c>
      <c r="AS13" s="44">
        <f t="shared" si="1"/>
        <v>59471.6</v>
      </c>
    </row>
    <row r="14" spans="1:45" ht="26" customHeight="1" x14ac:dyDescent="0.2">
      <c r="A14" s="13"/>
      <c r="B14" s="13"/>
      <c r="C14" s="469" t="s">
        <v>24</v>
      </c>
      <c r="D14" s="469"/>
      <c r="E14" s="469"/>
      <c r="F14" s="469"/>
      <c r="G14" s="469"/>
      <c r="H14" s="469"/>
      <c r="I14" s="469"/>
      <c r="J14" s="469"/>
      <c r="L14" s="13"/>
      <c r="M14" s="15"/>
      <c r="N14" s="14"/>
      <c r="W14" s="15"/>
      <c r="X14" s="14"/>
      <c r="Y14" s="338">
        <v>2030</v>
      </c>
      <c r="Z14" s="339">
        <f>IFERROR(SUMIFS(Transactions!$H$9:$H5000,Transactions!$E$9:$E5000,'🏠 Dashboard'!Y14,Transactions!$F$9:$F5000,"Income"),0)</f>
        <v>0</v>
      </c>
      <c r="AA14" s="340">
        <f>IFERROR(SUMIFS(Transactions!$H$9:$H4999,Transactions!$E$9:$E4999,'🏠 Dashboard'!Y14,Transactions!$F$9:$F4999,"Expense"),0)</f>
        <v>0</v>
      </c>
      <c r="AB14" s="341">
        <f>IFERROR(SUMIFS(Transactions!$H$9:$H4998,Transactions!$E$9:$E4998,'🏠 Dashboard'!Y14,Transactions!$F$9:$F4998,"Investment"),0)</f>
        <v>0</v>
      </c>
      <c r="AC14" s="342">
        <f t="shared" si="2"/>
        <v>0</v>
      </c>
      <c r="AD14" s="320">
        <f t="shared" si="3"/>
        <v>0</v>
      </c>
      <c r="AF14" s="45" t="str">
        <v>Rajan</v>
      </c>
      <c r="AG14" s="43" cm="1">
        <f t="array" ref="AG14">IFERROR(SUMPRODUCT((YEAR(Transactions!$C$9:$C$5005)=AG$3)*(Transactions!$G$9:$G$5005=$AF14)*(Transactions!$F$9:$F$5005="Expense")*(Transactions!$I$9:$I$5005)),0)</f>
        <v>-30300</v>
      </c>
      <c r="AH14" s="43" cm="1">
        <f t="array" ref="AH14">IFERROR(SUMPRODUCT((YEAR(Transactions!$C$9:$C$5005)=AH$3)*(Transactions!$G$9:$G$5005=$AF14)*(Transactions!$F$9:$F$5005="Expense")*(Transactions!$I$9:$I$5005)),0)</f>
        <v>-61226</v>
      </c>
      <c r="AI14" s="43" cm="1">
        <f t="array" ref="AI14">IFERROR(SUMPRODUCT((YEAR(Transactions!$C$9:$C$5005)=AI$3)*(Transactions!$G$9:$G$5005=$AF14)*(Transactions!$F$9:$F$5005="Expense")*(Transactions!$I$9:$I$5005)),0)</f>
        <v>-91696</v>
      </c>
      <c r="AJ14" s="43" cm="1">
        <f t="array" ref="AJ14">IFERROR(SUMPRODUCT((YEAR(Transactions!$C$9:$C$5005)=AJ$3)*(Transactions!$G$9:$G$5005=$AF14)*(Transactions!$F$9:$F$5005="Expense")*(Transactions!$I$9:$I$5005)),0)</f>
        <v>-85428</v>
      </c>
      <c r="AK14" s="43" cm="1">
        <f t="array" ref="AK14">IFERROR(SUMPRODUCT((YEAR(Transactions!$C$9:$C$5005)=AK$3)*(Transactions!$G$9:$G$5005=$AF14)*(Transactions!$F$9:$F$5005="Expense")*(Transactions!$I$9:$I$5005)),0)</f>
        <v>-174544</v>
      </c>
      <c r="AL14" s="43" cm="1">
        <f t="array" ref="AL14">IFERROR(SUMPRODUCT((YEAR(Transactions!$C$9:$C$5005)=AL$3)*(Transactions!$G$9:$G$5005=$AF14)*(Transactions!$F$9:$F$5005="Expense")*(Transactions!$I$9:$I$5005)),0)</f>
        <v>-79206.55</v>
      </c>
      <c r="AM14" s="43" cm="1">
        <f t="array" ref="AM14">IFERROR(SUMPRODUCT((YEAR(Transactions!$C$9:$C$5005)=AM$3)*(Transactions!$G$9:$G$5005=$AF14)*(Transactions!$F$9:$F$5005="Expense")*(Transactions!$I$9:$I$5005)),0)</f>
        <v>0</v>
      </c>
      <c r="AN14" s="43" cm="1">
        <f t="array" ref="AN14">IFERROR(SUMPRODUCT((YEAR(Transactions!$C$9:$C$5005)=AN$3)*(Transactions!$G$9:$G$5005=$AF14)*(Transactions!$F$9:$F$5005="Expense")*(Transactions!$I$9:$I$5005)),0)</f>
        <v>0</v>
      </c>
      <c r="AO14" s="43" cm="1">
        <f t="array" ref="AO14">IFERROR(SUMPRODUCT((YEAR(Transactions!$C$9:$C$5005)=AO$3)*(Transactions!$G$9:$G$5005=$AF14)*(Transactions!$F$9:$F$5005="Expense")*(Transactions!$I$9:$I$5005)),0)</f>
        <v>0</v>
      </c>
      <c r="AP14" s="43" cm="1">
        <f t="array" ref="AP14">IFERROR(SUMPRODUCT((YEAR(Transactions!$C$9:$C$5005)=AP$3)*(Transactions!$G$9:$G$5005=$AF14)*(Transactions!$F$9:$F$5005="Expense")*(Transactions!$I$9:$I$5005)),0)</f>
        <v>0</v>
      </c>
      <c r="AQ14" s="346">
        <f t="shared" si="0"/>
        <v>522400.55</v>
      </c>
      <c r="AR14" s="346" cm="1">
        <f t="array" ref="AR14">IFERROR(SUMPRODUCT((Transactions!$G$9:$G$5005=$AF14)*(Transactions!$F$9:$F$5005="Income")*(Transactions!$I$9:$I$5005)),0)</f>
        <v>33874</v>
      </c>
      <c r="AS14" s="44">
        <f t="shared" si="1"/>
        <v>488526.55</v>
      </c>
    </row>
    <row r="15" spans="1:45" ht="15" customHeight="1" x14ac:dyDescent="0.2">
      <c r="A15" s="13"/>
      <c r="B15" s="13"/>
      <c r="C15" s="2"/>
      <c r="D15" s="322"/>
      <c r="E15" s="322"/>
      <c r="F15" s="322"/>
      <c r="G15" s="322"/>
      <c r="H15" s="322"/>
      <c r="I15" s="322"/>
      <c r="J15" s="2"/>
      <c r="L15" s="13"/>
      <c r="M15" s="15"/>
      <c r="N15" s="14"/>
      <c r="W15" s="15"/>
      <c r="X15" s="14"/>
      <c r="Y15" s="338" t="s">
        <v>25</v>
      </c>
      <c r="Z15" s="339">
        <f>IFERROR(SUMIFS(Transactions!$H$9:$H5001,Transactions!$E$9:$E5001,'🏠 Dashboard'!Y15,Transactions!$F$9:$F5001,"Income"),0)</f>
        <v>0</v>
      </c>
      <c r="AA15" s="340">
        <f>IFERROR(SUMIFS(Transactions!$H$9:$H5000,Transactions!$E$9:$E5000,'🏠 Dashboard'!Y15,Transactions!$F$9:$F5000,"Expense"),0)</f>
        <v>0</v>
      </c>
      <c r="AB15" s="341">
        <f>IFERROR(SUMIFS(Transactions!$H$9:$H4999,Transactions!$E$9:$E4999,'🏠 Dashboard'!Y15,Transactions!$F$9:$F4999,"Investment"),0)</f>
        <v>0</v>
      </c>
      <c r="AC15" s="342">
        <f t="shared" si="2"/>
        <v>0</v>
      </c>
      <c r="AD15" s="320">
        <f t="shared" si="3"/>
        <v>0</v>
      </c>
      <c r="AF15" s="46" t="str">
        <v>Recharge</v>
      </c>
      <c r="AG15" s="43" cm="1">
        <f t="array" ref="AG15">IFERROR(SUMPRODUCT((YEAR(Transactions!$C$9:$C$5005)=AG$3)*(Transactions!$G$9:$G$5005=$AF15)*(Transactions!$F$9:$F$5005="Expense")*(Transactions!$I$9:$I$5005)),0)</f>
        <v>-2560</v>
      </c>
      <c r="AH15" s="43" cm="1">
        <f t="array" ref="AH15">IFERROR(SUMPRODUCT((YEAR(Transactions!$C$9:$C$5005)=AH$3)*(Transactions!$G$9:$G$5005=$AF15)*(Transactions!$F$9:$F$5005="Expense")*(Transactions!$I$9:$I$5005)),0)</f>
        <v>-3310</v>
      </c>
      <c r="AI15" s="43" cm="1">
        <f t="array" ref="AI15">IFERROR(SUMPRODUCT((YEAR(Transactions!$C$9:$C$5005)=AI$3)*(Transactions!$G$9:$G$5005=$AF15)*(Transactions!$F$9:$F$5005="Expense")*(Transactions!$I$9:$I$5005)),0)</f>
        <v>-6058</v>
      </c>
      <c r="AJ15" s="43" cm="1">
        <f t="array" ref="AJ15">IFERROR(SUMPRODUCT((YEAR(Transactions!$C$9:$C$5005)=AJ$3)*(Transactions!$G$9:$G$5005=$AF15)*(Transactions!$F$9:$F$5005="Expense")*(Transactions!$I$9:$I$5005)),0)</f>
        <v>-2960</v>
      </c>
      <c r="AK15" s="43" cm="1">
        <f t="array" ref="AK15">IFERROR(SUMPRODUCT((YEAR(Transactions!$C$9:$C$5005)=AK$3)*(Transactions!$G$9:$G$5005=$AF15)*(Transactions!$F$9:$F$5005="Expense")*(Transactions!$I$9:$I$5005)),0)</f>
        <v>-9015</v>
      </c>
      <c r="AL15" s="43" cm="1">
        <f t="array" ref="AL15">IFERROR(SUMPRODUCT((YEAR(Transactions!$C$9:$C$5005)=AL$3)*(Transactions!$G$9:$G$5005=$AF15)*(Transactions!$F$9:$F$5005="Expense")*(Transactions!$I$9:$I$5005)),0)</f>
        <v>-10636</v>
      </c>
      <c r="AM15" s="43" cm="1">
        <f t="array" ref="AM15">IFERROR(SUMPRODUCT((YEAR(Transactions!$C$9:$C$5005)=AM$3)*(Transactions!$G$9:$G$5005=$AF15)*(Transactions!$F$9:$F$5005="Expense")*(Transactions!$I$9:$I$5005)),0)</f>
        <v>0</v>
      </c>
      <c r="AN15" s="43" cm="1">
        <f t="array" ref="AN15">IFERROR(SUMPRODUCT((YEAR(Transactions!$C$9:$C$5005)=AN$3)*(Transactions!$G$9:$G$5005=$AF15)*(Transactions!$F$9:$F$5005="Expense")*(Transactions!$I$9:$I$5005)),0)</f>
        <v>0</v>
      </c>
      <c r="AO15" s="43" cm="1">
        <f t="array" ref="AO15">IFERROR(SUMPRODUCT((YEAR(Transactions!$C$9:$C$5005)=AO$3)*(Transactions!$G$9:$G$5005=$AF15)*(Transactions!$F$9:$F$5005="Expense")*(Transactions!$I$9:$I$5005)),0)</f>
        <v>0</v>
      </c>
      <c r="AP15" s="43" cm="1">
        <f t="array" ref="AP15">IFERROR(SUMPRODUCT((YEAR(Transactions!$C$9:$C$5005)=AP$3)*(Transactions!$G$9:$G$5005=$AF15)*(Transactions!$F$9:$F$5005="Expense")*(Transactions!$I$9:$I$5005)),0)</f>
        <v>0</v>
      </c>
      <c r="AQ15" s="346">
        <f t="shared" si="0"/>
        <v>34539</v>
      </c>
      <c r="AR15" s="346" cm="1">
        <f t="array" ref="AR15">IFERROR(SUMPRODUCT((Transactions!$G$9:$G$5005=$AF15)*(Transactions!$F$9:$F$5005="Income")*(Transactions!$I$9:$I$5005)),0)</f>
        <v>0</v>
      </c>
      <c r="AS15" s="44">
        <f t="shared" si="1"/>
        <v>34539</v>
      </c>
    </row>
    <row r="16" spans="1:45" ht="15" customHeight="1" x14ac:dyDescent="0.2">
      <c r="A16" s="13"/>
      <c r="B16" s="13"/>
      <c r="C16" s="2"/>
      <c r="D16" s="322"/>
      <c r="E16" s="322"/>
      <c r="F16" s="324"/>
      <c r="G16" s="322"/>
      <c r="H16" s="322"/>
      <c r="I16" s="2"/>
      <c r="J16" s="2"/>
      <c r="L16" s="13"/>
      <c r="M16" s="15"/>
      <c r="N16" s="14"/>
      <c r="W16" s="15"/>
      <c r="X16" s="14"/>
      <c r="Y16" s="338" t="s">
        <v>26</v>
      </c>
      <c r="Z16" s="339">
        <f>IFERROR(SUMIFS(Transactions!$H$9:$H5002,Transactions!$E$9:$E5002,'🏠 Dashboard'!Y16,Transactions!$F$9:$F5002,"Income"),0)</f>
        <v>0</v>
      </c>
      <c r="AA16" s="340">
        <f>IFERROR(SUMIFS(Transactions!$H$9:$H5001,Transactions!$E$9:$E5001,'🏠 Dashboard'!Y16,Transactions!$F$9:$F5001,"Expense"),0)</f>
        <v>0</v>
      </c>
      <c r="AB16" s="341">
        <f>IFERROR(SUMIFS(Transactions!$H$9:$H5000,Transactions!$E$9:$E5000,'🏠 Dashboard'!Y16,Transactions!$F$9:$F5000,"Investment"),0)</f>
        <v>0</v>
      </c>
      <c r="AC16" s="343">
        <f t="shared" si="2"/>
        <v>0</v>
      </c>
      <c r="AD16" s="320">
        <f t="shared" si="3"/>
        <v>0</v>
      </c>
      <c r="AF16" s="47" t="str">
        <v>DRCC</v>
      </c>
      <c r="AG16" s="43" cm="1">
        <f t="array" ref="AG16">IFERROR(SUMPRODUCT((YEAR(Transactions!$C$9:$C$5005)=AG$3)*(Transactions!$G$9:$G$5005=$AF16)*(Transactions!$F$9:$F$5005="Expense")*(Transactions!$I$9:$I$5005)),0)</f>
        <v>0</v>
      </c>
      <c r="AH16" s="43" cm="1">
        <f t="array" ref="AH16">IFERROR(SUMPRODUCT((YEAR(Transactions!$C$9:$C$5005)=AH$3)*(Transactions!$G$9:$G$5005=$AF16)*(Transactions!$F$9:$F$5005="Expense")*(Transactions!$I$9:$I$5005)),0)</f>
        <v>-31998</v>
      </c>
      <c r="AI16" s="43" cm="1">
        <f t="array" ref="AI16">IFERROR(SUMPRODUCT((YEAR(Transactions!$C$9:$C$5005)=AI$3)*(Transactions!$G$9:$G$5005=$AF16)*(Transactions!$F$9:$F$5005="Expense")*(Transactions!$I$9:$I$5005)),0)</f>
        <v>-21332</v>
      </c>
      <c r="AJ16" s="43" cm="1">
        <f t="array" ref="AJ16">IFERROR(SUMPRODUCT((YEAR(Transactions!$C$9:$C$5005)=AJ$3)*(Transactions!$G$9:$G$5005=$AF16)*(Transactions!$F$9:$F$5005="Expense")*(Transactions!$I$9:$I$5005)),0)</f>
        <v>0</v>
      </c>
      <c r="AK16" s="43" cm="1">
        <f t="array" ref="AK16">IFERROR(SUMPRODUCT((YEAR(Transactions!$C$9:$C$5005)=AK$3)*(Transactions!$G$9:$G$5005=$AF16)*(Transactions!$F$9:$F$5005="Expense")*(Transactions!$I$9:$I$5005)),0)</f>
        <v>-50000</v>
      </c>
      <c r="AL16" s="43" cm="1">
        <f t="array" ref="AL16">IFERROR(SUMPRODUCT((YEAR(Transactions!$C$9:$C$5005)=AL$3)*(Transactions!$G$9:$G$5005=$AF16)*(Transactions!$F$9:$F$5005="Expense")*(Transactions!$I$9:$I$5005)),0)</f>
        <v>0</v>
      </c>
      <c r="AM16" s="43" cm="1">
        <f t="array" ref="AM16">IFERROR(SUMPRODUCT((YEAR(Transactions!$C$9:$C$5005)=AM$3)*(Transactions!$G$9:$G$5005=$AF16)*(Transactions!$F$9:$F$5005="Expense")*(Transactions!$I$9:$I$5005)),0)</f>
        <v>0</v>
      </c>
      <c r="AN16" s="43" cm="1">
        <f t="array" ref="AN16">IFERROR(SUMPRODUCT((YEAR(Transactions!$C$9:$C$5005)=AN$3)*(Transactions!$G$9:$G$5005=$AF16)*(Transactions!$F$9:$F$5005="Expense")*(Transactions!$I$9:$I$5005)),0)</f>
        <v>0</v>
      </c>
      <c r="AO16" s="43" cm="1">
        <f t="array" ref="AO16">IFERROR(SUMPRODUCT((YEAR(Transactions!$C$9:$C$5005)=AO$3)*(Transactions!$G$9:$G$5005=$AF16)*(Transactions!$F$9:$F$5005="Expense")*(Transactions!$I$9:$I$5005)),0)</f>
        <v>0</v>
      </c>
      <c r="AP16" s="43" cm="1">
        <f t="array" ref="AP16">IFERROR(SUMPRODUCT((YEAR(Transactions!$C$9:$C$5005)=AP$3)*(Transactions!$G$9:$G$5005=$AF16)*(Transactions!$F$9:$F$5005="Expense")*(Transactions!$I$9:$I$5005)),0)</f>
        <v>0</v>
      </c>
      <c r="AQ16" s="346">
        <f t="shared" si="0"/>
        <v>103330</v>
      </c>
      <c r="AR16" s="346" cm="1">
        <f t="array" ref="AR16">IFERROR(SUMPRODUCT((Transactions!$G$9:$G$5005=$AF16)*(Transactions!$F$9:$F$5005="Income")*(Transactions!$I$9:$I$5005)),0)</f>
        <v>0</v>
      </c>
      <c r="AS16" s="44">
        <f t="shared" si="1"/>
        <v>103330</v>
      </c>
    </row>
    <row r="17" spans="1:45" ht="15.75" customHeight="1" thickBot="1" x14ac:dyDescent="0.25">
      <c r="A17" s="13"/>
      <c r="B17" s="13"/>
      <c r="C17" s="2"/>
      <c r="D17" s="326" t="s">
        <v>27</v>
      </c>
      <c r="E17" s="326" t="s">
        <v>28</v>
      </c>
      <c r="F17" s="326" t="s">
        <v>29</v>
      </c>
      <c r="G17" s="326" t="s">
        <v>30</v>
      </c>
      <c r="H17" s="326" t="s">
        <v>31</v>
      </c>
      <c r="I17" s="326" t="s">
        <v>32</v>
      </c>
      <c r="J17" s="2"/>
      <c r="L17" s="13"/>
      <c r="M17" s="15"/>
      <c r="N17" s="14"/>
      <c r="W17" s="15"/>
      <c r="X17" s="14"/>
      <c r="Y17" s="338" t="s">
        <v>33</v>
      </c>
      <c r="Z17" s="339">
        <f>IFERROR(SUMIFS(Transactions!$H$9:$H5003,Transactions!$E$9:$E5003,'🏠 Dashboard'!Y17,Transactions!$F$9:$F5003,"Income"),0)</f>
        <v>0</v>
      </c>
      <c r="AA17" s="340">
        <f>IFERROR(SUMIFS(Transactions!$H$9:$H5002,Transactions!$E$9:$E5002,'🏠 Dashboard'!Y17,Transactions!$F$9:$F5002,"Expense"),0)</f>
        <v>0</v>
      </c>
      <c r="AB17" s="341">
        <f>IFERROR(SUMIFS(Transactions!$H$9:$H5001,Transactions!$E$9:$E5001,'🏠 Dashboard'!Y17,Transactions!$F$9:$F5001,"Investment"),0)</f>
        <v>0</v>
      </c>
      <c r="AC17" s="342">
        <f t="shared" si="2"/>
        <v>0</v>
      </c>
      <c r="AD17" s="320">
        <f t="shared" si="3"/>
        <v>0</v>
      </c>
      <c r="AF17" s="48" t="str">
        <v>Saving</v>
      </c>
      <c r="AG17" s="43" cm="1">
        <f t="array" ref="AG17">IFERROR(SUMPRODUCT((YEAR(Transactions!$C$9:$C$5005)=AG$3)*(Transactions!$G$9:$G$5005=$AF17)*(Transactions!$F$9:$F$5005="Expense")*(Transactions!$I$9:$I$5005)),0)</f>
        <v>0</v>
      </c>
      <c r="AH17" s="43" cm="1">
        <f t="array" ref="AH17">IFERROR(SUMPRODUCT((YEAR(Transactions!$C$9:$C$5005)=AH$3)*(Transactions!$G$9:$G$5005=$AF17)*(Transactions!$F$9:$F$5005="Expense")*(Transactions!$I$9:$I$5005)),0)</f>
        <v>0</v>
      </c>
      <c r="AI17" s="43" cm="1">
        <f t="array" ref="AI17">IFERROR(SUMPRODUCT((YEAR(Transactions!$C$9:$C$5005)=AI$3)*(Transactions!$G$9:$G$5005=$AF17)*(Transactions!$F$9:$F$5005="Expense")*(Transactions!$I$9:$I$5005)),0)</f>
        <v>0</v>
      </c>
      <c r="AJ17" s="43" cm="1">
        <f t="array" ref="AJ17">IFERROR(SUMPRODUCT((YEAR(Transactions!$C$9:$C$5005)=AJ$3)*(Transactions!$G$9:$G$5005=$AF17)*(Transactions!$F$9:$F$5005="Expense")*(Transactions!$I$9:$I$5005)),0)</f>
        <v>0</v>
      </c>
      <c r="AK17" s="43" cm="1">
        <f t="array" ref="AK17">IFERROR(SUMPRODUCT((YEAR(Transactions!$C$9:$C$5005)=AK$3)*(Transactions!$G$9:$G$5005=$AF17)*(Transactions!$F$9:$F$5005="Expense")*(Transactions!$I$9:$I$5005)),0)</f>
        <v>0</v>
      </c>
      <c r="AL17" s="43" cm="1">
        <f t="array" ref="AL17">IFERROR(SUMPRODUCT((YEAR(Transactions!$C$9:$C$5005)=AL$3)*(Transactions!$G$9:$G$5005=$AF17)*(Transactions!$F$9:$F$5005="Expense")*(Transactions!$I$9:$I$5005)),0)</f>
        <v>0</v>
      </c>
      <c r="AM17" s="43" cm="1">
        <f t="array" ref="AM17">IFERROR(SUMPRODUCT((YEAR(Transactions!$C$9:$C$5005)=AM$3)*(Transactions!$G$9:$G$5005=$AF17)*(Transactions!$F$9:$F$5005="Expense")*(Transactions!$I$9:$I$5005)),0)</f>
        <v>0</v>
      </c>
      <c r="AN17" s="43" cm="1">
        <f t="array" ref="AN17">IFERROR(SUMPRODUCT((YEAR(Transactions!$C$9:$C$5005)=AN$3)*(Transactions!$G$9:$G$5005=$AF17)*(Transactions!$F$9:$F$5005="Expense")*(Transactions!$I$9:$I$5005)),0)</f>
        <v>0</v>
      </c>
      <c r="AO17" s="43" cm="1">
        <f t="array" ref="AO17">IFERROR(SUMPRODUCT((YEAR(Transactions!$C$9:$C$5005)=AO$3)*(Transactions!$G$9:$G$5005=$AF17)*(Transactions!$F$9:$F$5005="Expense")*(Transactions!$I$9:$I$5005)),0)</f>
        <v>0</v>
      </c>
      <c r="AP17" s="43" cm="1">
        <f t="array" ref="AP17">IFERROR(SUMPRODUCT((YEAR(Transactions!$C$9:$C$5005)=AP$3)*(Transactions!$G$9:$G$5005=$AF17)*(Transactions!$F$9:$F$5005="Expense")*(Transactions!$I$9:$I$5005)),0)</f>
        <v>0</v>
      </c>
      <c r="AQ17" s="346">
        <f t="shared" si="0"/>
        <v>0</v>
      </c>
      <c r="AR17" s="346" cm="1">
        <f t="array" ref="AR17">IFERROR(SUMPRODUCT((Transactions!$G$9:$G$5005=$AF17)*(Transactions!$F$9:$F$5005="Income")*(Transactions!$I$9:$I$5005)),0)</f>
        <v>0</v>
      </c>
      <c r="AS17" s="44">
        <f t="shared" si="1"/>
        <v>0</v>
      </c>
    </row>
    <row r="18" spans="1:45" ht="15" customHeight="1" thickBot="1" x14ac:dyDescent="0.25">
      <c r="A18" s="13"/>
      <c r="B18" s="13"/>
      <c r="C18" s="2">
        <v>1</v>
      </c>
      <c r="D18" s="317" t="s">
        <v>34</v>
      </c>
      <c r="E18" s="7" cm="1">
        <f t="array" ref="E18">IFERROR(SUMPRODUCT((YEAR(Transactions!$C$9:$C$5005)=$E$5)*(MONTH(Transactions!$C$9:$C$5005)=1)*(Transactions!$F$9:$F$5005="Income")*(Transactions!$H$9:$H$5005)),0)</f>
        <v>120874</v>
      </c>
      <c r="F18" s="8" cm="1">
        <f t="array" ref="F18">IFERROR(SUMPRODUCT((YEAR(Transactions!$C$9:$C$5005)=$E$5)*(MONTH(Transactions!$C$9:$C$5005)=1)*(Transactions!$F$9:$F$5005="Expense")*(Transactions!$H$9:$H$5005)),0)</f>
        <v>33853.599999999999</v>
      </c>
      <c r="G18" s="312" cm="1">
        <f t="array" ref="G18">IFERROR(SUMPRODUCT((YEAR(Transactions!$C$9:$C$5005)=$E$5)*(MONTH(Transactions!$C$9:$C$5005)=1)*(Transactions!$F$9:$F$5005=$G$17)*(Transactions!$H$9:$H$5005)),0)</f>
        <v>1006</v>
      </c>
      <c r="H18" s="9">
        <f t="shared" ref="H18:H29" si="4">E18-F18</f>
        <v>87020.4</v>
      </c>
      <c r="I18" s="318">
        <f t="shared" ref="I18:I30" si="5">IFERROR(H18/E18,0)</f>
        <v>0.71992653506957649</v>
      </c>
      <c r="J18" s="2"/>
      <c r="L18" s="13"/>
      <c r="M18" s="15"/>
      <c r="N18" s="14"/>
      <c r="W18" s="15"/>
      <c r="X18" s="14"/>
      <c r="Y18" s="338" t="s">
        <v>35</v>
      </c>
      <c r="Z18" s="339">
        <f>IFERROR(SUMIFS(Transactions!$H$9:$H5004,Transactions!$E$9:$E5004,'🏠 Dashboard'!Y18,Transactions!$F$9:$F5004,"Income"),0)</f>
        <v>0</v>
      </c>
      <c r="AA18" s="340">
        <f>IFERROR(SUMIFS(Transactions!$H$9:$H5003,Transactions!$E$9:$E5003,'🏠 Dashboard'!Y18,Transactions!$F$9:$F5003,"Expense"),0)</f>
        <v>0</v>
      </c>
      <c r="AB18" s="341">
        <f>IFERROR(SUMIFS(Transactions!$H$9:$H5002,Transactions!$E$9:$E5002,'🏠 Dashboard'!Y18,Transactions!$F$9:$F5002,"Investment"),0)</f>
        <v>0</v>
      </c>
      <c r="AC18" s="342">
        <f t="shared" si="2"/>
        <v>0</v>
      </c>
      <c r="AD18" s="320">
        <f t="shared" si="3"/>
        <v>0</v>
      </c>
      <c r="AF18" s="49">
        <v>0</v>
      </c>
      <c r="AG18" s="43" cm="1">
        <f t="array" ref="AG18">IFERROR(SUMPRODUCT((YEAR(Transactions!$C$9:$C$5005)=AG$3)*(Transactions!$G$9:$G$5005=$AF18)*(Transactions!$F$9:$F$5005="Expense")*(Transactions!$I$9:$I$5005)),0)</f>
        <v>0</v>
      </c>
      <c r="AH18" s="43" cm="1">
        <f t="array" ref="AH18">IFERROR(SUMPRODUCT((YEAR(Transactions!$C$9:$C$5005)=AH$3)*(Transactions!$G$9:$G$5005=$AF18)*(Transactions!$F$9:$F$5005="Expense")*(Transactions!$I$9:$I$5005)),0)</f>
        <v>0</v>
      </c>
      <c r="AI18" s="43" cm="1">
        <f t="array" ref="AI18">IFERROR(SUMPRODUCT((YEAR(Transactions!$C$9:$C$5005)=AI$3)*(Transactions!$G$9:$G$5005=$AF18)*(Transactions!$F$9:$F$5005="Expense")*(Transactions!$I$9:$I$5005)),0)</f>
        <v>0</v>
      </c>
      <c r="AJ18" s="43" cm="1">
        <f t="array" ref="AJ18">IFERROR(SUMPRODUCT((YEAR(Transactions!$C$9:$C$5005)=AJ$3)*(Transactions!$G$9:$G$5005=$AF18)*(Transactions!$F$9:$F$5005="Expense")*(Transactions!$I$9:$I$5005)),0)</f>
        <v>0</v>
      </c>
      <c r="AK18" s="43" cm="1">
        <f t="array" ref="AK18">IFERROR(SUMPRODUCT((YEAR(Transactions!$C$9:$C$5005)=AK$3)*(Transactions!$G$9:$G$5005=$AF18)*(Transactions!$F$9:$F$5005="Expense")*(Transactions!$I$9:$I$5005)),0)</f>
        <v>0</v>
      </c>
      <c r="AL18" s="43" cm="1">
        <f t="array" ref="AL18">IFERROR(SUMPRODUCT((YEAR(Transactions!$C$9:$C$5005)=AL$3)*(Transactions!$G$9:$G$5005=$AF18)*(Transactions!$F$9:$F$5005="Expense")*(Transactions!$I$9:$I$5005)),0)</f>
        <v>0</v>
      </c>
      <c r="AM18" s="43" cm="1">
        <f t="array" ref="AM18">IFERROR(SUMPRODUCT((YEAR(Transactions!$C$9:$C$5005)=AM$3)*(Transactions!$G$9:$G$5005=$AF18)*(Transactions!$F$9:$F$5005="Expense")*(Transactions!$I$9:$I$5005)),0)</f>
        <v>0</v>
      </c>
      <c r="AN18" s="43" cm="1">
        <f t="array" ref="AN18">IFERROR(SUMPRODUCT((YEAR(Transactions!$C$9:$C$5005)=AN$3)*(Transactions!$G$9:$G$5005=$AF18)*(Transactions!$F$9:$F$5005="Expense")*(Transactions!$I$9:$I$5005)),0)</f>
        <v>0</v>
      </c>
      <c r="AO18" s="43" cm="1">
        <f t="array" ref="AO18">IFERROR(SUMPRODUCT((YEAR(Transactions!$C$9:$C$5005)=AO$3)*(Transactions!$G$9:$G$5005=$AF18)*(Transactions!$F$9:$F$5005="Expense")*(Transactions!$I$9:$I$5005)),0)</f>
        <v>0</v>
      </c>
      <c r="AP18" s="43" cm="1">
        <f t="array" ref="AP18">IFERROR(SUMPRODUCT((YEAR(Transactions!$C$9:$C$5005)=AP$3)*(Transactions!$G$9:$G$5005=$AF18)*(Transactions!$F$9:$F$5005="Expense")*(Transactions!$I$9:$I$5005)),0)</f>
        <v>0</v>
      </c>
      <c r="AQ18" s="346">
        <f t="shared" si="0"/>
        <v>0</v>
      </c>
      <c r="AR18" s="346" cm="1">
        <f t="array" ref="AR18">IFERROR(SUMPRODUCT((Transactions!$G$9:$G$5005=$AF18)*(Transactions!$F$9:$F$5005="Income")*(Transactions!$I$9:$I$5005)),0)</f>
        <v>0</v>
      </c>
      <c r="AS18" s="44">
        <f t="shared" si="1"/>
        <v>0</v>
      </c>
    </row>
    <row r="19" spans="1:45" ht="15" customHeight="1" x14ac:dyDescent="0.2">
      <c r="A19" s="13"/>
      <c r="B19" s="13"/>
      <c r="C19" s="2">
        <v>2</v>
      </c>
      <c r="D19" s="319" t="s">
        <v>36</v>
      </c>
      <c r="E19" s="10" cm="1">
        <f t="array" ref="E19">IFERROR(SUMPRODUCT((YEAR(Transactions!$C$9:$C$5005)=$E$5)*(MONTH(Transactions!$C$9:$C$5005)=2)*(Transactions!$F$9:$F$5005="Income")*(Transactions!$H$9:$H$5005)),0)</f>
        <v>50500</v>
      </c>
      <c r="F19" s="11" cm="1">
        <f t="array" ref="F19">IFERROR(SUMPRODUCT((YEAR(Transactions!$C$9:$C$5005)=$E$5)*(MONTH(Transactions!$C$9:$C$5005)=2)*(Transactions!$F$9:$F$5005="Expense")*(Transactions!$H$9:$H$5005)),0)</f>
        <v>143053.24000000002</v>
      </c>
      <c r="G19" s="313" cm="1">
        <f t="array" ref="G19">IFERROR(SUMPRODUCT((YEAR(Transactions!$C$9:$C$5005)=$E$5)*(MONTH(Transactions!$C$9:$C$5005)=2)*(Transactions!$F$9:$F$5005=$G$17)*(Transactions!$H$9:$H$5005)),0)</f>
        <v>376</v>
      </c>
      <c r="H19" s="12">
        <f t="shared" si="4"/>
        <v>-92553.24000000002</v>
      </c>
      <c r="I19" s="320">
        <f t="shared" si="5"/>
        <v>-1.8327374257425746</v>
      </c>
      <c r="J19" s="2"/>
      <c r="L19" s="13"/>
      <c r="M19" s="15"/>
      <c r="N19" s="14"/>
      <c r="W19" s="15"/>
      <c r="X19" s="14"/>
      <c r="Y19" s="327" t="s">
        <v>4</v>
      </c>
      <c r="Z19" s="328">
        <f>SUM(Z5:Z18)</f>
        <v>2896227</v>
      </c>
      <c r="AA19" s="329">
        <f t="shared" ref="AA19:AC19" si="6">SUM(AA5:AA18)</f>
        <v>2701024.02</v>
      </c>
      <c r="AB19" s="330">
        <f t="shared" si="6"/>
        <v>180994</v>
      </c>
      <c r="AC19" s="55">
        <f t="shared" si="6"/>
        <v>14208.980000000098</v>
      </c>
      <c r="AD19" s="331">
        <f t="shared" si="3"/>
        <v>4.9060311916158846E-3</v>
      </c>
      <c r="AE19"/>
      <c r="AF19" s="51">
        <v>0</v>
      </c>
      <c r="AG19" s="43" cm="1">
        <f t="array" ref="AG19">IFERROR(SUMPRODUCT((YEAR(Transactions!$C$9:$C$5005)=AG$3)*(Transactions!$G$9:$G$5005=$AF19)*(Transactions!$F$9:$F$5005="Expense")*(Transactions!$I$9:$I$5005)),0)</f>
        <v>0</v>
      </c>
      <c r="AH19" s="43" cm="1">
        <f t="array" ref="AH19">IFERROR(SUMPRODUCT((YEAR(Transactions!$C$9:$C$5005)=AH$3)*(Transactions!$G$9:$G$5005=$AF19)*(Transactions!$F$9:$F$5005="Expense")*(Transactions!$I$9:$I$5005)),0)</f>
        <v>0</v>
      </c>
      <c r="AI19" s="43" cm="1">
        <f t="array" ref="AI19">IFERROR(SUMPRODUCT((YEAR(Transactions!$C$9:$C$5005)=AI$3)*(Transactions!$G$9:$G$5005=$AF19)*(Transactions!$F$9:$F$5005="Expense")*(Transactions!$I$9:$I$5005)),0)</f>
        <v>0</v>
      </c>
      <c r="AJ19" s="43" cm="1">
        <f t="array" ref="AJ19">IFERROR(SUMPRODUCT((YEAR(Transactions!$C$9:$C$5005)=AJ$3)*(Transactions!$G$9:$G$5005=$AF19)*(Transactions!$F$9:$F$5005="Expense")*(Transactions!$I$9:$I$5005)),0)</f>
        <v>0</v>
      </c>
      <c r="AK19" s="43" cm="1">
        <f t="array" ref="AK19">IFERROR(SUMPRODUCT((YEAR(Transactions!$C$9:$C$5005)=AK$3)*(Transactions!$G$9:$G$5005=$AF19)*(Transactions!$F$9:$F$5005="Expense")*(Transactions!$I$9:$I$5005)),0)</f>
        <v>0</v>
      </c>
      <c r="AL19" s="43" cm="1">
        <f t="array" ref="AL19">IFERROR(SUMPRODUCT((YEAR(Transactions!$C$9:$C$5005)=AL$3)*(Transactions!$G$9:$G$5005=$AF19)*(Transactions!$F$9:$F$5005="Expense")*(Transactions!$I$9:$I$5005)),0)</f>
        <v>0</v>
      </c>
      <c r="AM19" s="43" cm="1">
        <f t="array" ref="AM19">IFERROR(SUMPRODUCT((YEAR(Transactions!$C$9:$C$5005)=AM$3)*(Transactions!$G$9:$G$5005=$AF19)*(Transactions!$F$9:$F$5005="Expense")*(Transactions!$I$9:$I$5005)),0)</f>
        <v>0</v>
      </c>
      <c r="AN19" s="43" cm="1">
        <f t="array" ref="AN19">IFERROR(SUMPRODUCT((YEAR(Transactions!$C$9:$C$5005)=AN$3)*(Transactions!$G$9:$G$5005=$AF19)*(Transactions!$F$9:$F$5005="Expense")*(Transactions!$I$9:$I$5005)),0)</f>
        <v>0</v>
      </c>
      <c r="AO19" s="43" cm="1">
        <f t="array" ref="AO19">IFERROR(SUMPRODUCT((YEAR(Transactions!$C$9:$C$5005)=AO$3)*(Transactions!$G$9:$G$5005=$AF19)*(Transactions!$F$9:$F$5005="Expense")*(Transactions!$I$9:$I$5005)),0)</f>
        <v>0</v>
      </c>
      <c r="AP19" s="43" cm="1">
        <f t="array" ref="AP19">IFERROR(SUMPRODUCT((YEAR(Transactions!$C$9:$C$5005)=AP$3)*(Transactions!$G$9:$G$5005=$AF19)*(Transactions!$F$9:$F$5005="Expense")*(Transactions!$I$9:$I$5005)),0)</f>
        <v>0</v>
      </c>
      <c r="AQ19" s="346">
        <f t="shared" si="0"/>
        <v>0</v>
      </c>
      <c r="AR19" s="346" cm="1">
        <f t="array" ref="AR19">IFERROR(SUMPRODUCT((Transactions!$G$9:$G$5005=$AF19)*(Transactions!$F$9:$F$5005="Income")*(Transactions!$I$9:$I$5005)),0)</f>
        <v>0</v>
      </c>
      <c r="AS19" s="44">
        <f t="shared" si="1"/>
        <v>0</v>
      </c>
    </row>
    <row r="20" spans="1:45" ht="15" customHeight="1" x14ac:dyDescent="0.2">
      <c r="A20" s="13"/>
      <c r="B20" s="13"/>
      <c r="C20" s="2">
        <v>3</v>
      </c>
      <c r="D20" s="317" t="s">
        <v>37</v>
      </c>
      <c r="E20" s="7" cm="1">
        <f t="array" ref="E20">IFERROR(SUMPRODUCT((YEAR(Transactions!$C$9:$C$5005)=$E$5)*(MONTH(Transactions!$C$9:$C$5005)=3)*(Transactions!$F$9:$F$5005="Income")*(Transactions!$H$9:$H$5005)),0)</f>
        <v>50500</v>
      </c>
      <c r="F20" s="8" cm="1">
        <f t="array" ref="F20">IFERROR(SUMPRODUCT((YEAR(Transactions!$C$9:$C$5005)=$E$5)*(MONTH(Transactions!$C$9:$C$5005)=3)*(Transactions!$F$9:$F$5005="Expense")*(Transactions!$H$9:$H$5005)),0)</f>
        <v>65611.799999999988</v>
      </c>
      <c r="G20" s="312" cm="1">
        <f t="array" ref="G20">IFERROR(SUMPRODUCT((YEAR(Transactions!$C$9:$C$5005)=$E$5)*(MONTH(Transactions!$C$9:$C$5005)=3)*(Transactions!$F$9:$F$5005=$G$17)*(Transactions!$H$9:$H$5005)),0)</f>
        <v>13876</v>
      </c>
      <c r="H20" s="9">
        <f t="shared" si="4"/>
        <v>-15111.799999999988</v>
      </c>
      <c r="I20" s="318">
        <f t="shared" si="5"/>
        <v>-0.2992435643564354</v>
      </c>
      <c r="J20" s="2"/>
      <c r="L20" s="13"/>
      <c r="M20" s="15"/>
      <c r="N20" s="14"/>
      <c r="W20" s="15"/>
      <c r="X20" s="14"/>
      <c r="Z20"/>
      <c r="AA20"/>
      <c r="AB20"/>
      <c r="AC20"/>
      <c r="AD20"/>
      <c r="AE20"/>
      <c r="AF20" s="52">
        <v>0</v>
      </c>
      <c r="AG20" s="43" cm="1">
        <f t="array" ref="AG20">IFERROR(SUMPRODUCT((YEAR(Transactions!$C$9:$C$5005)=AG$3)*(Transactions!$G$9:$G$5005=$AF20)*(Transactions!$F$9:$F$5005="Expense")*(Transactions!$I$9:$I$5005)),0)</f>
        <v>0</v>
      </c>
      <c r="AH20" s="43" cm="1">
        <f t="array" ref="AH20">IFERROR(SUMPRODUCT((YEAR(Transactions!$C$9:$C$5005)=AH$3)*(Transactions!$G$9:$G$5005=$AF20)*(Transactions!$F$9:$F$5005="Expense")*(Transactions!$I$9:$I$5005)),0)</f>
        <v>0</v>
      </c>
      <c r="AI20" s="43" cm="1">
        <f t="array" ref="AI20">IFERROR(SUMPRODUCT((YEAR(Transactions!$C$9:$C$5005)=AI$3)*(Transactions!$G$9:$G$5005=$AF20)*(Transactions!$F$9:$F$5005="Expense")*(Transactions!$I$9:$I$5005)),0)</f>
        <v>0</v>
      </c>
      <c r="AJ20" s="43" cm="1">
        <f t="array" ref="AJ20">IFERROR(SUMPRODUCT((YEAR(Transactions!$C$9:$C$5005)=AJ$3)*(Transactions!$G$9:$G$5005=$AF20)*(Transactions!$F$9:$F$5005="Expense")*(Transactions!$I$9:$I$5005)),0)</f>
        <v>0</v>
      </c>
      <c r="AK20" s="43" cm="1">
        <f t="array" ref="AK20">IFERROR(SUMPRODUCT((YEAR(Transactions!$C$9:$C$5005)=AK$3)*(Transactions!$G$9:$G$5005=$AF20)*(Transactions!$F$9:$F$5005="Expense")*(Transactions!$I$9:$I$5005)),0)</f>
        <v>0</v>
      </c>
      <c r="AL20" s="43" cm="1">
        <f t="array" ref="AL20">IFERROR(SUMPRODUCT((YEAR(Transactions!$C$9:$C$5005)=AL$3)*(Transactions!$G$9:$G$5005=$AF20)*(Transactions!$F$9:$F$5005="Expense")*(Transactions!$I$9:$I$5005)),0)</f>
        <v>0</v>
      </c>
      <c r="AM20" s="43" cm="1">
        <f t="array" ref="AM20">IFERROR(SUMPRODUCT((YEAR(Transactions!$C$9:$C$5005)=AM$3)*(Transactions!$G$9:$G$5005=$AF20)*(Transactions!$F$9:$F$5005="Expense")*(Transactions!$I$9:$I$5005)),0)</f>
        <v>0</v>
      </c>
      <c r="AN20" s="43" cm="1">
        <f t="array" ref="AN20">IFERROR(SUMPRODUCT((YEAR(Transactions!$C$9:$C$5005)=AN$3)*(Transactions!$G$9:$G$5005=$AF20)*(Transactions!$F$9:$F$5005="Expense")*(Transactions!$I$9:$I$5005)),0)</f>
        <v>0</v>
      </c>
      <c r="AO20" s="43" cm="1">
        <f t="array" ref="AO20">IFERROR(SUMPRODUCT((YEAR(Transactions!$C$9:$C$5005)=AO$3)*(Transactions!$G$9:$G$5005=$AF20)*(Transactions!$F$9:$F$5005="Expense")*(Transactions!$I$9:$I$5005)),0)</f>
        <v>0</v>
      </c>
      <c r="AP20" s="43" cm="1">
        <f t="array" ref="AP20">IFERROR(SUMPRODUCT((YEAR(Transactions!$C$9:$C$5005)=AP$3)*(Transactions!$G$9:$G$5005=$AF20)*(Transactions!$F$9:$F$5005="Expense")*(Transactions!$I$9:$I$5005)),0)</f>
        <v>0</v>
      </c>
      <c r="AQ20" s="346">
        <f t="shared" si="0"/>
        <v>0</v>
      </c>
      <c r="AR20" s="346" cm="1">
        <f t="array" ref="AR20">IFERROR(SUMPRODUCT((Transactions!$G$9:$G$5005=$AF20)*(Transactions!$F$9:$F$5005="Income")*(Transactions!$I$9:$I$5005)),0)</f>
        <v>0</v>
      </c>
      <c r="AS20" s="44">
        <f t="shared" si="1"/>
        <v>0</v>
      </c>
    </row>
    <row r="21" spans="1:45" ht="15" customHeight="1" x14ac:dyDescent="0.2">
      <c r="A21" s="13"/>
      <c r="B21" s="13"/>
      <c r="C21" s="2">
        <v>4</v>
      </c>
      <c r="D21" s="319" t="s">
        <v>38</v>
      </c>
      <c r="E21" s="10" cm="1">
        <f t="array" ref="E21">IFERROR(SUMPRODUCT((YEAR(Transactions!$C$9:$C$5005)=$E$5)*(MONTH(Transactions!$C$9:$C$5005)=4)*(Transactions!$F$9:$F$5005="Income")*(Transactions!$H$9:$H$5005)),0)</f>
        <v>53055</v>
      </c>
      <c r="F21" s="11" cm="1">
        <f t="array" ref="F21">IFERROR(SUMPRODUCT((YEAR(Transactions!$C$9:$C$5005)=$E$5)*(MONTH(Transactions!$C$9:$C$5005)=4)*(Transactions!$F$9:$F$5005="Expense")*(Transactions!$H$9:$H$5005)),0)</f>
        <v>79968.200000000012</v>
      </c>
      <c r="G21" s="313" cm="1">
        <f t="array" ref="G21">IFERROR(SUMPRODUCT((YEAR(Transactions!$C$9:$C$5005)=$E$5)*(MONTH(Transactions!$C$9:$C$5005)=4)*(Transactions!$F$9:$F$5005=$G$17)*(Transactions!$H$9:$H$5005)),0)</f>
        <v>1376</v>
      </c>
      <c r="H21" s="12">
        <f t="shared" si="4"/>
        <v>-26913.200000000012</v>
      </c>
      <c r="I21" s="320">
        <f t="shared" si="5"/>
        <v>-0.50726981434360596</v>
      </c>
      <c r="J21" s="2"/>
      <c r="L21" s="13"/>
      <c r="M21" s="15"/>
      <c r="N21" s="14"/>
      <c r="W21" s="15"/>
      <c r="X21" s="14"/>
      <c r="AF21" s="49">
        <v>0</v>
      </c>
      <c r="AG21" s="43" cm="1">
        <f t="array" ref="AG21">IFERROR(SUMPRODUCT((YEAR(Transactions!$C$9:$C$5005)=AG$3)*(Transactions!$G$9:$G$5005=$AF21)*(Transactions!$F$9:$F$5005="Expense")*(Transactions!$I$9:$I$5005)),0)</f>
        <v>0</v>
      </c>
      <c r="AH21" s="43" cm="1">
        <f t="array" ref="AH21">IFERROR(SUMPRODUCT((YEAR(Transactions!$C$9:$C$5005)=AH$3)*(Transactions!$G$9:$G$5005=$AF21)*(Transactions!$F$9:$F$5005="Expense")*(Transactions!$I$9:$I$5005)),0)</f>
        <v>0</v>
      </c>
      <c r="AI21" s="43" cm="1">
        <f t="array" ref="AI21">IFERROR(SUMPRODUCT((YEAR(Transactions!$C$9:$C$5005)=AI$3)*(Transactions!$G$9:$G$5005=$AF21)*(Transactions!$F$9:$F$5005="Expense")*(Transactions!$I$9:$I$5005)),0)</f>
        <v>0</v>
      </c>
      <c r="AJ21" s="43" cm="1">
        <f t="array" ref="AJ21">IFERROR(SUMPRODUCT((YEAR(Transactions!$C$9:$C$5005)=AJ$3)*(Transactions!$G$9:$G$5005=$AF21)*(Transactions!$F$9:$F$5005="Expense")*(Transactions!$I$9:$I$5005)),0)</f>
        <v>0</v>
      </c>
      <c r="AK21" s="43" cm="1">
        <f t="array" ref="AK21">IFERROR(SUMPRODUCT((YEAR(Transactions!$C$9:$C$5005)=AK$3)*(Transactions!$G$9:$G$5005=$AF21)*(Transactions!$F$9:$F$5005="Expense")*(Transactions!$I$9:$I$5005)),0)</f>
        <v>0</v>
      </c>
      <c r="AL21" s="43" cm="1">
        <f t="array" ref="AL21">IFERROR(SUMPRODUCT((YEAR(Transactions!$C$9:$C$5005)=AL$3)*(Transactions!$G$9:$G$5005=$AF21)*(Transactions!$F$9:$F$5005="Expense")*(Transactions!$I$9:$I$5005)),0)</f>
        <v>0</v>
      </c>
      <c r="AM21" s="43" cm="1">
        <f t="array" ref="AM21">IFERROR(SUMPRODUCT((YEAR(Transactions!$C$9:$C$5005)=AM$3)*(Transactions!$G$9:$G$5005=$AF21)*(Transactions!$F$9:$F$5005="Expense")*(Transactions!$I$9:$I$5005)),0)</f>
        <v>0</v>
      </c>
      <c r="AN21" s="43" cm="1">
        <f t="array" ref="AN21">IFERROR(SUMPRODUCT((YEAR(Transactions!$C$9:$C$5005)=AN$3)*(Transactions!$G$9:$G$5005=$AF21)*(Transactions!$F$9:$F$5005="Expense")*(Transactions!$I$9:$I$5005)),0)</f>
        <v>0</v>
      </c>
      <c r="AO21" s="43" cm="1">
        <f t="array" ref="AO21">IFERROR(SUMPRODUCT((YEAR(Transactions!$C$9:$C$5005)=AO$3)*(Transactions!$G$9:$G$5005=$AF21)*(Transactions!$F$9:$F$5005="Expense")*(Transactions!$I$9:$I$5005)),0)</f>
        <v>0</v>
      </c>
      <c r="AP21" s="43" cm="1">
        <f t="array" ref="AP21">IFERROR(SUMPRODUCT((YEAR(Transactions!$C$9:$C$5005)=AP$3)*(Transactions!$G$9:$G$5005=$AF21)*(Transactions!$F$9:$F$5005="Expense")*(Transactions!$I$9:$I$5005)),0)</f>
        <v>0</v>
      </c>
      <c r="AQ21" s="346">
        <f t="shared" si="0"/>
        <v>0</v>
      </c>
      <c r="AR21" s="346" cm="1">
        <f t="array" ref="AR21">IFERROR(SUMPRODUCT((Transactions!$G$9:$G$5005=$AF21)*(Transactions!$F$9:$F$5005="Income")*(Transactions!$I$9:$I$5005)),0)</f>
        <v>0</v>
      </c>
      <c r="AS21" s="44">
        <f t="shared" si="1"/>
        <v>0</v>
      </c>
    </row>
    <row r="22" spans="1:45" ht="15" customHeight="1" x14ac:dyDescent="0.2">
      <c r="A22" s="13"/>
      <c r="B22" s="13"/>
      <c r="C22" s="2">
        <v>5</v>
      </c>
      <c r="D22" s="317" t="s">
        <v>39</v>
      </c>
      <c r="E22" s="7" cm="1">
        <f t="array" ref="E22">IFERROR(SUMPRODUCT((YEAR(Transactions!$C$9:$C$5005)=$E$5)*(MONTH(Transactions!$C$9:$C$5005)=5)*(Transactions!$F$9:$F$5005="Income")*(Transactions!$H$9:$H$5005)),0)</f>
        <v>50500</v>
      </c>
      <c r="F22" s="8" cm="1">
        <f t="array" ref="F22">IFERROR(SUMPRODUCT((YEAR(Transactions!$C$9:$C$5005)=$E$5)*(MONTH(Transactions!$C$9:$C$5005)=5)*(Transactions!$F$9:$F$5005="Expense")*(Transactions!$H$9:$H$5005)),0)</f>
        <v>103426.6</v>
      </c>
      <c r="G22" s="312" cm="1">
        <f t="array" ref="G22">IFERROR(SUMPRODUCT((YEAR(Transactions!$C$9:$C$5005)=$E$5)*(MONTH(Transactions!$C$9:$C$5005)=5)*(Transactions!$F$9:$F$5005=$G$17)*(Transactions!$H$9:$H$5005)),0)</f>
        <v>376</v>
      </c>
      <c r="H22" s="9">
        <f t="shared" si="4"/>
        <v>-52926.600000000006</v>
      </c>
      <c r="I22" s="318">
        <f t="shared" si="5"/>
        <v>-1.048051485148515</v>
      </c>
      <c r="J22" s="2"/>
      <c r="L22" s="13"/>
      <c r="M22" s="15"/>
      <c r="N22" s="14"/>
      <c r="W22" s="15"/>
      <c r="X22" s="14"/>
      <c r="AF22" s="51">
        <v>0</v>
      </c>
      <c r="AG22" s="43" cm="1">
        <f t="array" ref="AG22">IFERROR(SUMPRODUCT((YEAR(Transactions!$C$9:$C$5005)=AG$3)*(Transactions!$G$9:$G$5005=$AF22)*(Transactions!$F$9:$F$5005="Expense")*(Transactions!$I$9:$I$5005)),0)</f>
        <v>0</v>
      </c>
      <c r="AH22" s="43" cm="1">
        <f t="array" ref="AH22">IFERROR(SUMPRODUCT((YEAR(Transactions!$C$9:$C$5005)=AH$3)*(Transactions!$G$9:$G$5005=$AF22)*(Transactions!$F$9:$F$5005="Expense")*(Transactions!$I$9:$I$5005)),0)</f>
        <v>0</v>
      </c>
      <c r="AI22" s="43" cm="1">
        <f t="array" ref="AI22">IFERROR(SUMPRODUCT((YEAR(Transactions!$C$9:$C$5005)=AI$3)*(Transactions!$G$9:$G$5005=$AF22)*(Transactions!$F$9:$F$5005="Expense")*(Transactions!$I$9:$I$5005)),0)</f>
        <v>0</v>
      </c>
      <c r="AJ22" s="43" cm="1">
        <f t="array" ref="AJ22">IFERROR(SUMPRODUCT((YEAR(Transactions!$C$9:$C$5005)=AJ$3)*(Transactions!$G$9:$G$5005=$AF22)*(Transactions!$F$9:$F$5005="Expense")*(Transactions!$I$9:$I$5005)),0)</f>
        <v>0</v>
      </c>
      <c r="AK22" s="43" cm="1">
        <f t="array" ref="AK22">IFERROR(SUMPRODUCT((YEAR(Transactions!$C$9:$C$5005)=AK$3)*(Transactions!$G$9:$G$5005=$AF22)*(Transactions!$F$9:$F$5005="Expense")*(Transactions!$I$9:$I$5005)),0)</f>
        <v>0</v>
      </c>
      <c r="AL22" s="43" cm="1">
        <f t="array" ref="AL22">IFERROR(SUMPRODUCT((YEAR(Transactions!$C$9:$C$5005)=AL$3)*(Transactions!$G$9:$G$5005=$AF22)*(Transactions!$F$9:$F$5005="Expense")*(Transactions!$I$9:$I$5005)),0)</f>
        <v>0</v>
      </c>
      <c r="AM22" s="43" cm="1">
        <f t="array" ref="AM22">IFERROR(SUMPRODUCT((YEAR(Transactions!$C$9:$C$5005)=AM$3)*(Transactions!$G$9:$G$5005=$AF22)*(Transactions!$F$9:$F$5005="Expense")*(Transactions!$I$9:$I$5005)),0)</f>
        <v>0</v>
      </c>
      <c r="AN22" s="43" cm="1">
        <f t="array" ref="AN22">IFERROR(SUMPRODUCT((YEAR(Transactions!$C$9:$C$5005)=AN$3)*(Transactions!$G$9:$G$5005=$AF22)*(Transactions!$F$9:$F$5005="Expense")*(Transactions!$I$9:$I$5005)),0)</f>
        <v>0</v>
      </c>
      <c r="AO22" s="43" cm="1">
        <f t="array" ref="AO22">IFERROR(SUMPRODUCT((YEAR(Transactions!$C$9:$C$5005)=AO$3)*(Transactions!$G$9:$G$5005=$AF22)*(Transactions!$F$9:$F$5005="Expense")*(Transactions!$I$9:$I$5005)),0)</f>
        <v>0</v>
      </c>
      <c r="AP22" s="43" cm="1">
        <f t="array" ref="AP22">IFERROR(SUMPRODUCT((YEAR(Transactions!$C$9:$C$5005)=AP$3)*(Transactions!$G$9:$G$5005=$AF22)*(Transactions!$F$9:$F$5005="Expense")*(Transactions!$I$9:$I$5005)),0)</f>
        <v>0</v>
      </c>
      <c r="AQ22" s="346">
        <f t="shared" si="0"/>
        <v>0</v>
      </c>
      <c r="AR22" s="346" cm="1">
        <f t="array" ref="AR22">IFERROR(SUMPRODUCT((Transactions!$G$9:$G$5005=$AF22)*(Transactions!$F$9:$F$5005="Income")*(Transactions!$I$9:$I$5005)),0)</f>
        <v>0</v>
      </c>
      <c r="AS22" s="44">
        <f t="shared" si="1"/>
        <v>0</v>
      </c>
    </row>
    <row r="23" spans="1:45" ht="15" customHeight="1" thickBot="1" x14ac:dyDescent="0.25">
      <c r="A23" s="13"/>
      <c r="B23" s="13"/>
      <c r="C23" s="2">
        <v>6</v>
      </c>
      <c r="D23" s="319" t="s">
        <v>40</v>
      </c>
      <c r="E23" s="10" cm="1">
        <f t="array" ref="E23">IFERROR(SUMPRODUCT((YEAR(Transactions!$C$9:$C$5005)=$E$5)*(MONTH(Transactions!$C$9:$C$5005)=6)*(Transactions!$F$9:$F$5005="Income")*(Transactions!$H$9:$H$5005)),0)</f>
        <v>50500</v>
      </c>
      <c r="F23" s="11" cm="1">
        <f t="array" ref="F23">IFERROR(SUMPRODUCT((YEAR(Transactions!$C$9:$C$5005)=$E$5)*(MONTH(Transactions!$C$9:$C$5005)=6)*(Transactions!$F$9:$F$5005="Expense")*(Transactions!$H$9:$H$5005)),0)</f>
        <v>34784</v>
      </c>
      <c r="G23" s="313" cm="1">
        <f t="array" ref="G23">IFERROR(SUMPRODUCT((YEAR(Transactions!$C$9:$C$5005)=$E$5)*(MONTH(Transactions!$C$9:$C$5005)=6)*(Transactions!$F$9:$F$5005=$G$17)*(Transactions!$H$9:$H$5005)),0)</f>
        <v>50376</v>
      </c>
      <c r="H23" s="12">
        <f t="shared" si="4"/>
        <v>15716</v>
      </c>
      <c r="I23" s="320">
        <f t="shared" si="5"/>
        <v>0.31120792079207921</v>
      </c>
      <c r="J23" s="2"/>
      <c r="L23" s="13"/>
      <c r="M23" s="15"/>
      <c r="N23" s="14"/>
      <c r="W23" s="15"/>
      <c r="X23" s="14"/>
      <c r="AF23" s="52">
        <v>0</v>
      </c>
      <c r="AG23" s="43" cm="1">
        <f t="array" ref="AG23">IFERROR(SUMPRODUCT((YEAR(Transactions!$C$9:$C$5005)=AG$3)*(Transactions!$G$9:$G$5005=$AF23)*(Transactions!$F$9:$F$5005="Expense")*(Transactions!$I$9:$I$5005)),0)</f>
        <v>0</v>
      </c>
      <c r="AH23" s="43" cm="1">
        <f t="array" ref="AH23">IFERROR(SUMPRODUCT((YEAR(Transactions!$C$9:$C$5005)=AH$3)*(Transactions!$G$9:$G$5005=$AF23)*(Transactions!$F$9:$F$5005="Expense")*(Transactions!$I$9:$I$5005)),0)</f>
        <v>0</v>
      </c>
      <c r="AI23" s="43" cm="1">
        <f t="array" ref="AI23">IFERROR(SUMPRODUCT((YEAR(Transactions!$C$9:$C$5005)=AI$3)*(Transactions!$G$9:$G$5005=$AF23)*(Transactions!$F$9:$F$5005="Expense")*(Transactions!$I$9:$I$5005)),0)</f>
        <v>0</v>
      </c>
      <c r="AJ23" s="43" cm="1">
        <f t="array" ref="AJ23">IFERROR(SUMPRODUCT((YEAR(Transactions!$C$9:$C$5005)=AJ$3)*(Transactions!$G$9:$G$5005=$AF23)*(Transactions!$F$9:$F$5005="Expense")*(Transactions!$I$9:$I$5005)),0)</f>
        <v>0</v>
      </c>
      <c r="AK23" s="43" cm="1">
        <f t="array" ref="AK23">IFERROR(SUMPRODUCT((YEAR(Transactions!$C$9:$C$5005)=AK$3)*(Transactions!$G$9:$G$5005=$AF23)*(Transactions!$F$9:$F$5005="Expense")*(Transactions!$I$9:$I$5005)),0)</f>
        <v>0</v>
      </c>
      <c r="AL23" s="43" cm="1">
        <f t="array" ref="AL23">IFERROR(SUMPRODUCT((YEAR(Transactions!$C$9:$C$5005)=AL$3)*(Transactions!$G$9:$G$5005=$AF23)*(Transactions!$F$9:$F$5005="Expense")*(Transactions!$I$9:$I$5005)),0)</f>
        <v>0</v>
      </c>
      <c r="AM23" s="43" cm="1">
        <f t="array" ref="AM23">IFERROR(SUMPRODUCT((YEAR(Transactions!$C$9:$C$5005)=AM$3)*(Transactions!$G$9:$G$5005=$AF23)*(Transactions!$F$9:$F$5005="Expense")*(Transactions!$I$9:$I$5005)),0)</f>
        <v>0</v>
      </c>
      <c r="AN23" s="43" cm="1">
        <f t="array" ref="AN23">IFERROR(SUMPRODUCT((YEAR(Transactions!$C$9:$C$5005)=AN$3)*(Transactions!$G$9:$G$5005=$AF23)*(Transactions!$F$9:$F$5005="Expense")*(Transactions!$I$9:$I$5005)),0)</f>
        <v>0</v>
      </c>
      <c r="AO23" s="43" cm="1">
        <f t="array" ref="AO23">IFERROR(SUMPRODUCT((YEAR(Transactions!$C$9:$C$5005)=AO$3)*(Transactions!$G$9:$G$5005=$AF23)*(Transactions!$F$9:$F$5005="Expense")*(Transactions!$I$9:$I$5005)),0)</f>
        <v>0</v>
      </c>
      <c r="AP23" s="43" cm="1">
        <f t="array" ref="AP23">IFERROR(SUMPRODUCT((YEAR(Transactions!$C$9:$C$5005)=AP$3)*(Transactions!$G$9:$G$5005=$AF23)*(Transactions!$F$9:$F$5005="Expense")*(Transactions!$I$9:$I$5005)),0)</f>
        <v>0</v>
      </c>
      <c r="AQ23" s="346">
        <f t="shared" si="0"/>
        <v>0</v>
      </c>
      <c r="AR23" s="346" cm="1">
        <f t="array" ref="AR23">IFERROR(SUMPRODUCT((Transactions!$G$9:$G$5005=$AF23)*(Transactions!$F$9:$F$5005="Income")*(Transactions!$I$9:$I$5005)),0)</f>
        <v>0</v>
      </c>
      <c r="AS23" s="44">
        <f t="shared" si="1"/>
        <v>0</v>
      </c>
    </row>
    <row r="24" spans="1:45" ht="15" customHeight="1" x14ac:dyDescent="0.2">
      <c r="A24" s="13"/>
      <c r="B24" s="13"/>
      <c r="C24" s="2">
        <v>7</v>
      </c>
      <c r="D24" s="317" t="s">
        <v>41</v>
      </c>
      <c r="E24" s="7" cm="1">
        <f t="array" ref="E24">IFERROR(SUMPRODUCT((YEAR(Transactions!$C$9:$C$5005)=$E$5)*(MONTH(Transactions!$C$9:$C$5005)=7)*(Transactions!$F$9:$F$5005="Income")*(Transactions!$H$9:$H$5005)),0)</f>
        <v>0</v>
      </c>
      <c r="F24" s="8" cm="1">
        <f t="array" ref="F24">IFERROR(SUMPRODUCT((YEAR(Transactions!$C$9:$C$5005)=$E$5)*(MONTH(Transactions!$C$9:$C$5005)=7)*(Transactions!$F$9:$F$5005="Expense")*(Transactions!$H$9:$H$5005)),0)</f>
        <v>18992</v>
      </c>
      <c r="G24" s="312" cm="1">
        <f t="array" ref="G24">IFERROR(SUMPRODUCT((YEAR(Transactions!$C$9:$C$5005)=$E$5)*(MONTH(Transactions!$C$9:$C$5005)=7)*(Transactions!$F$9:$F$5005=$G$17)*(Transactions!$H$9:$H$5005)),0)</f>
        <v>0</v>
      </c>
      <c r="H24" s="9">
        <f t="shared" si="4"/>
        <v>-18992</v>
      </c>
      <c r="I24" s="318">
        <f t="shared" si="5"/>
        <v>0</v>
      </c>
      <c r="J24" s="2"/>
      <c r="L24" s="13"/>
      <c r="M24" s="15"/>
      <c r="N24" s="14"/>
      <c r="W24" s="15"/>
      <c r="X24" s="14"/>
      <c r="AF24" s="54" t="s">
        <v>42</v>
      </c>
      <c r="AG24" s="55">
        <f>SUM(AG4:AG23)</f>
        <v>-16122.980000000214</v>
      </c>
      <c r="AH24" s="55">
        <f t="shared" ref="AH24:AS24" si="7">SUM(AH4:AH23)</f>
        <v>-203940</v>
      </c>
      <c r="AI24" s="55">
        <f t="shared" si="7"/>
        <v>-495895</v>
      </c>
      <c r="AJ24" s="55">
        <f t="shared" si="7"/>
        <v>-698384.53</v>
      </c>
      <c r="AK24" s="55">
        <f t="shared" si="7"/>
        <v>-806992.07</v>
      </c>
      <c r="AL24" s="55">
        <f t="shared" si="7"/>
        <v>-479689.44</v>
      </c>
      <c r="AM24" s="55">
        <f t="shared" si="7"/>
        <v>0</v>
      </c>
      <c r="AN24" s="55">
        <f t="shared" si="7"/>
        <v>0</v>
      </c>
      <c r="AO24" s="55">
        <f t="shared" si="7"/>
        <v>0</v>
      </c>
      <c r="AP24" s="55">
        <f t="shared" si="7"/>
        <v>0</v>
      </c>
      <c r="AQ24" s="55">
        <f t="shared" si="7"/>
        <v>2701024.02</v>
      </c>
      <c r="AR24" s="55">
        <f t="shared" si="7"/>
        <v>317743</v>
      </c>
      <c r="AS24" s="55">
        <f t="shared" si="7"/>
        <v>2383281.02</v>
      </c>
    </row>
    <row r="25" spans="1:45" ht="15" customHeight="1" x14ac:dyDescent="0.2">
      <c r="A25" s="13"/>
      <c r="B25" s="13"/>
      <c r="C25" s="2">
        <v>8</v>
      </c>
      <c r="D25" s="319" t="s">
        <v>43</v>
      </c>
      <c r="E25" s="10" cm="1">
        <f t="array" ref="E25">IFERROR(SUMPRODUCT((YEAR(Transactions!$C$9:$C$5005)=$E$5)*(MONTH(Transactions!$C$9:$C$5005)=8)*(Transactions!$F$9:$F$5005="Income")*(Transactions!$H$9:$H$5005)),0)</f>
        <v>13392</v>
      </c>
      <c r="F25" s="11" cm="1">
        <f t="array" ref="F25">IFERROR(SUMPRODUCT((YEAR(Transactions!$C$9:$C$5005)=$E$5)*(MONTH(Transactions!$C$9:$C$5005)=8)*(Transactions!$F$9:$F$5005="Expense")*(Transactions!$H$9:$H$5005)),0)</f>
        <v>0</v>
      </c>
      <c r="G25" s="313" cm="1">
        <f t="array" ref="G25">IFERROR(SUMPRODUCT((YEAR(Transactions!$C$9:$C$5005)=$E$5)*(MONTH(Transactions!$C$9:$C$5005)=8)*(Transactions!$F$9:$F$5005=$G$17)*(Transactions!$H$9:$H$5005)),0)</f>
        <v>0</v>
      </c>
      <c r="H25" s="12">
        <f t="shared" si="4"/>
        <v>13392</v>
      </c>
      <c r="I25" s="320">
        <f t="shared" si="5"/>
        <v>1</v>
      </c>
      <c r="J25" s="2"/>
      <c r="L25" s="13"/>
      <c r="M25" s="15"/>
      <c r="N25" s="14"/>
      <c r="W25" s="15"/>
      <c r="X25" s="14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</row>
    <row r="26" spans="1:45" ht="15" customHeight="1" x14ac:dyDescent="0.2">
      <c r="A26" s="13"/>
      <c r="B26" s="13"/>
      <c r="C26" s="2">
        <v>9</v>
      </c>
      <c r="D26" s="317" t="s">
        <v>44</v>
      </c>
      <c r="E26" s="7" cm="1">
        <f t="array" ref="E26">IFERROR(SUMPRODUCT((YEAR(Transactions!$C$9:$C$5005)=$E$5)*(MONTH(Transactions!$C$9:$C$5005)=9)*(Transactions!$F$9:$F$5005="Income")*(Transactions!$H$9:$H$5005)),0)</f>
        <v>0</v>
      </c>
      <c r="F26" s="8" cm="1">
        <f t="array" ref="F26">IFERROR(SUMPRODUCT((YEAR(Transactions!$C$9:$C$5005)=$E$5)*(MONTH(Transactions!$C$9:$C$5005)=9)*(Transactions!$F$9:$F$5005="Expense")*(Transactions!$H$9:$H$5005)),0)</f>
        <v>0</v>
      </c>
      <c r="G26" s="312" cm="1">
        <f t="array" ref="G26">IFERROR(SUMPRODUCT((YEAR(Transactions!$C$9:$C$5005)=$E$5)*(MONTH(Transactions!$C$9:$C$5005)=9)*(Transactions!$F$9:$F$5005=$G$17)*(Transactions!$H$9:$H$5005)),0)</f>
        <v>0</v>
      </c>
      <c r="H26" s="9">
        <f t="shared" si="4"/>
        <v>0</v>
      </c>
      <c r="I26" s="318">
        <f t="shared" si="5"/>
        <v>0</v>
      </c>
      <c r="J26" s="2"/>
      <c r="L26" s="13"/>
      <c r="M26" s="15"/>
      <c r="N26" s="14"/>
      <c r="W26" s="15"/>
      <c r="X26" s="14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</row>
    <row r="27" spans="1:45" ht="15" customHeight="1" x14ac:dyDescent="0.2">
      <c r="A27" s="13"/>
      <c r="B27" s="13"/>
      <c r="C27" s="2">
        <v>10</v>
      </c>
      <c r="D27" s="319" t="s">
        <v>45</v>
      </c>
      <c r="E27" s="10" cm="1">
        <f t="array" ref="E27">IFERROR(SUMPRODUCT((YEAR(Transactions!$C$9:$C$5005)=$E$5)*(MONTH(Transactions!$C$9:$C$5005)=10)*(Transactions!$F$9:$F$5005="Income")*(Transactions!$H$9:$H$5005)),0)</f>
        <v>0</v>
      </c>
      <c r="F27" s="11" cm="1">
        <f t="array" ref="F27">IFERROR(SUMPRODUCT((YEAR(Transactions!$C$9:$C$5005)=$E$5)*(MONTH(Transactions!$C$9:$C$5005)=10)*(Transactions!$F$9:$F$5005="Expense")*(Transactions!$H$9:$H$5005)),0)</f>
        <v>0</v>
      </c>
      <c r="G27" s="313" cm="1">
        <f t="array" ref="G27">IFERROR(SUMPRODUCT((YEAR(Transactions!$C$9:$C$5005)=$E$5)*(MONTH(Transactions!$C$9:$C$5005)=10)*(Transactions!$F$9:$F$5005=$G$17)*(Transactions!$H$9:$H$5005)),0)</f>
        <v>0</v>
      </c>
      <c r="H27" s="12">
        <f t="shared" si="4"/>
        <v>0</v>
      </c>
      <c r="I27" s="320">
        <f t="shared" si="5"/>
        <v>0</v>
      </c>
      <c r="J27" s="2"/>
      <c r="L27" s="13"/>
      <c r="M27" s="15"/>
      <c r="N27" s="14"/>
      <c r="W27" s="15"/>
      <c r="X27" s="14"/>
    </row>
    <row r="28" spans="1:45" ht="15" customHeight="1" x14ac:dyDescent="0.2">
      <c r="A28" s="13"/>
      <c r="B28" s="13"/>
      <c r="C28" s="2">
        <v>11</v>
      </c>
      <c r="D28" s="317" t="s">
        <v>46</v>
      </c>
      <c r="E28" s="7" cm="1">
        <f t="array" ref="E28">IFERROR(SUMPRODUCT((YEAR(Transactions!$C$9:$C$5005)=$E$5)*(MONTH(Transactions!$C$9:$C$5005)=11)*(Transactions!$F$9:$F$5005="Income")*(Transactions!$H$9:$H$5005)),0)</f>
        <v>0</v>
      </c>
      <c r="F28" s="8" cm="1">
        <f t="array" ref="F28">IFERROR(SUMPRODUCT((YEAR(Transactions!$C$9:$C$5005)=$E$5)*(MONTH(Transactions!$C$9:$C$5005)=11)*(Transactions!$F$9:$F$5005="Expense")*(Transactions!$H$9:$H$5005)),0)</f>
        <v>0</v>
      </c>
      <c r="G28" s="312" cm="1">
        <f t="array" ref="G28">IFERROR(SUMPRODUCT((YEAR(Transactions!$C$9:$C$5005)=$E$5)*(MONTH(Transactions!$C$9:$C$5005)=11)*(Transactions!$F$9:$F$5005=$G$17)*(Transactions!$H$9:$H$5005)),0)</f>
        <v>0</v>
      </c>
      <c r="H28" s="9">
        <f t="shared" si="4"/>
        <v>0</v>
      </c>
      <c r="I28" s="318">
        <f t="shared" si="5"/>
        <v>0</v>
      </c>
      <c r="J28" s="2"/>
      <c r="L28" s="13"/>
      <c r="M28" s="15"/>
      <c r="N28" s="14"/>
      <c r="W28" s="15"/>
      <c r="X28" s="14"/>
    </row>
    <row r="29" spans="1:45" ht="15" customHeight="1" thickBot="1" x14ac:dyDescent="0.25">
      <c r="A29" s="13"/>
      <c r="B29" s="13"/>
      <c r="C29" s="2">
        <v>12</v>
      </c>
      <c r="D29" s="319" t="s">
        <v>47</v>
      </c>
      <c r="E29" s="10" cm="1">
        <f t="array" ref="E29">IFERROR(SUMPRODUCT((YEAR(Transactions!$C$9:$C$5005)=$E$5)*(MONTH(Transactions!$C$9:$C$5005)=12)*(Transactions!$F$9:$F$5005="Income")*(Transactions!$H$9:$H$5005)),0)</f>
        <v>0</v>
      </c>
      <c r="F29" s="11" cm="1">
        <f t="array" ref="F29">IFERROR(SUMPRODUCT((YEAR(Transactions!$C$9:$C$5005)=$E$5)*(MONTH(Transactions!$C$9:$C$5005)=12)*(Transactions!$F$9:$F$5005="Expense")*(Transactions!$H$9:$H$5005)),0)</f>
        <v>0</v>
      </c>
      <c r="G29" s="313" cm="1">
        <f t="array" ref="G29">IFERROR(SUMPRODUCT((YEAR(Transactions!$C$9:$C$5005)=$E$5)*(MONTH(Transactions!$C$9:$C$5005)=12)*(Transactions!$F$9:$F$5005=$G$17)*(Transactions!$H$9:$H$5005)),0)</f>
        <v>0</v>
      </c>
      <c r="H29" s="12">
        <f t="shared" si="4"/>
        <v>0</v>
      </c>
      <c r="I29" s="320">
        <f t="shared" si="5"/>
        <v>0</v>
      </c>
      <c r="J29" s="2"/>
      <c r="L29" s="13"/>
      <c r="M29" s="15"/>
      <c r="N29" s="14"/>
      <c r="W29" s="15"/>
      <c r="X29" s="14"/>
    </row>
    <row r="30" spans="1:45" ht="15" customHeight="1" x14ac:dyDescent="0.2">
      <c r="A30" s="13"/>
      <c r="B30" s="13"/>
      <c r="C30" s="2"/>
      <c r="D30" s="327" t="s">
        <v>48</v>
      </c>
      <c r="E30" s="328">
        <f>SUM(E18:E29)</f>
        <v>389321</v>
      </c>
      <c r="F30" s="329">
        <f>SUM(F18:F29)</f>
        <v>479689.44000000006</v>
      </c>
      <c r="G30" s="330">
        <f>SUM(G18:G29)</f>
        <v>67386</v>
      </c>
      <c r="H30" s="55">
        <f>SUM(H18:H29)</f>
        <v>-90368.440000000031</v>
      </c>
      <c r="I30" s="331">
        <f t="shared" si="5"/>
        <v>-0.23211807223345268</v>
      </c>
      <c r="J30" s="2"/>
      <c r="L30" s="13"/>
      <c r="M30" s="15"/>
      <c r="N30" s="14"/>
      <c r="W30" s="15"/>
      <c r="X30" s="14"/>
    </row>
    <row r="31" spans="1:45" ht="15" customHeight="1" x14ac:dyDescent="0.2">
      <c r="A31" s="13"/>
      <c r="B31" s="13"/>
      <c r="L31" s="13"/>
      <c r="M31" s="15"/>
      <c r="N31" s="14"/>
      <c r="W31" s="15"/>
      <c r="X31" s="14"/>
    </row>
    <row r="32" spans="1:45" ht="15" customHeight="1" x14ac:dyDescent="0.2">
      <c r="A32" s="13"/>
      <c r="B32" s="13"/>
      <c r="D32" s="14"/>
      <c r="E32" s="14"/>
      <c r="F32" s="14"/>
      <c r="G32" s="14"/>
      <c r="H32" s="14"/>
      <c r="I32" s="14"/>
      <c r="J32" s="14"/>
      <c r="K32" s="13"/>
      <c r="L32" s="13"/>
      <c r="M32" s="15"/>
      <c r="N32" s="14"/>
      <c r="W32" s="15"/>
      <c r="X32" s="14"/>
    </row>
    <row r="33" spans="1:24" ht="15" customHeight="1" x14ac:dyDescent="0.2">
      <c r="A33" s="13"/>
      <c r="B33" s="13"/>
      <c r="C33" s="466" t="s">
        <v>49</v>
      </c>
      <c r="D33" s="466"/>
      <c r="E33" s="466"/>
      <c r="F33" s="466"/>
      <c r="G33" s="466"/>
      <c r="H33" s="466"/>
      <c r="I33" s="466"/>
      <c r="J33" s="466"/>
      <c r="K33" s="466"/>
      <c r="L33" s="13"/>
      <c r="M33" s="15"/>
      <c r="N33" s="14"/>
      <c r="W33" s="15"/>
      <c r="X33" s="14"/>
    </row>
    <row r="34" spans="1:24" ht="15" customHeight="1" x14ac:dyDescent="0.2">
      <c r="A34" s="13"/>
      <c r="B34" s="13"/>
      <c r="C34" s="16" t="s">
        <v>3</v>
      </c>
      <c r="D34" s="16" t="s">
        <v>50</v>
      </c>
      <c r="E34" s="16" t="s">
        <v>51</v>
      </c>
      <c r="F34" s="16" t="s">
        <v>52</v>
      </c>
      <c r="G34" s="16" t="s">
        <v>53</v>
      </c>
      <c r="H34" s="16" t="s">
        <v>54</v>
      </c>
      <c r="I34" s="16" t="s">
        <v>55</v>
      </c>
      <c r="J34" s="16" t="s">
        <v>56</v>
      </c>
      <c r="K34" s="16"/>
      <c r="L34" s="13"/>
      <c r="M34" s="15"/>
      <c r="N34" s="14"/>
      <c r="W34" s="15"/>
      <c r="X34" s="14"/>
    </row>
    <row r="35" spans="1:24" ht="15" customHeight="1" x14ac:dyDescent="0.2">
      <c r="A35" s="13"/>
      <c r="B35" s="13"/>
      <c r="C35" s="17" t="str">
        <f>IFERROR(IF(Settings!$D$13="","",Settings!$D$13),"")</f>
        <v>Alka</v>
      </c>
      <c r="D35" s="18">
        <v>5000</v>
      </c>
      <c r="E35" s="19" cm="1">
        <f t="array" ref="E35">IFERROR(IF(C35="",0,SUMPRODUCT((YEAR(Transactions!$C$9:$C$5005)=$E$5)*(MONTH(Transactions!$C$9:$C$5005)=$G$5)*(Transactions!$F$9:$F$5005="Expense")*(Transactions!$G$9:$G$5005=C35)*(Transactions!$H$9:$H$5005))),0)</f>
        <v>5200</v>
      </c>
      <c r="F35" s="20">
        <f t="shared" ref="F35:F54" si="8">IF(C35="","",D35-E35)</f>
        <v>-200</v>
      </c>
      <c r="G35" s="21">
        <f t="shared" ref="G35:G54" si="9">IF(C35="","",IFERROR(E35/D35,0))</f>
        <v>1.04</v>
      </c>
      <c r="H35" s="22" t="str">
        <f t="shared" ref="H35:H54" si="10">IF(C35="","",IFERROR(REPT("█",MIN(ROUND(G35*10,0),10))&amp;REPT("░",MAX(10-ROUND(G35*10,0),0)),"░░░░░░░░░░"))</f>
        <v>██████████</v>
      </c>
      <c r="I35" s="23" t="str">
        <f t="shared" ref="I35:I54" si="11">IF(C35="","—",IF(D35=0,"— Set budget",IF(G35&gt;1,"⚠ Over budget",IF(G35&gt;0.85,"◉ Near limit","✓ On track"))))</f>
        <v>⚠ Over budget</v>
      </c>
      <c r="J35" s="24" t="str">
        <f t="shared" ref="J35:J54" si="12">IF(C35="","",IF(D35=0,"⬜ Not Set",IF(G35&gt;=1,"🔴 OVER",IF(G35&gt;=0.85,"🟠 NEAR",IF(G35&gt;=0.5,"🟡 MID","🟢 OK")))))</f>
        <v>🔴 OVER</v>
      </c>
      <c r="K35" s="2"/>
      <c r="L35" s="13"/>
      <c r="M35" s="15"/>
      <c r="N35" s="14"/>
      <c r="W35" s="15"/>
      <c r="X35" s="14"/>
    </row>
    <row r="36" spans="1:24" ht="15" customHeight="1" x14ac:dyDescent="0.2">
      <c r="A36" s="13"/>
      <c r="B36" s="13"/>
      <c r="C36" s="17" t="str">
        <f>IFERROR(IF(Settings!$D$14="","",Settings!$D$14),"")</f>
        <v>Cashflow</v>
      </c>
      <c r="D36" s="18">
        <v>0</v>
      </c>
      <c r="E36" s="19" cm="1">
        <f t="array" ref="E36">IFERROR(IF(C36="",0,SUMPRODUCT((YEAR(Transactions!$C$9:$C$5005)=$E$5)*(MONTH(Transactions!$C$9:$C$5005)=$G$5)*(Transactions!$F$9:$F$5005="Expense")*(Transactions!$G$9:$G$5005=C36)*(Transactions!$H$9:$H$5005))),0)</f>
        <v>0</v>
      </c>
      <c r="F36" s="26">
        <f t="shared" si="8"/>
        <v>0</v>
      </c>
      <c r="G36" s="27">
        <f t="shared" si="9"/>
        <v>0</v>
      </c>
      <c r="H36" s="28" t="str">
        <f t="shared" si="10"/>
        <v>░░░░░░░░░░</v>
      </c>
      <c r="I36" s="29" t="str">
        <f t="shared" si="11"/>
        <v>— Set budget</v>
      </c>
      <c r="J36" s="30" t="str">
        <f t="shared" si="12"/>
        <v>⬜ Not Set</v>
      </c>
      <c r="K36" s="2"/>
      <c r="L36" s="13"/>
      <c r="M36" s="15"/>
      <c r="N36" s="14"/>
      <c r="W36" s="15"/>
      <c r="X36" s="14"/>
    </row>
    <row r="37" spans="1:24" ht="15" customHeight="1" x14ac:dyDescent="0.2">
      <c r="A37" s="14"/>
      <c r="B37" s="14"/>
      <c r="C37" s="31" t="str">
        <f>IFERROR(IF(Settings!$D$15="","",Settings!$D$15),"")</f>
        <v>Delhi</v>
      </c>
      <c r="D37" s="18">
        <v>8000</v>
      </c>
      <c r="E37" s="19" cm="1">
        <f t="array" ref="E37">IFERROR(IF(C37="",0,SUMPRODUCT((YEAR(Transactions!$C$9:$C$5005)=$E$5)*(MONTH(Transactions!$C$9:$C$5005)=$G$5)*(Transactions!$F$9:$F$5005="Expense")*(Transactions!$G$9:$G$5005=C37)*(Transactions!$H$9:$H$5005))),0)</f>
        <v>2100</v>
      </c>
      <c r="F37" s="20">
        <f t="shared" si="8"/>
        <v>5900</v>
      </c>
      <c r="G37" s="21">
        <f t="shared" si="9"/>
        <v>0.26250000000000001</v>
      </c>
      <c r="H37" s="22" t="str">
        <f t="shared" si="10"/>
        <v>███░░░░░░░</v>
      </c>
      <c r="I37" s="23" t="str">
        <f t="shared" si="11"/>
        <v>✓ On track</v>
      </c>
      <c r="J37" s="24" t="str">
        <f t="shared" si="12"/>
        <v>🟢 OK</v>
      </c>
      <c r="K37" s="2"/>
      <c r="L37" s="14"/>
      <c r="M37" s="15"/>
      <c r="N37" s="14"/>
      <c r="W37" s="15"/>
      <c r="X37" s="14"/>
    </row>
    <row r="38" spans="1:24" ht="15" customHeight="1" x14ac:dyDescent="0.2">
      <c r="A38" s="14"/>
      <c r="B38" s="14"/>
      <c r="C38" s="17" t="str">
        <f>IFERROR(IF(Settings!$D$16="","",Settings!$D$16),"")</f>
        <v>Delhi Room</v>
      </c>
      <c r="D38" s="18">
        <v>8200</v>
      </c>
      <c r="E38" s="19" cm="1">
        <f t="array" ref="E38">IFERROR(IF(C38="",0,SUMPRODUCT((YEAR(Transactions!$C$9:$C$5005)=$E$5)*(MONTH(Transactions!$C$9:$C$5005)=$G$5)*(Transactions!$F$9:$F$5005="Expense")*(Transactions!$G$9:$G$5005=C38)*(Transactions!$H$9:$H$5005))),0)</f>
        <v>11020</v>
      </c>
      <c r="F38" s="26">
        <f t="shared" si="8"/>
        <v>-2820</v>
      </c>
      <c r="G38" s="27">
        <f t="shared" si="9"/>
        <v>1.3439024390243903</v>
      </c>
      <c r="H38" s="28" t="str">
        <f t="shared" si="10"/>
        <v>██████████</v>
      </c>
      <c r="I38" s="29" t="str">
        <f t="shared" si="11"/>
        <v>⚠ Over budget</v>
      </c>
      <c r="J38" s="30" t="str">
        <f t="shared" si="12"/>
        <v>🔴 OVER</v>
      </c>
      <c r="K38" s="2"/>
      <c r="L38" s="14"/>
      <c r="M38" s="15"/>
      <c r="N38" s="14"/>
      <c r="W38" s="15"/>
      <c r="X38" s="14"/>
    </row>
    <row r="39" spans="1:24" ht="15.75" customHeight="1" x14ac:dyDescent="0.2">
      <c r="A39" s="14"/>
      <c r="B39" s="14"/>
      <c r="C39" s="31" t="str">
        <f>IFERROR(IF(Settings!$D$17="","",Settings!$D$17),"")</f>
        <v>Ed LOAN</v>
      </c>
      <c r="D39" s="18">
        <v>0</v>
      </c>
      <c r="E39" s="19" cm="1">
        <f t="array" ref="E39">IFERROR(IF(C39="",0,SUMPRODUCT((YEAR(Transactions!$C$9:$C$5005)=$E$5)*(MONTH(Transactions!$C$9:$C$5005)=$G$5)*(Transactions!$F$9:$F$5005="Expense")*(Transactions!$G$9:$G$5005=C39)*(Transactions!$H$9:$H$5005))),0)</f>
        <v>0</v>
      </c>
      <c r="F39" s="20">
        <f t="shared" si="8"/>
        <v>0</v>
      </c>
      <c r="G39" s="21">
        <f t="shared" si="9"/>
        <v>0</v>
      </c>
      <c r="H39" s="22" t="str">
        <f t="shared" si="10"/>
        <v>░░░░░░░░░░</v>
      </c>
      <c r="I39" s="23" t="str">
        <f t="shared" si="11"/>
        <v>— Set budget</v>
      </c>
      <c r="J39" s="24" t="str">
        <f t="shared" si="12"/>
        <v>⬜ Not Set</v>
      </c>
      <c r="K39" s="2"/>
      <c r="L39" s="14"/>
      <c r="M39" s="15"/>
      <c r="N39" s="14"/>
      <c r="W39" s="15"/>
      <c r="X39" s="14"/>
    </row>
    <row r="40" spans="1:24" ht="21" customHeight="1" x14ac:dyDescent="0.2">
      <c r="A40" s="14"/>
      <c r="B40" s="14"/>
      <c r="C40" s="17" t="str">
        <f>IFERROR(IF(Settings!$D$18="","",Settings!$D$18),"")</f>
        <v>Home</v>
      </c>
      <c r="D40" s="18">
        <v>0</v>
      </c>
      <c r="E40" s="19" cm="1">
        <f t="array" ref="E40">IFERROR(IF(C40="",0,SUMPRODUCT((YEAR(Transactions!$C$9:$C$5005)=$E$5)*(MONTH(Transactions!$C$9:$C$5005)=$G$5)*(Transactions!$F$9:$F$5005="Expense")*(Transactions!$G$9:$G$5005=C40)*(Transactions!$H$9:$H$5005))),0)</f>
        <v>21720</v>
      </c>
      <c r="F40" s="26">
        <f t="shared" si="8"/>
        <v>-21720</v>
      </c>
      <c r="G40" s="27">
        <f t="shared" si="9"/>
        <v>0</v>
      </c>
      <c r="H40" s="28" t="str">
        <f t="shared" si="10"/>
        <v>░░░░░░░░░░</v>
      </c>
      <c r="I40" s="29" t="str">
        <f t="shared" si="11"/>
        <v>— Set budget</v>
      </c>
      <c r="J40" s="30" t="str">
        <f t="shared" si="12"/>
        <v>⬜ Not Set</v>
      </c>
      <c r="K40" s="2"/>
      <c r="L40" s="14"/>
      <c r="M40" s="15"/>
      <c r="N40" s="14"/>
      <c r="W40" s="15"/>
      <c r="X40" s="14"/>
    </row>
    <row r="41" spans="1:24" ht="15" customHeight="1" x14ac:dyDescent="0.2">
      <c r="A41" s="14"/>
      <c r="B41" s="14"/>
      <c r="C41" s="31" t="str">
        <f>IFERROR(IF(Settings!$D$19="","",Settings!$D$19),"")</f>
        <v>Nisha</v>
      </c>
      <c r="D41" s="18">
        <v>11000</v>
      </c>
      <c r="E41" s="19" cm="1">
        <f t="array" ref="E41">IFERROR(IF(C41="",0,SUMPRODUCT((YEAR(Transactions!$C$9:$C$5005)=$E$5)*(MONTH(Transactions!$C$9:$C$5005)=$G$5)*(Transactions!$F$9:$F$5005="Expense")*(Transactions!$G$9:$G$5005=C41)*(Transactions!$H$9:$H$5005))),0)</f>
        <v>11800</v>
      </c>
      <c r="F41" s="20">
        <f t="shared" si="8"/>
        <v>-800</v>
      </c>
      <c r="G41" s="21">
        <f t="shared" si="9"/>
        <v>1.0727272727272728</v>
      </c>
      <c r="H41" s="22" t="str">
        <f t="shared" si="10"/>
        <v>██████████</v>
      </c>
      <c r="I41" s="23" t="str">
        <f t="shared" si="11"/>
        <v>⚠ Over budget</v>
      </c>
      <c r="J41" s="24" t="str">
        <f t="shared" si="12"/>
        <v>🔴 OVER</v>
      </c>
      <c r="K41" s="2"/>
      <c r="L41" s="14"/>
      <c r="M41" s="15"/>
      <c r="N41" s="14"/>
      <c r="W41" s="15"/>
      <c r="X41" s="14"/>
    </row>
    <row r="42" spans="1:24" ht="15" customHeight="1" x14ac:dyDescent="0.2">
      <c r="A42" s="14"/>
      <c r="B42" s="14"/>
      <c r="C42" s="17" t="str">
        <f>IFERROR(IF(Settings!$D$20="","",Settings!$D$20),"")</f>
        <v>Other</v>
      </c>
      <c r="D42" s="18">
        <v>0</v>
      </c>
      <c r="E42" s="19" cm="1">
        <f t="array" ref="E42">IFERROR(IF(C42="",0,SUMPRODUCT((YEAR(Transactions!$C$9:$C$5005)=$E$5)*(MONTH(Transactions!$C$9:$C$5005)=$G$5)*(Transactions!$F$9:$F$5005="Expense")*(Transactions!$G$9:$G$5005=C42)*(Transactions!$H$9:$H$5005))),0)</f>
        <v>0</v>
      </c>
      <c r="F42" s="26">
        <f t="shared" si="8"/>
        <v>0</v>
      </c>
      <c r="G42" s="27">
        <f t="shared" si="9"/>
        <v>0</v>
      </c>
      <c r="H42" s="28" t="str">
        <f t="shared" si="10"/>
        <v>░░░░░░░░░░</v>
      </c>
      <c r="I42" s="29" t="str">
        <f t="shared" si="11"/>
        <v>— Set budget</v>
      </c>
      <c r="J42" s="30" t="str">
        <f t="shared" si="12"/>
        <v>⬜ Not Set</v>
      </c>
      <c r="K42" s="2"/>
      <c r="L42" s="14"/>
      <c r="M42" s="15"/>
      <c r="N42" s="14"/>
      <c r="W42" s="15"/>
      <c r="X42" s="14"/>
    </row>
    <row r="43" spans="1:24" ht="15" customHeight="1" x14ac:dyDescent="0.2">
      <c r="A43" s="14"/>
      <c r="B43" s="14"/>
      <c r="C43" s="31" t="str">
        <f>IFERROR(IF(Settings!$D$21="","",Settings!$D$21),"")</f>
        <v>Pawan</v>
      </c>
      <c r="D43" s="18">
        <v>0</v>
      </c>
      <c r="E43" s="19" cm="1">
        <f t="array" ref="E43">IFERROR(IF(C43="",0,SUMPRODUCT((YEAR(Transactions!$C$9:$C$5005)=$E$5)*(MONTH(Transactions!$C$9:$C$5005)=$G$5)*(Transactions!$F$9:$F$5005="Expense")*(Transactions!$G$9:$G$5005=C43)*(Transactions!$H$9:$H$5005))),0)</f>
        <v>24686</v>
      </c>
      <c r="F43" s="20">
        <f t="shared" si="8"/>
        <v>-24686</v>
      </c>
      <c r="G43" s="21">
        <f t="shared" si="9"/>
        <v>0</v>
      </c>
      <c r="H43" s="22" t="str">
        <f t="shared" si="10"/>
        <v>░░░░░░░░░░</v>
      </c>
      <c r="I43" s="23" t="str">
        <f t="shared" si="11"/>
        <v>— Set budget</v>
      </c>
      <c r="J43" s="24" t="str">
        <f t="shared" si="12"/>
        <v>⬜ Not Set</v>
      </c>
      <c r="K43" s="2"/>
      <c r="L43" s="57"/>
      <c r="M43" s="58"/>
      <c r="N43" s="314"/>
      <c r="W43" s="58"/>
      <c r="X43" s="314"/>
    </row>
    <row r="44" spans="1:24" ht="15" customHeight="1" x14ac:dyDescent="0.2">
      <c r="A44" s="14"/>
      <c r="B44" s="14"/>
      <c r="C44" s="17" t="str">
        <f>IFERROR(IF(Settings!$D$22="","",Settings!$D$22),"")</f>
        <v>Railway</v>
      </c>
      <c r="D44" s="18">
        <v>0</v>
      </c>
      <c r="E44" s="19" cm="1">
        <f t="array" ref="E44">IFERROR(IF(C44="",0,SUMPRODUCT((YEAR(Transactions!$C$9:$C$5005)=$E$5)*(MONTH(Transactions!$C$9:$C$5005)=$G$5)*(Transactions!$F$9:$F$5005="Expense")*(Transactions!$G$9:$G$5005=C44)*(Transactions!$H$9:$H$5005))),0)</f>
        <v>1373.6</v>
      </c>
      <c r="F44" s="26">
        <f t="shared" si="8"/>
        <v>-1373.6</v>
      </c>
      <c r="G44" s="27">
        <f t="shared" si="9"/>
        <v>0</v>
      </c>
      <c r="H44" s="28" t="str">
        <f t="shared" si="10"/>
        <v>░░░░░░░░░░</v>
      </c>
      <c r="I44" s="29" t="str">
        <f t="shared" si="11"/>
        <v>— Set budget</v>
      </c>
      <c r="J44" s="30" t="str">
        <f t="shared" si="12"/>
        <v>⬜ Not Set</v>
      </c>
      <c r="K44" s="2"/>
      <c r="L44" s="57"/>
      <c r="M44" s="59"/>
      <c r="N44" s="315"/>
      <c r="W44" s="59"/>
      <c r="X44" s="315"/>
    </row>
    <row r="45" spans="1:24" ht="15" customHeight="1" x14ac:dyDescent="0.2">
      <c r="A45" s="14"/>
      <c r="B45" s="14"/>
      <c r="C45" s="31" t="str">
        <f>IFERROR(IF(Settings!$D$23="","",Settings!$D$23),"")</f>
        <v>Rajan</v>
      </c>
      <c r="D45" s="18">
        <v>0</v>
      </c>
      <c r="E45" s="19" cm="1">
        <f t="array" ref="E45">IFERROR(IF(C45="",0,SUMPRODUCT((YEAR(Transactions!$C$9:$C$5005)=$E$5)*(MONTH(Transactions!$C$9:$C$5005)=$G$5)*(Transactions!$F$9:$F$5005="Expense")*(Transactions!$G$9:$G$5005=C45)*(Transactions!$H$9:$H$5005))),0)</f>
        <v>24760</v>
      </c>
      <c r="F45" s="20">
        <f t="shared" si="8"/>
        <v>-24760</v>
      </c>
      <c r="G45" s="21">
        <f t="shared" si="9"/>
        <v>0</v>
      </c>
      <c r="H45" s="22" t="str">
        <f t="shared" si="10"/>
        <v>░░░░░░░░░░</v>
      </c>
      <c r="I45" s="23" t="str">
        <f t="shared" si="11"/>
        <v>— Set budget</v>
      </c>
      <c r="J45" s="24" t="str">
        <f t="shared" si="12"/>
        <v>⬜ Not Set</v>
      </c>
      <c r="K45" s="2"/>
      <c r="L45" s="57"/>
      <c r="M45" s="59"/>
      <c r="N45" s="315"/>
      <c r="W45" s="59"/>
      <c r="X45" s="315"/>
    </row>
    <row r="46" spans="1:24" ht="15" customHeight="1" x14ac:dyDescent="0.2">
      <c r="A46" s="14"/>
      <c r="B46" s="14"/>
      <c r="C46" s="32" t="str">
        <f>IFERROR(IF(Settings!$D$24="","",Settings!$D$24),"")</f>
        <v>Recharge</v>
      </c>
      <c r="D46" s="18">
        <v>1500</v>
      </c>
      <c r="E46" s="19" cm="1">
        <f t="array" ref="E46">IFERROR(IF(C46="",0,SUMPRODUCT((YEAR(Transactions!$C$9:$C$5005)=$E$5)*(MONTH(Transactions!$C$9:$C$5005)=$G$5)*(Transactions!$F$9:$F$5005="Expense")*(Transactions!$G$9:$G$5005=C46)*(Transactions!$H$9:$H$5005))),0)</f>
        <v>767</v>
      </c>
      <c r="F46" s="26">
        <f t="shared" si="8"/>
        <v>733</v>
      </c>
      <c r="G46" s="27">
        <f t="shared" si="9"/>
        <v>0.51133333333333331</v>
      </c>
      <c r="H46" s="28" t="str">
        <f t="shared" si="10"/>
        <v>█████░░░░░</v>
      </c>
      <c r="I46" s="29" t="str">
        <f t="shared" si="11"/>
        <v>✓ On track</v>
      </c>
      <c r="J46" s="30" t="str">
        <f t="shared" si="12"/>
        <v>🟡 MID</v>
      </c>
      <c r="K46" s="2"/>
      <c r="L46" s="57"/>
      <c r="M46" s="59"/>
      <c r="N46" s="315"/>
      <c r="W46" s="59"/>
      <c r="X46" s="315"/>
    </row>
    <row r="47" spans="1:24" ht="15" customHeight="1" x14ac:dyDescent="0.2">
      <c r="A47" s="14"/>
      <c r="B47" s="14"/>
      <c r="C47" s="33" t="str">
        <f>IFERROR(IF(Settings!$D$25="","",Settings!$D$25),"")</f>
        <v>DRCC</v>
      </c>
      <c r="D47" s="18">
        <v>2000</v>
      </c>
      <c r="E47" s="19" cm="1">
        <f t="array" ref="E47">IFERROR(IF(C47="",0,SUMPRODUCT((YEAR(Transactions!$C$9:$C$5005)=$E$5)*(MONTH(Transactions!$C$9:$C$5005)=$G$5)*(Transactions!$F$9:$F$5005="Expense")*(Transactions!$G$9:$G$5005=C47)*(Transactions!$H$9:$H$5005))),0)</f>
        <v>0</v>
      </c>
      <c r="F47" s="20">
        <f t="shared" si="8"/>
        <v>2000</v>
      </c>
      <c r="G47" s="21">
        <f t="shared" si="9"/>
        <v>0</v>
      </c>
      <c r="H47" s="34" t="str">
        <f t="shared" si="10"/>
        <v>░░░░░░░░░░</v>
      </c>
      <c r="I47" s="35" t="str">
        <f t="shared" si="11"/>
        <v>✓ On track</v>
      </c>
      <c r="J47" s="24" t="str">
        <f t="shared" si="12"/>
        <v>🟢 OK</v>
      </c>
      <c r="K47" s="2"/>
      <c r="L47" s="57"/>
      <c r="M47" s="60"/>
      <c r="N47" s="316"/>
      <c r="W47" s="60"/>
      <c r="X47" s="316"/>
    </row>
    <row r="48" spans="1:24" ht="15" customHeight="1" x14ac:dyDescent="0.2">
      <c r="A48" s="14"/>
      <c r="B48" s="14"/>
      <c r="C48" s="33" t="str">
        <f>IFERROR(IF(Settings!$D$26="","",Settings!$D$26),"")</f>
        <v>Saving</v>
      </c>
      <c r="D48" s="18">
        <v>0</v>
      </c>
      <c r="E48" s="19" cm="1">
        <f t="array" ref="E48">IFERROR(IF(C48="",0,SUMPRODUCT((YEAR(Transactions!$C$9:$C$5005)=$E$5)*(MONTH(Transactions!$C$9:$C$5005)=$G$5)*(Transactions!$F$9:$F$5005="Expense")*(Transactions!$G$9:$G$5005=C48)*(Transactions!$H$9:$H$5005))),0)</f>
        <v>0</v>
      </c>
      <c r="F48" s="26">
        <f t="shared" si="8"/>
        <v>0</v>
      </c>
      <c r="G48" s="27">
        <f t="shared" si="9"/>
        <v>0</v>
      </c>
      <c r="H48" s="36" t="str">
        <f t="shared" si="10"/>
        <v>░░░░░░░░░░</v>
      </c>
      <c r="I48" s="37" t="str">
        <f t="shared" si="11"/>
        <v>— Set budget</v>
      </c>
      <c r="J48" s="30" t="str">
        <f t="shared" si="12"/>
        <v>⬜ Not Set</v>
      </c>
      <c r="K48" s="2"/>
      <c r="L48" s="14"/>
      <c r="M48" s="15"/>
      <c r="N48" s="14"/>
      <c r="W48" s="15"/>
      <c r="X48" s="14"/>
    </row>
    <row r="49" spans="1:24" ht="15" customHeight="1" x14ac:dyDescent="0.2">
      <c r="A49" s="14"/>
      <c r="B49" s="14"/>
      <c r="C49" s="32" t="str">
        <f>IFERROR(IF(Settings!$D$27="","",Settings!$D$27),"")</f>
        <v/>
      </c>
      <c r="D49" s="18">
        <v>0</v>
      </c>
      <c r="E49" s="19" cm="1">
        <f t="array" ref="E49">IFERROR(IF(C49="",0,SUMPRODUCT((YEAR(Transactions!$C$9:$C$5005)=$E$5)*(MONTH(Transactions!$C$9:$C$5005)=$G$5)*(Transactions!$F$9:$F$5005="Expense")*(Transactions!$G$9:$G$5005=C49)*(Transactions!$H$9:$H$5005))),0)</f>
        <v>0</v>
      </c>
      <c r="F49" s="20" t="str">
        <f t="shared" si="8"/>
        <v/>
      </c>
      <c r="G49" s="21" t="str">
        <f t="shared" si="9"/>
        <v/>
      </c>
      <c r="H49" s="34" t="str">
        <f t="shared" si="10"/>
        <v/>
      </c>
      <c r="I49" s="35" t="str">
        <f t="shared" si="11"/>
        <v>—</v>
      </c>
      <c r="J49" s="24" t="str">
        <f t="shared" si="12"/>
        <v/>
      </c>
      <c r="K49" s="2"/>
      <c r="L49" s="14"/>
      <c r="M49" s="15"/>
      <c r="N49" s="14"/>
      <c r="W49" s="15"/>
      <c r="X49" s="14"/>
    </row>
    <row r="50" spans="1:24" ht="15" customHeight="1" x14ac:dyDescent="0.2">
      <c r="A50" s="14"/>
      <c r="B50" s="14"/>
      <c r="C50" s="33" t="str">
        <f>IFERROR(IF(Settings!$D$28="","",Settings!$D$28),"")</f>
        <v/>
      </c>
      <c r="D50" s="18">
        <v>0</v>
      </c>
      <c r="E50" s="19" cm="1">
        <f t="array" ref="E50">IFERROR(IF(C50="",0,SUMPRODUCT((YEAR(Transactions!$C$9:$C$5005)=$E$5)*(MONTH(Transactions!$C$9:$C$5005)=$G$5)*(Transactions!$F$9:$F$5005="Expense")*(Transactions!$G$9:$G$5005=C50)*(Transactions!$H$9:$H$5005))),0)</f>
        <v>0</v>
      </c>
      <c r="F50" s="26" t="str">
        <f t="shared" si="8"/>
        <v/>
      </c>
      <c r="G50" s="27" t="str">
        <f t="shared" si="9"/>
        <v/>
      </c>
      <c r="H50" s="36" t="str">
        <f t="shared" si="10"/>
        <v/>
      </c>
      <c r="I50" s="37" t="str">
        <f t="shared" si="11"/>
        <v>—</v>
      </c>
      <c r="J50" s="30" t="str">
        <f t="shared" si="12"/>
        <v/>
      </c>
      <c r="K50" s="2"/>
      <c r="L50" s="14"/>
      <c r="M50" s="15"/>
      <c r="N50" s="14"/>
      <c r="W50" s="15"/>
      <c r="X50" s="14"/>
    </row>
    <row r="51" spans="1:24" ht="15" customHeight="1" x14ac:dyDescent="0.2">
      <c r="A51" s="14"/>
      <c r="B51" s="14"/>
      <c r="C51" s="32" t="str">
        <f>IFERROR(IF(Settings!$D$29="","",Settings!$D$29),"")</f>
        <v/>
      </c>
      <c r="D51" s="18">
        <v>0</v>
      </c>
      <c r="E51" s="19" cm="1">
        <f t="array" ref="E51">IFERROR(IF(C51="",0,SUMPRODUCT((YEAR(Transactions!$C$9:$C$5005)=$E$5)*(MONTH(Transactions!$C$9:$C$5005)=$G$5)*(Transactions!$F$9:$F$5005="Expense")*(Transactions!$G$9:$G$5005=C51)*(Transactions!$H$9:$H$5005))),0)</f>
        <v>0</v>
      </c>
      <c r="F51" s="20" t="str">
        <f t="shared" si="8"/>
        <v/>
      </c>
      <c r="G51" s="21" t="str">
        <f t="shared" si="9"/>
        <v/>
      </c>
      <c r="H51" s="34" t="str">
        <f t="shared" si="10"/>
        <v/>
      </c>
      <c r="I51" s="35" t="str">
        <f t="shared" si="11"/>
        <v>—</v>
      </c>
      <c r="J51" s="24" t="str">
        <f t="shared" si="12"/>
        <v/>
      </c>
      <c r="K51" s="2"/>
      <c r="L51" s="14"/>
      <c r="M51" s="15"/>
      <c r="N51" s="14"/>
      <c r="W51" s="15"/>
      <c r="X51" s="14"/>
    </row>
    <row r="52" spans="1:24" ht="15" customHeight="1" x14ac:dyDescent="0.2">
      <c r="A52" s="14"/>
      <c r="B52" s="14"/>
      <c r="C52" s="33" t="str">
        <f>IFERROR(IF(Settings!$D$30="","",Settings!$D$30),"")</f>
        <v/>
      </c>
      <c r="D52" s="18">
        <v>0</v>
      </c>
      <c r="E52" s="19" cm="1">
        <f t="array" ref="E52">IFERROR(IF(C52="",0,SUMPRODUCT((YEAR(Transactions!$C$9:$C$5005)=$E$5)*(MONTH(Transactions!$C$9:$C$5005)=$G$5)*(Transactions!$F$9:$F$5005="Expense")*(Transactions!$G$9:$G$5005=C52)*(Transactions!$H$9:$H$5005))),0)</f>
        <v>0</v>
      </c>
      <c r="F52" s="26" t="str">
        <f t="shared" si="8"/>
        <v/>
      </c>
      <c r="G52" s="27" t="str">
        <f t="shared" si="9"/>
        <v/>
      </c>
      <c r="H52" s="36" t="str">
        <f t="shared" si="10"/>
        <v/>
      </c>
      <c r="I52" s="37" t="str">
        <f t="shared" si="11"/>
        <v>—</v>
      </c>
      <c r="J52" s="30" t="str">
        <f t="shared" si="12"/>
        <v/>
      </c>
      <c r="K52" s="2"/>
      <c r="L52" s="14"/>
      <c r="M52" s="15"/>
      <c r="N52" s="14"/>
      <c r="W52" s="15"/>
      <c r="X52" s="14"/>
    </row>
    <row r="53" spans="1:24" ht="15" customHeight="1" x14ac:dyDescent="0.2">
      <c r="A53" s="14"/>
      <c r="B53" s="14"/>
      <c r="C53" s="17" t="str">
        <f>IFERROR(IF(Settings!$D$31="","",Settings!$D$31),"")</f>
        <v/>
      </c>
      <c r="D53" s="18">
        <v>0</v>
      </c>
      <c r="E53" s="19" cm="1">
        <f t="array" ref="E53">IFERROR(IF(C53="",0,SUMPRODUCT((YEAR(Transactions!$C$9:$C$5005)=$E$5)*(MONTH(Transactions!$C$9:$C$5005)=$G$5)*(Transactions!$F$9:$F$5005="Expense")*(Transactions!$G$9:$G$5005=C53)*(Transactions!$H$9:$H$5005))),0)</f>
        <v>0</v>
      </c>
      <c r="F53" s="20" t="str">
        <f t="shared" si="8"/>
        <v/>
      </c>
      <c r="G53" s="21" t="str">
        <f t="shared" si="9"/>
        <v/>
      </c>
      <c r="H53" s="22" t="str">
        <f t="shared" si="10"/>
        <v/>
      </c>
      <c r="I53" s="23" t="str">
        <f t="shared" si="11"/>
        <v>—</v>
      </c>
      <c r="J53" s="24" t="str">
        <f t="shared" si="12"/>
        <v/>
      </c>
      <c r="K53" s="2"/>
      <c r="L53" s="14"/>
      <c r="M53" s="15"/>
      <c r="N53" s="14"/>
      <c r="W53" s="15"/>
      <c r="X53" s="14"/>
    </row>
    <row r="54" spans="1:24" ht="18" customHeight="1" x14ac:dyDescent="0.2">
      <c r="A54" s="14"/>
      <c r="B54" s="14"/>
      <c r="C54" s="31" t="str">
        <f>IFERROR(IF(Settings!$D$32="","",Settings!$D$32),"")</f>
        <v/>
      </c>
      <c r="D54" s="18">
        <v>0</v>
      </c>
      <c r="E54" s="19" cm="1">
        <f t="array" ref="E54">IFERROR(IF(C54="",0,SUMPRODUCT((YEAR(Transactions!$C$9:$C$5005)=$E$5)*(MONTH(Transactions!$C$9:$C$5005)=$G$5)*(Transactions!$F$9:$F$5005="Expense")*(Transactions!$G$9:$G$5005=C54)*(Transactions!$H$9:$H$5005))),0)</f>
        <v>0</v>
      </c>
      <c r="F54" s="26" t="str">
        <f t="shared" si="8"/>
        <v/>
      </c>
      <c r="G54" s="27" t="str">
        <f t="shared" si="9"/>
        <v/>
      </c>
      <c r="H54" s="28" t="str">
        <f t="shared" si="10"/>
        <v/>
      </c>
      <c r="I54" s="29" t="str">
        <f t="shared" si="11"/>
        <v>—</v>
      </c>
      <c r="J54" s="30" t="str">
        <f t="shared" si="12"/>
        <v/>
      </c>
      <c r="K54" s="2"/>
      <c r="L54" s="14"/>
      <c r="M54" s="15"/>
      <c r="N54" s="14"/>
      <c r="W54" s="15"/>
      <c r="X54" s="14"/>
    </row>
    <row r="55" spans="1:24" ht="18" customHeight="1" x14ac:dyDescent="0.2">
      <c r="A55" s="14"/>
      <c r="B55" s="14"/>
      <c r="C55" s="38" t="s">
        <v>57</v>
      </c>
      <c r="D55" s="39">
        <f>SUMIF(C35:C54,"&lt;&gt;",D35:D54)</f>
        <v>35700</v>
      </c>
      <c r="E55" s="39">
        <f>SUM(E35:E54)</f>
        <v>103426.6</v>
      </c>
      <c r="F55" s="39">
        <f>D55-E55</f>
        <v>-67726.600000000006</v>
      </c>
      <c r="G55" s="40">
        <f>IFERROR(E55/D55,0)</f>
        <v>2.8971036414565829</v>
      </c>
      <c r="H55" s="38"/>
      <c r="I55" s="41"/>
      <c r="J55" s="41"/>
      <c r="K55" s="2"/>
      <c r="L55" s="14"/>
      <c r="M55" s="15"/>
      <c r="N55" s="14"/>
      <c r="W55" s="15"/>
      <c r="X55" s="14"/>
    </row>
    <row r="56" spans="1:24" ht="18" customHeight="1" x14ac:dyDescent="0.2">
      <c r="A56" s="14"/>
      <c r="B56" s="14"/>
      <c r="C56" s="13"/>
      <c r="D56" s="13"/>
      <c r="E56" s="13"/>
      <c r="F56" s="13"/>
      <c r="G56" s="13"/>
      <c r="H56" s="13"/>
      <c r="I56" s="13"/>
      <c r="J56" s="13"/>
      <c r="K56" s="13"/>
      <c r="L56" s="14"/>
      <c r="M56" s="15"/>
      <c r="N56" s="14"/>
      <c r="W56" s="15"/>
      <c r="X56" s="14"/>
    </row>
    <row r="57" spans="1:24" ht="18" customHeight="1" x14ac:dyDescent="0.2">
      <c r="A57" s="14"/>
      <c r="B57" s="14"/>
      <c r="C57" s="467"/>
      <c r="D57" s="415"/>
      <c r="E57" s="415"/>
      <c r="F57" s="415"/>
      <c r="G57" s="415"/>
      <c r="H57" s="415"/>
      <c r="I57" s="415"/>
      <c r="J57" s="415"/>
      <c r="K57" s="13"/>
      <c r="L57" s="14"/>
      <c r="M57" s="15"/>
      <c r="N57" s="14"/>
      <c r="W57" s="15"/>
      <c r="X57" s="14"/>
    </row>
    <row r="58" spans="1:24" ht="18" customHeight="1" x14ac:dyDescent="0.2">
      <c r="A58" s="14"/>
      <c r="B58" s="14"/>
      <c r="C58" s="275"/>
      <c r="D58" s="276"/>
      <c r="E58" s="464"/>
      <c r="F58" s="415"/>
      <c r="G58" s="415"/>
      <c r="H58" s="415"/>
      <c r="I58" s="277"/>
      <c r="J58" s="278"/>
      <c r="K58" s="13"/>
      <c r="L58" s="14"/>
      <c r="M58" s="15"/>
      <c r="N58" s="14"/>
      <c r="W58" s="15"/>
      <c r="X58" s="14"/>
    </row>
    <row r="59" spans="1:24" ht="18" customHeight="1" x14ac:dyDescent="0.2">
      <c r="A59" s="14"/>
      <c r="B59" s="14"/>
      <c r="C59" s="279"/>
      <c r="D59" s="280"/>
      <c r="E59" s="464"/>
      <c r="F59" s="415"/>
      <c r="G59" s="415"/>
      <c r="H59" s="415"/>
      <c r="I59" s="277"/>
      <c r="J59" s="278"/>
      <c r="K59" s="13"/>
      <c r="L59" s="14"/>
      <c r="M59" s="15"/>
      <c r="N59" s="14"/>
      <c r="W59" s="15"/>
      <c r="X59" s="14"/>
    </row>
    <row r="60" spans="1:24" ht="18" customHeight="1" x14ac:dyDescent="0.2">
      <c r="A60" s="14"/>
      <c r="B60" s="14"/>
      <c r="C60" s="281"/>
      <c r="D60" s="282"/>
      <c r="E60" s="464"/>
      <c r="F60" s="415"/>
      <c r="G60" s="415"/>
      <c r="H60" s="415"/>
      <c r="I60" s="277"/>
      <c r="J60" s="278"/>
      <c r="K60" s="13"/>
      <c r="L60" s="14"/>
      <c r="M60" s="15"/>
      <c r="N60" s="14"/>
      <c r="W60" s="15"/>
      <c r="X60" s="14"/>
    </row>
    <row r="61" spans="1:24" ht="18" customHeight="1" x14ac:dyDescent="0.2">
      <c r="A61" s="13"/>
      <c r="B61" s="13"/>
      <c r="C61" s="283"/>
      <c r="D61" s="278"/>
      <c r="E61" s="278"/>
      <c r="F61" s="278"/>
      <c r="G61" s="278"/>
      <c r="H61" s="278"/>
      <c r="I61" s="278"/>
      <c r="J61" s="278"/>
      <c r="K61" s="13"/>
      <c r="L61" s="13"/>
      <c r="M61" s="15"/>
      <c r="N61" s="14"/>
      <c r="W61" s="15"/>
      <c r="X61" s="14"/>
    </row>
    <row r="62" spans="1:24" ht="18" customHeight="1" x14ac:dyDescent="0.2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5"/>
      <c r="N62" s="14"/>
      <c r="W62" s="15"/>
      <c r="X62" s="14"/>
    </row>
    <row r="63" spans="1:24" ht="18" customHeight="1" x14ac:dyDescent="0.2">
      <c r="A63" s="13"/>
      <c r="B63" s="13"/>
      <c r="C63" s="465" t="s">
        <v>58</v>
      </c>
      <c r="D63" s="465"/>
      <c r="E63" s="53" t="s">
        <v>1027</v>
      </c>
      <c r="F63" s="53"/>
      <c r="G63" s="14"/>
      <c r="H63" s="14"/>
      <c r="I63" s="14"/>
      <c r="J63" s="14"/>
      <c r="K63" s="13"/>
      <c r="L63" s="13"/>
      <c r="M63" s="15"/>
      <c r="N63" s="14"/>
      <c r="W63" s="15"/>
      <c r="X63" s="14"/>
    </row>
    <row r="64" spans="1:24" ht="18" customHeight="1" x14ac:dyDescent="0.2">
      <c r="A64" s="13"/>
      <c r="B64" s="13"/>
      <c r="C64" s="56" t="str">
        <f>HYPERLINK("#Transactions!A1","📝  Transactions")</f>
        <v>📝  Transactions</v>
      </c>
      <c r="D64" s="56"/>
      <c r="E64" s="14" t="str">
        <f>HYPERLINK("#Transactions!C2","➕ Add a Transaction")</f>
        <v>➕ Add a Transaction</v>
      </c>
      <c r="F64" s="14"/>
      <c r="G64" s="14"/>
      <c r="H64" s="14"/>
      <c r="I64" s="14"/>
      <c r="J64" s="14"/>
      <c r="K64" s="13"/>
      <c r="L64" s="13"/>
      <c r="M64" s="15"/>
      <c r="N64" s="14"/>
      <c r="W64" s="15"/>
      <c r="X64" s="14"/>
    </row>
    <row r="65" spans="1:24" ht="14.25" customHeight="1" x14ac:dyDescent="0.2">
      <c r="A65" s="13"/>
      <c r="B65" s="13"/>
      <c r="C65" s="56" t="str">
        <f>HYPERLINK("#Settings!A1","⚙️  Settings &amp; Entry")</f>
        <v>⚙️  Settings &amp; Entry</v>
      </c>
      <c r="D65" s="56"/>
      <c r="E65" s="14" t="str">
        <f>HYPERLINK("#Cashflow!C2","➕ Add a Lending Entry")</f>
        <v>➕ Add a Lending Entry</v>
      </c>
      <c r="F65" s="14"/>
      <c r="G65" s="14"/>
      <c r="H65" s="14"/>
      <c r="I65" s="14"/>
      <c r="J65" s="14"/>
      <c r="K65" s="13"/>
      <c r="L65" s="13"/>
      <c r="M65" s="15"/>
      <c r="N65" s="14"/>
      <c r="W65" s="15"/>
      <c r="X65" s="14"/>
    </row>
    <row r="66" spans="1:24" ht="14.25" customHeight="1" x14ac:dyDescent="0.2">
      <c r="A66" s="13"/>
      <c r="B66" s="13"/>
      <c r="C66" s="56" t="str">
        <f>HYPERLINK("#Detailed!A1","📅  Detailed")</f>
        <v>📅  Detailed</v>
      </c>
      <c r="D66" s="56"/>
      <c r="E66" s="14" t="str">
        <f>HYPERLINK("#Settings!I11","⚙️ Manage Categories / People / Lists")</f>
        <v>⚙️ Manage Categories / People / Lists</v>
      </c>
      <c r="F66" s="14"/>
      <c r="G66" s="14"/>
      <c r="H66" s="14"/>
      <c r="I66" s="14"/>
      <c r="J66" s="14"/>
      <c r="K66" s="13"/>
      <c r="L66" s="13"/>
      <c r="M66" s="15"/>
      <c r="N66" s="14"/>
      <c r="W66" s="15"/>
      <c r="X66" s="14"/>
    </row>
    <row r="67" spans="1:24" ht="14.25" customHeight="1" x14ac:dyDescent="0.2">
      <c r="A67" s="13"/>
      <c r="B67" s="13"/>
      <c r="C67" s="56" t="str">
        <f>HYPERLINK("#Cashflow!A1","🤝  Cashflow (Lending)")</f>
        <v>🤝  Cashflow (Lending)</v>
      </c>
      <c r="D67" s="56"/>
      <c r="E67" s="13"/>
      <c r="F67" s="13"/>
      <c r="G67" s="13"/>
      <c r="H67" s="13"/>
      <c r="I67" s="13"/>
      <c r="J67" s="13"/>
      <c r="K67" s="13"/>
      <c r="L67" s="13"/>
      <c r="M67" s="15"/>
      <c r="N67" s="14"/>
      <c r="W67" s="15"/>
      <c r="X67" s="14"/>
    </row>
    <row r="68" spans="1:24" ht="14.25" customHeight="1" x14ac:dyDescent="0.2">
      <c r="A68" s="13"/>
      <c r="B68" s="13"/>
      <c r="C68" s="56" t="str">
        <f>HYPERLINK("#Salary!A1","💵  Salary")</f>
        <v>💵  Salary</v>
      </c>
      <c r="D68" s="56"/>
      <c r="E68" s="13"/>
      <c r="F68" s="13"/>
      <c r="G68" s="13"/>
      <c r="H68" s="13"/>
      <c r="I68" s="13"/>
      <c r="J68" s="13"/>
      <c r="K68" s="13"/>
      <c r="L68" s="13"/>
      <c r="M68" s="15"/>
      <c r="N68" s="14"/>
      <c r="W68" s="15"/>
      <c r="X68" s="14"/>
    </row>
    <row r="69" spans="1:24" ht="14.25" customHeight="1" x14ac:dyDescent="0.2">
      <c r="A69" s="13"/>
      <c r="B69" s="13"/>
      <c r="C69" s="13" t="str">
        <f>HYPERLINK("#EMI!A1","🏦  EMI")</f>
        <v>🏦  EMI</v>
      </c>
      <c r="D69" s="13"/>
      <c r="E69" s="13"/>
      <c r="F69" s="13"/>
      <c r="G69" s="13"/>
      <c r="H69" s="13"/>
      <c r="I69" s="13"/>
      <c r="J69" s="13"/>
      <c r="K69" s="13"/>
      <c r="L69" s="13"/>
      <c r="M69" s="15"/>
      <c r="N69" s="14"/>
      <c r="W69" s="15"/>
      <c r="X69" s="14"/>
    </row>
    <row r="70" spans="1:24" ht="14.25" customHeight="1" x14ac:dyDescent="0.2">
      <c r="A70" s="13"/>
      <c r="B70" s="13"/>
      <c r="C70" s="13" t="str">
        <f>HYPERLINK("#Own!A1","📁  Own")</f>
        <v>📁  Own</v>
      </c>
      <c r="D70" s="13"/>
      <c r="E70" s="13"/>
      <c r="F70" s="13"/>
      <c r="G70" s="13"/>
      <c r="H70" s="13"/>
      <c r="I70" s="13"/>
      <c r="J70" s="13"/>
      <c r="K70" s="13"/>
      <c r="L70" s="13"/>
      <c r="M70" s="15"/>
      <c r="N70" s="14"/>
      <c r="W70" s="15"/>
      <c r="X70" s="14"/>
    </row>
    <row r="71" spans="1:24" ht="14.25" customHeight="1" x14ac:dyDescent="0.2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5"/>
      <c r="N71" s="14"/>
      <c r="W71" s="15"/>
      <c r="X71" s="14"/>
    </row>
    <row r="72" spans="1:24" ht="14.25" customHeight="1" x14ac:dyDescent="0.2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5"/>
      <c r="N72" s="14"/>
      <c r="W72" s="15"/>
      <c r="X72" s="14"/>
    </row>
    <row r="73" spans="1:24" ht="14.25" customHeight="1" x14ac:dyDescent="0.2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5"/>
      <c r="N73" s="14"/>
      <c r="W73" s="15"/>
      <c r="X73" s="14"/>
    </row>
    <row r="74" spans="1:24" ht="14.25" customHeight="1" x14ac:dyDescent="0.2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5"/>
      <c r="N74" s="14"/>
      <c r="W74" s="15"/>
      <c r="X74" s="14"/>
    </row>
    <row r="75" spans="1:24" ht="14.25" customHeight="1" x14ac:dyDescent="0.2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5"/>
      <c r="N75" s="14"/>
      <c r="W75" s="15"/>
      <c r="X75" s="14"/>
    </row>
    <row r="76" spans="1:24" ht="14.25" customHeight="1" x14ac:dyDescent="0.2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5"/>
      <c r="N76" s="14"/>
      <c r="W76" s="15"/>
      <c r="X76" s="14"/>
    </row>
    <row r="77" spans="1:24" ht="14.25" customHeight="1" x14ac:dyDescent="0.2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5"/>
      <c r="N77" s="14"/>
      <c r="W77" s="15"/>
      <c r="X77" s="14"/>
    </row>
    <row r="78" spans="1:24" ht="14.25" customHeight="1" x14ac:dyDescent="0.2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5"/>
      <c r="N78" s="14"/>
      <c r="W78" s="15"/>
      <c r="X78" s="14"/>
    </row>
    <row r="79" spans="1:24" ht="14.25" customHeight="1" x14ac:dyDescent="0.2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5"/>
      <c r="N79" s="14"/>
      <c r="W79" s="15"/>
      <c r="X79" s="14"/>
    </row>
    <row r="80" spans="1:24" ht="14.25" customHeight="1" x14ac:dyDescent="0.2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5"/>
      <c r="N80" s="14"/>
      <c r="W80" s="15"/>
      <c r="X80" s="14"/>
    </row>
    <row r="81" spans="1:24" ht="14.25" customHeight="1" x14ac:dyDescent="0.2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5"/>
      <c r="N81" s="14"/>
      <c r="W81" s="15"/>
      <c r="X81" s="14"/>
    </row>
    <row r="82" spans="1:24" ht="14.25" customHeight="1" x14ac:dyDescent="0.2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5"/>
      <c r="N82" s="14"/>
      <c r="W82" s="15"/>
      <c r="X82" s="14"/>
    </row>
    <row r="83" spans="1:24" ht="14.25" customHeight="1" x14ac:dyDescent="0.2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5"/>
      <c r="N83" s="14"/>
      <c r="W83" s="15"/>
      <c r="X83" s="14"/>
    </row>
    <row r="84" spans="1:24" ht="14.25" customHeight="1" x14ac:dyDescent="0.2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5"/>
      <c r="N84" s="14"/>
      <c r="W84" s="15"/>
      <c r="X84" s="14"/>
    </row>
    <row r="85" spans="1:24" ht="14.25" customHeight="1" x14ac:dyDescent="0.2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5"/>
      <c r="N85" s="14"/>
      <c r="W85" s="15"/>
      <c r="X85" s="14"/>
    </row>
  </sheetData>
  <protectedRanges>
    <protectedRange sqref="D35:D54" name="Range4"/>
    <protectedRange sqref="G5" name="Range2"/>
    <protectedRange sqref="E5" name="Range1"/>
  </protectedRanges>
  <mergeCells count="24">
    <mergeCell ref="Y2:AD2"/>
    <mergeCell ref="C14:J14"/>
    <mergeCell ref="AF2:AS2"/>
    <mergeCell ref="C2:H2"/>
    <mergeCell ref="I2:J2"/>
    <mergeCell ref="C9:I9"/>
    <mergeCell ref="C10:D10"/>
    <mergeCell ref="E10:F10"/>
    <mergeCell ref="I10:J10"/>
    <mergeCell ref="C6:J6"/>
    <mergeCell ref="C7:D7"/>
    <mergeCell ref="E7:F7"/>
    <mergeCell ref="I7:J7"/>
    <mergeCell ref="C8:D8"/>
    <mergeCell ref="E8:F8"/>
    <mergeCell ref="I8:J8"/>
    <mergeCell ref="C11:D11"/>
    <mergeCell ref="E11:F11"/>
    <mergeCell ref="E60:H60"/>
    <mergeCell ref="C63:D63"/>
    <mergeCell ref="C33:K33"/>
    <mergeCell ref="C57:J57"/>
    <mergeCell ref="E58:H58"/>
    <mergeCell ref="E59:H59"/>
  </mergeCells>
  <dataValidations count="2">
    <dataValidation type="list" allowBlank="1" showInputMessage="1" showErrorMessage="1" sqref="G5" xr:uid="{00000000-0002-0000-0100-000000000000}">
      <formula1>$C$18:$C$29</formula1>
    </dataValidation>
    <dataValidation type="list" allowBlank="1" showInputMessage="1" showErrorMessage="1" sqref="E5" xr:uid="{00000000-0002-0000-0100-000001000000}">
      <formula1>YearList</formula1>
    </dataValidation>
  </dataValidations>
  <hyperlinks>
    <hyperlink ref="D44" r:id="rId1" location="'📊%20FY%202023-24'!B2" display="file:///mnt/user-data/Library/Containers/com.microsoft.Excel/Data/Library/Application%20Support/Microsoft/Finance_Dashboard_v6.xlsx#'📊%20FY%202023-24'!B2" xr:uid="{00000000-0004-0000-0000-000000000000}"/>
    <hyperlink ref="F44" r:id="rId2" location="'📊%20FY%202025-26'!B2" display="file:///mnt/user-data/Library/Containers/com.microsoft.Excel/Data/Library/Application%20Support/Microsoft/Finance_Dashboard_v6.xlsx#'📊%20FY%202025-26'!B2" xr:uid="{00000000-0004-0000-0000-000002000000}"/>
    <hyperlink ref="C64" location="Transactions!A1" display="📝  Transactions" xr:uid="{00000000-0004-0000-0000-000003000000}"/>
    <hyperlink ref="C65" location="Settings!R1" display="⚙️  Settings &amp; Configuration" xr:uid="{00000000-0004-0000-0000-000005000000}"/>
    <hyperlink ref="C66" location="Detailed!A1" display="📅  Detailed" xr:uid="{00000000-0004-0000-0000-000004000000}"/>
  </hyperlinks>
  <pageMargins left="0.75" right="0.75" top="1" bottom="1" header="0.511811023622047" footer="0.511811023622047"/>
  <pageSetup paperSize="9" orientation="portrait" horizontalDpi="300" verticalDpi="300" r:id="rId3"/>
  <ignoredErrors>
    <ignoredError sqref="Y15 Y16:Y18" numberStoredAsText="1"/>
  </ignoredErrors>
  <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564204-46F6-A848-8441-D4A0A7458E26}">
          <x14:formula1>
            <xm:f>Settings!$E$58:$E$77</xm:f>
          </x14:formula1>
          <xm:sqref>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9B8E1-AEFC-6244-96B7-BF81C80F4AFF}">
  <sheetPr codeName="Sheet2">
    <tabColor rgb="FF4F46E5"/>
  </sheetPr>
  <dimension ref="A1:K82"/>
  <sheetViews>
    <sheetView showGridLines="0" topLeftCell="A9" zoomScaleNormal="100" workbookViewId="0">
      <selection activeCell="G20" sqref="G20"/>
    </sheetView>
  </sheetViews>
  <sheetFormatPr baseColWidth="10" defaultColWidth="8.5" defaultRowHeight="15" x14ac:dyDescent="0.2"/>
  <cols>
    <col min="1" max="2" width="3" customWidth="1"/>
    <col min="3" max="4" width="26" customWidth="1"/>
    <col min="5" max="5" width="20" customWidth="1"/>
    <col min="6" max="6" width="11.83203125" style="397" customWidth="1"/>
    <col min="7" max="7" width="8.5" style="111"/>
  </cols>
  <sheetData>
    <row r="1" spans="1:11" ht="14.25" customHeight="1" x14ac:dyDescent="0.2">
      <c r="A1" s="13"/>
      <c r="B1" s="13"/>
      <c r="C1" s="13"/>
      <c r="D1" s="13"/>
      <c r="E1" s="13"/>
      <c r="F1" s="391"/>
      <c r="G1" s="110"/>
    </row>
    <row r="2" spans="1:11" ht="36" customHeight="1" x14ac:dyDescent="0.2">
      <c r="A2" s="13"/>
      <c r="B2" s="13"/>
      <c r="C2" s="480" t="s">
        <v>59</v>
      </c>
      <c r="D2" s="480"/>
      <c r="E2" s="480"/>
      <c r="F2" s="391"/>
      <c r="G2" s="110"/>
    </row>
    <row r="3" spans="1:11" ht="14.25" customHeight="1" x14ac:dyDescent="0.2">
      <c r="A3" s="13"/>
      <c r="B3" s="13"/>
      <c r="C3" s="13"/>
      <c r="D3" s="13"/>
      <c r="E3" s="13"/>
      <c r="F3" s="391"/>
      <c r="G3" s="110"/>
    </row>
    <row r="4" spans="1:11" ht="15.75" customHeight="1" x14ac:dyDescent="0.2">
      <c r="A4" s="13"/>
      <c r="B4" s="13"/>
      <c r="C4" s="61" t="s">
        <v>60</v>
      </c>
      <c r="D4" s="62"/>
      <c r="E4" s="62"/>
      <c r="F4" s="391"/>
      <c r="G4" s="110"/>
    </row>
    <row r="5" spans="1:11" ht="18" customHeight="1" x14ac:dyDescent="0.2">
      <c r="A5" s="13"/>
      <c r="B5" s="13"/>
      <c r="C5" s="63" t="s">
        <v>61</v>
      </c>
      <c r="D5" s="64" t="s">
        <v>62</v>
      </c>
      <c r="E5" s="13"/>
      <c r="F5" s="391"/>
      <c r="G5" s="110"/>
    </row>
    <row r="6" spans="1:11" ht="18" customHeight="1" x14ac:dyDescent="0.2">
      <c r="A6" s="13"/>
      <c r="B6" s="13"/>
      <c r="C6" s="63" t="s">
        <v>63</v>
      </c>
      <c r="D6" s="64" t="s">
        <v>64</v>
      </c>
      <c r="E6" s="13"/>
      <c r="F6" s="391"/>
      <c r="G6" s="110"/>
    </row>
    <row r="7" spans="1:11" ht="18" customHeight="1" x14ac:dyDescent="0.2">
      <c r="A7" s="13"/>
      <c r="B7" s="13"/>
      <c r="C7" s="63" t="s">
        <v>65</v>
      </c>
      <c r="D7" s="65">
        <v>50000</v>
      </c>
      <c r="E7" s="13"/>
      <c r="F7" s="391"/>
      <c r="G7" s="110"/>
    </row>
    <row r="8" spans="1:11" ht="18" customHeight="1" x14ac:dyDescent="0.2">
      <c r="A8" s="13"/>
      <c r="B8" s="13"/>
      <c r="C8" s="63" t="s">
        <v>66</v>
      </c>
      <c r="D8" s="66">
        <v>0</v>
      </c>
      <c r="E8" s="13"/>
      <c r="F8" s="391"/>
      <c r="G8" s="110"/>
    </row>
    <row r="9" spans="1:11" ht="18" customHeight="1" x14ac:dyDescent="0.2">
      <c r="A9" s="13"/>
      <c r="B9" s="13"/>
      <c r="C9" s="63" t="s">
        <v>67</v>
      </c>
      <c r="D9" s="64" t="s">
        <v>38</v>
      </c>
      <c r="E9" s="13"/>
      <c r="F9" s="391"/>
      <c r="G9" s="110"/>
    </row>
    <row r="10" spans="1:11" ht="14.25" customHeight="1" x14ac:dyDescent="0.2">
      <c r="A10" s="13"/>
      <c r="B10" s="13"/>
      <c r="C10" s="13"/>
      <c r="D10" s="13"/>
      <c r="E10" s="13"/>
      <c r="F10" s="391"/>
      <c r="G10" s="110"/>
    </row>
    <row r="11" spans="1:11" ht="15.75" customHeight="1" x14ac:dyDescent="0.2">
      <c r="A11" s="13"/>
      <c r="B11" s="13"/>
      <c r="C11" s="67" t="s">
        <v>68</v>
      </c>
      <c r="D11" s="68" t="s">
        <v>69</v>
      </c>
      <c r="E11" s="482" t="s">
        <v>70</v>
      </c>
      <c r="F11" s="483"/>
      <c r="G11" s="110"/>
      <c r="I11" s="69" t="s">
        <v>1028</v>
      </c>
      <c r="J11" s="69" t="s">
        <v>1029</v>
      </c>
      <c r="K11" s="69" t="s">
        <v>1030</v>
      </c>
    </row>
    <row r="12" spans="1:11" ht="15.75" customHeight="1" x14ac:dyDescent="0.2">
      <c r="A12" s="13"/>
      <c r="B12" s="13"/>
      <c r="C12" s="69" t="s">
        <v>71</v>
      </c>
      <c r="D12" s="69" t="s">
        <v>72</v>
      </c>
      <c r="E12" s="289" t="s">
        <v>22</v>
      </c>
      <c r="F12" s="392">
        <f>SUM(F13:F46)</f>
        <v>-76407.020000000019</v>
      </c>
      <c r="G12" s="110"/>
      <c r="I12" s="71" t="s">
        <v>277</v>
      </c>
      <c r="J12" s="71" t="s">
        <v>333</v>
      </c>
      <c r="K12" s="71" t="s">
        <v>171</v>
      </c>
    </row>
    <row r="13" spans="1:11" ht="16.5" customHeight="1" x14ac:dyDescent="0.2">
      <c r="A13" s="13"/>
      <c r="B13" s="13"/>
      <c r="C13" s="70">
        <v>1</v>
      </c>
      <c r="D13" s="71" t="s">
        <v>73</v>
      </c>
      <c r="E13" s="290" t="s">
        <v>74</v>
      </c>
      <c r="F13" s="393" cm="1">
        <f t="array" ref="F13">IFERROR((SUMPRODUCT(
  (Cashflow!$D$9:$D$4993=E13)
  *Cashflow!$I$9:$I$4993
))-(SUMPRODUCT(
  (Cashflow!$D$9:$D$4993=E13)
  *Cashflow!$J$9:$J$4993
)),0)</f>
        <v>196.69999999998254</v>
      </c>
      <c r="G13" s="110"/>
      <c r="I13" s="71" t="s">
        <v>274</v>
      </c>
      <c r="J13" s="71" t="s">
        <v>275</v>
      </c>
      <c r="K13" s="71" t="s">
        <v>172</v>
      </c>
    </row>
    <row r="14" spans="1:11" ht="16.5" customHeight="1" x14ac:dyDescent="0.2">
      <c r="A14" s="13"/>
      <c r="B14" s="13"/>
      <c r="C14" s="72">
        <v>2</v>
      </c>
      <c r="D14" s="71" t="s">
        <v>22</v>
      </c>
      <c r="E14" s="291" t="s">
        <v>75</v>
      </c>
      <c r="F14" s="393" cm="1">
        <f t="array" ref="F14">IFERROR((SUMPRODUCT(
  (Cashflow!$D$9:$D$4993=E14)
  *Cashflow!$I$9:$I$4993
))-(SUMPRODUCT(
  (Cashflow!$D$9:$D$4993=E14)
  *Cashflow!$J$9:$J$4993
)),0)</f>
        <v>20000</v>
      </c>
      <c r="G14" s="110"/>
      <c r="I14" s="71" t="s">
        <v>30</v>
      </c>
      <c r="J14" s="71" t="s">
        <v>426</v>
      </c>
    </row>
    <row r="15" spans="1:11" ht="16.5" customHeight="1" x14ac:dyDescent="0.2">
      <c r="A15" s="13"/>
      <c r="B15" s="13"/>
      <c r="C15" s="70">
        <v>3</v>
      </c>
      <c r="D15" s="71" t="s">
        <v>76</v>
      </c>
      <c r="E15" s="290" t="s">
        <v>77</v>
      </c>
      <c r="F15" s="393" cm="1">
        <f t="array" ref="F15">IFERROR((SUMPRODUCT(
  (Cashflow!$D$9:$D$4993=E15)
  *Cashflow!$I$9:$I$4993
))-(SUMPRODUCT(
  (Cashflow!$D$9:$D$4993=E15)
  *Cashflow!$J$9:$J$4993
)),0)</f>
        <v>105000</v>
      </c>
      <c r="G15" s="110"/>
      <c r="J15" s="71" t="s">
        <v>533</v>
      </c>
    </row>
    <row r="16" spans="1:11" ht="16.5" customHeight="1" x14ac:dyDescent="0.2">
      <c r="A16" s="13"/>
      <c r="B16" s="13"/>
      <c r="C16" s="72">
        <v>4</v>
      </c>
      <c r="D16" s="71" t="s">
        <v>78</v>
      </c>
      <c r="E16" s="291" t="s">
        <v>79</v>
      </c>
      <c r="F16" s="393" cm="1">
        <f t="array" ref="F16">IFERROR((SUMPRODUCT(
  (Cashflow!$D$9:$D$4993=E16)
  *Cashflow!$I$9:$I$4993
))-(SUMPRODUCT(
  (Cashflow!$D$9:$D$4993=E16)
  *Cashflow!$J$9:$J$4993
)),0)</f>
        <v>3500</v>
      </c>
      <c r="G16" s="110"/>
      <c r="J16" s="71" t="s">
        <v>1006</v>
      </c>
    </row>
    <row r="17" spans="1:10" ht="16.5" customHeight="1" x14ac:dyDescent="0.2">
      <c r="A17" s="13"/>
      <c r="B17" s="13"/>
      <c r="C17" s="70">
        <v>5</v>
      </c>
      <c r="D17" s="71" t="s">
        <v>80</v>
      </c>
      <c r="E17" s="290" t="s">
        <v>81</v>
      </c>
      <c r="F17" s="393" cm="1">
        <f t="array" ref="F17">IFERROR((SUMPRODUCT(
  (Cashflow!$D$9:$D$4993=E17)
  *Cashflow!$I$9:$I$4993
))-(SUMPRODUCT(
  (Cashflow!$D$9:$D$4993=E17)
  *Cashflow!$J$9:$J$4993
)),0)</f>
        <v>16471</v>
      </c>
      <c r="G17" s="110"/>
      <c r="J17" s="71" t="s">
        <v>1008</v>
      </c>
    </row>
    <row r="18" spans="1:10" ht="16.5" customHeight="1" x14ac:dyDescent="0.2">
      <c r="A18" s="13"/>
      <c r="B18" s="13"/>
      <c r="C18" s="72">
        <v>6</v>
      </c>
      <c r="D18" s="71" t="s">
        <v>82</v>
      </c>
      <c r="E18" s="291" t="s">
        <v>83</v>
      </c>
      <c r="F18" s="393" cm="1">
        <f t="array" ref="F18">IFERROR((SUMPRODUCT(
  (Cashflow!$D$9:$D$4993=E18)
  *Cashflow!$I$9:$I$4993
))-(SUMPRODUCT(
  (Cashflow!$D$9:$D$4993=E18)
  *Cashflow!$J$9:$J$4993
)),0)</f>
        <v>58772.2</v>
      </c>
      <c r="G18" s="110"/>
      <c r="J18" s="71" t="s">
        <v>86</v>
      </c>
    </row>
    <row r="19" spans="1:10" ht="16.5" customHeight="1" x14ac:dyDescent="0.2">
      <c r="A19" s="13"/>
      <c r="B19" s="13"/>
      <c r="C19" s="70">
        <v>7</v>
      </c>
      <c r="D19" s="71" t="s">
        <v>84</v>
      </c>
      <c r="E19" s="290" t="s">
        <v>85</v>
      </c>
      <c r="F19" s="393" cm="1">
        <f t="array" ref="F19">IFERROR((SUMPRODUCT(
  (Cashflow!$D$9:$D$4993=E19)
  *Cashflow!$I$9:$I$4993
))-(SUMPRODUCT(
  (Cashflow!$D$9:$D$4993=E19)
  *Cashflow!$J$9:$J$4993
)),0)</f>
        <v>-499150</v>
      </c>
      <c r="G19" s="110"/>
    </row>
    <row r="20" spans="1:10" ht="16.5" customHeight="1" x14ac:dyDescent="0.2">
      <c r="A20" s="13"/>
      <c r="B20" s="13"/>
      <c r="C20" s="72">
        <v>8</v>
      </c>
      <c r="D20" s="71" t="s">
        <v>86</v>
      </c>
      <c r="E20" s="291" t="s">
        <v>87</v>
      </c>
      <c r="F20" s="393" cm="1">
        <f t="array" ref="F20">IFERROR((SUMPRODUCT(
  (Cashflow!$D$9:$D$4993=E20)
  *Cashflow!$I$9:$I$4993
))-(SUMPRODUCT(
  (Cashflow!$D$9:$D$4993=E20)
  *Cashflow!$J$9:$J$4993
)),0)</f>
        <v>43341.600000000006</v>
      </c>
      <c r="G20" s="110"/>
    </row>
    <row r="21" spans="1:10" ht="16.5" customHeight="1" x14ac:dyDescent="0.2">
      <c r="A21" s="13"/>
      <c r="B21" s="13"/>
      <c r="C21" s="70">
        <v>9</v>
      </c>
      <c r="D21" s="71" t="s">
        <v>88</v>
      </c>
      <c r="E21" s="291" t="s">
        <v>89</v>
      </c>
      <c r="F21" s="393" cm="1">
        <f t="array" ref="F21">IFERROR((SUMPRODUCT(
  (Cashflow!$D$9:$D$4993=E21)
  *Cashflow!$I$9:$I$4993
))-(SUMPRODUCT(
  (Cashflow!$D$9:$D$4993=E21)
  *Cashflow!$J$9:$J$4993
)),0)</f>
        <v>0</v>
      </c>
      <c r="G21" s="110"/>
    </row>
    <row r="22" spans="1:10" ht="16.5" customHeight="1" x14ac:dyDescent="0.2">
      <c r="A22" s="13"/>
      <c r="B22" s="13"/>
      <c r="C22" s="72">
        <v>10</v>
      </c>
      <c r="D22" s="71" t="s">
        <v>90</v>
      </c>
      <c r="E22" s="290" t="s">
        <v>91</v>
      </c>
      <c r="F22" s="393" cm="1">
        <f t="array" ref="F22">IFERROR((SUMPRODUCT(
  (Cashflow!$D$9:$D$4993=E22)
  *Cashflow!$I$9:$I$4993
))-(SUMPRODUCT(
  (Cashflow!$D$9:$D$4993=E22)
  *Cashflow!$J$9:$J$4993
)),0)</f>
        <v>11756.6</v>
      </c>
      <c r="G22" s="110"/>
    </row>
    <row r="23" spans="1:10" ht="16.5" customHeight="1" x14ac:dyDescent="0.2">
      <c r="A23" s="13"/>
      <c r="B23" s="13"/>
      <c r="C23" s="70">
        <v>11</v>
      </c>
      <c r="D23" s="71" t="s">
        <v>92</v>
      </c>
      <c r="E23" s="291" t="s">
        <v>93</v>
      </c>
      <c r="F23" s="393" cm="1">
        <f t="array" ref="F23">IFERROR((SUMPRODUCT(
  (Cashflow!$D$9:$D$4993=E23)
  *Cashflow!$I$9:$I$4993
))-(SUMPRODUCT(
  (Cashflow!$D$9:$D$4993=E23)
  *Cashflow!$J$9:$J$4993
)),0)</f>
        <v>0</v>
      </c>
      <c r="G23" s="110"/>
    </row>
    <row r="24" spans="1:10" ht="16.5" customHeight="1" x14ac:dyDescent="0.2">
      <c r="A24" s="13"/>
      <c r="B24" s="13"/>
      <c r="C24" s="72">
        <v>12</v>
      </c>
      <c r="D24" s="71" t="s">
        <v>94</v>
      </c>
      <c r="E24" s="290" t="s">
        <v>95</v>
      </c>
      <c r="F24" s="393" cm="1">
        <f t="array" ref="F24">IFERROR((SUMPRODUCT(
  (Cashflow!$D$9:$D$4993=E24)
  *Cashflow!$I$9:$I$4993
))-(SUMPRODUCT(
  (Cashflow!$D$9:$D$4993=E24)
  *Cashflow!$J$9:$J$4993
)),0)</f>
        <v>0</v>
      </c>
      <c r="G24" s="110"/>
    </row>
    <row r="25" spans="1:10" ht="16.5" customHeight="1" x14ac:dyDescent="0.2">
      <c r="A25" s="13"/>
      <c r="B25" s="13"/>
      <c r="C25" s="70">
        <v>13</v>
      </c>
      <c r="D25" s="71" t="s">
        <v>96</v>
      </c>
      <c r="E25" s="291" t="s">
        <v>97</v>
      </c>
      <c r="F25" s="393" cm="1">
        <f t="array" ref="F25">IFERROR((SUMPRODUCT(
  (Cashflow!$D$9:$D$4993=E25)
  *Cashflow!$I$9:$I$4993
))-(SUMPRODUCT(
  (Cashflow!$D$9:$D$4993=E25)
  *Cashflow!$J$9:$J$4993
)),0)</f>
        <v>0</v>
      </c>
      <c r="G25" s="110"/>
    </row>
    <row r="26" spans="1:10" ht="16.5" customHeight="1" x14ac:dyDescent="0.2">
      <c r="A26" s="13"/>
      <c r="B26" s="13"/>
      <c r="C26" s="72">
        <v>14</v>
      </c>
      <c r="D26" s="71" t="s">
        <v>98</v>
      </c>
      <c r="E26" s="290" t="s">
        <v>99</v>
      </c>
      <c r="F26" s="393" cm="1">
        <f t="array" ref="F26">IFERROR((SUMPRODUCT(
  (Cashflow!$D$9:$D$4993=E26)
  *Cashflow!$I$9:$I$4993
))-(SUMPRODUCT(
  (Cashflow!$D$9:$D$4993=E26)
  *Cashflow!$J$9:$J$4993
)),0)</f>
        <v>112942</v>
      </c>
      <c r="G26" s="110"/>
    </row>
    <row r="27" spans="1:10" ht="16.5" customHeight="1" x14ac:dyDescent="0.2">
      <c r="A27" s="13"/>
      <c r="B27" s="13"/>
      <c r="C27" s="70">
        <v>15</v>
      </c>
      <c r="D27" s="71"/>
      <c r="E27" s="291" t="s">
        <v>100</v>
      </c>
      <c r="F27" s="393" cm="1">
        <f t="array" ref="F27">IFERROR((SUMPRODUCT(
  (Cashflow!$D$9:$D$4993=E27)
  *Cashflow!$I$9:$I$4993
))-(SUMPRODUCT(
  (Cashflow!$D$9:$D$4993=E27)
  *Cashflow!$J$9:$J$4993
)),0)</f>
        <v>-994</v>
      </c>
      <c r="G27" s="110"/>
    </row>
    <row r="28" spans="1:10" ht="16.5" customHeight="1" x14ac:dyDescent="0.2">
      <c r="A28" s="13"/>
      <c r="B28" s="13"/>
      <c r="C28" s="72">
        <v>16</v>
      </c>
      <c r="D28" s="71"/>
      <c r="E28" s="290" t="s">
        <v>101</v>
      </c>
      <c r="F28" s="393" cm="1">
        <f t="array" ref="F28">IFERROR((SUMPRODUCT(
  (Cashflow!$D$9:$D$4993=E28)
  *Cashflow!$I$9:$I$4993
))-(SUMPRODUCT(
  (Cashflow!$D$9:$D$4993=E28)
  *Cashflow!$J$9:$J$4993
)),0)</f>
        <v>19339.280000000006</v>
      </c>
      <c r="G28" s="110"/>
    </row>
    <row r="29" spans="1:10" ht="16.5" customHeight="1" x14ac:dyDescent="0.2">
      <c r="A29" s="13"/>
      <c r="B29" s="13"/>
      <c r="C29" s="70">
        <v>17</v>
      </c>
      <c r="D29" s="73"/>
      <c r="E29" s="291" t="s">
        <v>102</v>
      </c>
      <c r="F29" s="393" cm="1">
        <f t="array" ref="F29">IFERROR((SUMPRODUCT(
  (Cashflow!$D$9:$D$4993=E29)
  *Cashflow!$I$9:$I$4993
))-(SUMPRODUCT(
  (Cashflow!$D$9:$D$4993=E29)
  *Cashflow!$J$9:$J$4993
)),0)</f>
        <v>0</v>
      </c>
      <c r="G29" s="110"/>
    </row>
    <row r="30" spans="1:10" ht="16.5" customHeight="1" x14ac:dyDescent="0.2">
      <c r="A30" s="13"/>
      <c r="B30" s="13"/>
      <c r="C30" s="72">
        <v>18</v>
      </c>
      <c r="D30" s="73"/>
      <c r="E30" s="290" t="s">
        <v>103</v>
      </c>
      <c r="F30" s="393" cm="1">
        <f t="array" ref="F30">IFERROR((SUMPRODUCT(
  (Cashflow!$D$9:$D$4993=E30)
  *Cashflow!$I$9:$I$4993
))-(SUMPRODUCT(
  (Cashflow!$D$9:$D$4993=E30)
  *Cashflow!$J$9:$J$4993
)),0)</f>
        <v>2335</v>
      </c>
      <c r="G30" s="110"/>
    </row>
    <row r="31" spans="1:10" ht="16.5" customHeight="1" x14ac:dyDescent="0.2">
      <c r="A31" s="13"/>
      <c r="B31" s="13"/>
      <c r="C31" s="70">
        <v>19</v>
      </c>
      <c r="D31" s="73"/>
      <c r="E31" s="291" t="s">
        <v>104</v>
      </c>
      <c r="F31" s="393" cm="1">
        <f t="array" ref="F31">IFERROR((SUMPRODUCT(
  (Cashflow!$D$9:$D$4993=E31)
  *Cashflow!$I$9:$I$4993
))-(SUMPRODUCT(
  (Cashflow!$D$9:$D$4993=E31)
  *Cashflow!$J$9:$J$4993
)),0)</f>
        <v>680</v>
      </c>
      <c r="G31" s="110"/>
    </row>
    <row r="32" spans="1:10" ht="16.5" customHeight="1" x14ac:dyDescent="0.2">
      <c r="A32" s="13"/>
      <c r="B32" s="13"/>
      <c r="C32" s="72">
        <v>20</v>
      </c>
      <c r="D32" s="73"/>
      <c r="E32" s="290" t="s">
        <v>105</v>
      </c>
      <c r="F32" s="393" cm="1">
        <f t="array" ref="F32">IFERROR((SUMPRODUCT(
  (Cashflow!$D$9:$D$4993=E32)
  *Cashflow!$I$9:$I$4993
))-(SUMPRODUCT(
  (Cashflow!$D$9:$D$4993=E32)
  *Cashflow!$J$9:$J$4993
)),0)</f>
        <v>7050</v>
      </c>
      <c r="G32" s="110"/>
    </row>
    <row r="33" spans="1:7" ht="21.75" customHeight="1" x14ac:dyDescent="0.2">
      <c r="A33" s="13"/>
      <c r="B33" s="13"/>
      <c r="C33" s="50" t="s">
        <v>106</v>
      </c>
      <c r="D33" s="74"/>
      <c r="E33" s="291" t="s">
        <v>107</v>
      </c>
      <c r="F33" s="393" cm="1">
        <f t="array" ref="F33">IFERROR((SUMPRODUCT(
  (Cashflow!$D$9:$D$4993=E33)
  *Cashflow!$I$9:$I$4993
))-(SUMPRODUCT(
  (Cashflow!$D$9:$D$4993=E33)
  *Cashflow!$J$9:$J$4993
)),0)</f>
        <v>7806</v>
      </c>
      <c r="G33" s="110"/>
    </row>
    <row r="34" spans="1:7" ht="21.75" customHeight="1" x14ac:dyDescent="0.2">
      <c r="A34" s="13"/>
      <c r="B34" s="13"/>
      <c r="C34" s="74"/>
      <c r="D34" s="74"/>
      <c r="E34" s="290" t="s">
        <v>108</v>
      </c>
      <c r="F34" s="393" cm="1">
        <f t="array" ref="F34">IFERROR((SUMPRODUCT(
  (Cashflow!$D$9:$D$4993=E34)
  *Cashflow!$I$9:$I$4993
))-(SUMPRODUCT(
  (Cashflow!$D$9:$D$4993=E34)
  *Cashflow!$J$9:$J$4993
)),0)</f>
        <v>1546.8</v>
      </c>
      <c r="G34" s="110"/>
    </row>
    <row r="35" spans="1:7" ht="15.75" customHeight="1" x14ac:dyDescent="0.2">
      <c r="A35" s="13"/>
      <c r="B35" s="13"/>
      <c r="C35" s="75" t="s">
        <v>109</v>
      </c>
      <c r="D35" s="76"/>
      <c r="E35" s="291" t="s">
        <v>110</v>
      </c>
      <c r="F35" s="393" cm="1">
        <f t="array" ref="F35">IFERROR((SUMPRODUCT(
  (Cashflow!$D$9:$D$4993=E35)
  *Cashflow!$I$9:$I$4993
))-(SUMPRODUCT(
  (Cashflow!$D$9:$D$4993=E35)
  *Cashflow!$J$9:$J$4993
)),0)</f>
        <v>12999.800000000003</v>
      </c>
      <c r="G35" s="110"/>
    </row>
    <row r="36" spans="1:7" ht="15.75" customHeight="1" x14ac:dyDescent="0.2">
      <c r="A36" s="13"/>
      <c r="B36" s="13"/>
      <c r="C36" s="69" t="s">
        <v>71</v>
      </c>
      <c r="D36" s="69"/>
      <c r="E36" s="290"/>
      <c r="F36" s="393" cm="1">
        <f t="array" ref="F36">IFERROR((SUMPRODUCT(
  (Cashflow!$D$9:$D$4993=E36)
  *Cashflow!$I$9:$I$4993
))-(SUMPRODUCT(
  (Cashflow!$D$9:$D$4993=E36)
  *Cashflow!$J$9:$J$4993
)),0)</f>
        <v>0</v>
      </c>
      <c r="G36" s="110"/>
    </row>
    <row r="37" spans="1:7" ht="16.5" customHeight="1" x14ac:dyDescent="0.2">
      <c r="A37" s="13"/>
      <c r="B37" s="13"/>
      <c r="C37" s="70">
        <v>1</v>
      </c>
      <c r="D37" s="71" t="s">
        <v>111</v>
      </c>
      <c r="E37" s="291"/>
      <c r="F37" s="393" cm="1">
        <f t="array" ref="F37">IFERROR((SUMPRODUCT(
  (Cashflow!$D$9:$D$4993=E37)
  *Cashflow!$I$9:$I$4993
))-(SUMPRODUCT(
  (Cashflow!$D$9:$D$4993=E37)
  *Cashflow!$J$9:$J$4993
)),0)</f>
        <v>0</v>
      </c>
      <c r="G37" s="110"/>
    </row>
    <row r="38" spans="1:7" ht="16.5" customHeight="1" x14ac:dyDescent="0.2">
      <c r="A38" s="13"/>
      <c r="B38" s="13"/>
      <c r="C38" s="72">
        <v>2</v>
      </c>
      <c r="D38" s="71" t="s">
        <v>112</v>
      </c>
      <c r="E38" s="290"/>
      <c r="F38" s="393" cm="1">
        <f t="array" ref="F38">IFERROR((SUMPRODUCT(
  (Cashflow!$D$9:$D$4993=E38)
  *Cashflow!$I$9:$I$4993
))-(SUMPRODUCT(
  (Cashflow!$D$9:$D$4993=E38)
  *Cashflow!$J$9:$J$4993
)),0)</f>
        <v>0</v>
      </c>
      <c r="G38" s="110"/>
    </row>
    <row r="39" spans="1:7" ht="16.5" customHeight="1" x14ac:dyDescent="0.2">
      <c r="A39" s="13"/>
      <c r="B39" s="13"/>
      <c r="C39" s="70">
        <v>3</v>
      </c>
      <c r="D39" s="71"/>
      <c r="E39" s="291"/>
      <c r="F39" s="393" cm="1">
        <f t="array" ref="F39">IFERROR((SUMPRODUCT(
  (Cashflow!$D$9:$D$4993=E39)
  *Cashflow!$I$9:$I$4993
))-(SUMPRODUCT(
  (Cashflow!$D$9:$D$4993=E39)
  *Cashflow!$J$9:$J$4993
)),0)</f>
        <v>0</v>
      </c>
      <c r="G39" s="110"/>
    </row>
    <row r="40" spans="1:7" ht="16.5" customHeight="1" x14ac:dyDescent="0.2">
      <c r="A40" s="13"/>
      <c r="B40" s="13"/>
      <c r="C40" s="72">
        <v>4</v>
      </c>
      <c r="D40" s="71"/>
      <c r="E40" s="290"/>
      <c r="F40" s="393" cm="1">
        <f t="array" ref="F40">IFERROR((SUMPRODUCT(
  (Cashflow!$D$9:$D$4993=E40)
  *Cashflow!$I$9:$I$4993
))-(SUMPRODUCT(
  (Cashflow!$D$9:$D$4993=E40)
  *Cashflow!$J$9:$J$4993
)),0)</f>
        <v>0</v>
      </c>
      <c r="G40" s="110"/>
    </row>
    <row r="41" spans="1:7" ht="16.5" customHeight="1" x14ac:dyDescent="0.2">
      <c r="A41" s="13"/>
      <c r="B41" s="13"/>
      <c r="C41" s="70">
        <v>5</v>
      </c>
      <c r="D41" s="71"/>
      <c r="E41" s="291"/>
      <c r="F41" s="393" cm="1">
        <f t="array" ref="F41">IFERROR((SUMPRODUCT(
  (Cashflow!$D$9:$D$4993=E41)
  *Cashflow!$I$9:$I$4993
))-(SUMPRODUCT(
  (Cashflow!$D$9:$D$4993=E41)
  *Cashflow!$J$9:$J$4993
)),0)</f>
        <v>0</v>
      </c>
      <c r="G41" s="110"/>
    </row>
    <row r="42" spans="1:7" ht="16.5" customHeight="1" x14ac:dyDescent="0.2">
      <c r="A42" s="13"/>
      <c r="B42" s="13"/>
      <c r="C42" s="72">
        <v>6</v>
      </c>
      <c r="D42" s="73"/>
      <c r="E42" s="290"/>
      <c r="F42" s="393" cm="1">
        <f t="array" ref="F42">IFERROR((SUMPRODUCT(
  (Cashflow!$D$9:$D$4993=E42)
  *Cashflow!$I$9:$I$4993
))-(SUMPRODUCT(
  (Cashflow!$D$9:$D$4993=E42)
  *Cashflow!$J$9:$J$4993
)),0)</f>
        <v>0</v>
      </c>
      <c r="G42" s="110"/>
    </row>
    <row r="43" spans="1:7" ht="16.5" customHeight="1" x14ac:dyDescent="0.2">
      <c r="A43" s="13"/>
      <c r="B43" s="13"/>
      <c r="C43" s="70">
        <v>7</v>
      </c>
      <c r="D43" s="73"/>
      <c r="E43" s="291"/>
      <c r="F43" s="393" cm="1">
        <f t="array" ref="F43">IFERROR((SUMPRODUCT(
  (Cashflow!$D$9:$D$4993=E43)
  *Cashflow!$I$9:$I$4993
))-(SUMPRODUCT(
  (Cashflow!$D$9:$D$4993=E43)
  *Cashflow!$J$9:$J$4993
)),0)</f>
        <v>0</v>
      </c>
      <c r="G43" s="110"/>
    </row>
    <row r="44" spans="1:7" ht="16.5" customHeight="1" x14ac:dyDescent="0.2">
      <c r="A44" s="13"/>
      <c r="B44" s="13"/>
      <c r="C44" s="72">
        <v>8</v>
      </c>
      <c r="D44" s="73"/>
      <c r="E44" s="290"/>
      <c r="F44" s="393" cm="1">
        <f t="array" ref="F44">IFERROR((SUMPRODUCT(
  (Cashflow!$D$9:$D$4993=E44)
  *Cashflow!$I$9:$I$4993
))-(SUMPRODUCT(
  (Cashflow!$D$9:$D$4993=E44)
  *Cashflow!$J$9:$J$4993
)),0)</f>
        <v>0</v>
      </c>
      <c r="G44" s="110"/>
    </row>
    <row r="45" spans="1:7" ht="16.5" customHeight="1" x14ac:dyDescent="0.2">
      <c r="A45" s="13"/>
      <c r="B45" s="13"/>
      <c r="C45" s="70">
        <v>9</v>
      </c>
      <c r="D45" s="73"/>
      <c r="E45" s="291"/>
      <c r="F45" s="393" cm="1">
        <f t="array" ref="F45">IFERROR((SUMPRODUCT(
  (Cashflow!$D$9:$D$4993=E45)
  *Cashflow!$I$9:$I$4993
))-(SUMPRODUCT(
  (Cashflow!$D$9:$D$4993=E45)
  *Cashflow!$J$9:$J$4993
)),0)</f>
        <v>0</v>
      </c>
      <c r="G45" s="110"/>
    </row>
    <row r="46" spans="1:7" ht="16.5" customHeight="1" x14ac:dyDescent="0.2">
      <c r="A46" s="13"/>
      <c r="B46" s="13"/>
      <c r="C46" s="72">
        <v>10</v>
      </c>
      <c r="D46" s="73"/>
      <c r="E46" s="290"/>
      <c r="F46" s="393" cm="1">
        <f t="array" ref="F46">IFERROR((SUMPRODUCT(
  (Cashflow!$D$9:$D$4993=E46)
  *Cashflow!$I$9:$I$4993
))-(SUMPRODUCT(
  (Cashflow!$D$9:$D$4993=E46)
  *Cashflow!$J$9:$J$4993
)),0)</f>
        <v>0</v>
      </c>
      <c r="G46" s="110"/>
    </row>
    <row r="47" spans="1:7" ht="14.25" customHeight="1" x14ac:dyDescent="0.2">
      <c r="A47" s="13"/>
      <c r="B47" s="13"/>
      <c r="C47" s="13"/>
      <c r="D47" s="13"/>
      <c r="E47" s="13"/>
      <c r="F47" s="391"/>
      <c r="G47" s="110"/>
    </row>
    <row r="48" spans="1:7" ht="15.75" customHeight="1" x14ac:dyDescent="0.2">
      <c r="A48" s="13"/>
      <c r="B48" s="13"/>
      <c r="C48" s="61" t="s">
        <v>113</v>
      </c>
      <c r="D48" s="62"/>
      <c r="E48" s="13"/>
      <c r="F48" s="391"/>
      <c r="G48" s="110"/>
    </row>
    <row r="49" spans="1:7" ht="16.5" customHeight="1" x14ac:dyDescent="0.2">
      <c r="A49" s="13"/>
      <c r="B49" s="13"/>
      <c r="C49" s="64" t="s">
        <v>114</v>
      </c>
      <c r="D49" s="77" t="s">
        <v>115</v>
      </c>
      <c r="E49" s="13"/>
      <c r="F49" s="391"/>
      <c r="G49" s="110"/>
    </row>
    <row r="50" spans="1:7" ht="16.5" customHeight="1" x14ac:dyDescent="0.2">
      <c r="A50" s="13"/>
      <c r="B50" s="13"/>
      <c r="C50" s="78" t="s">
        <v>116</v>
      </c>
      <c r="D50" s="77" t="s">
        <v>117</v>
      </c>
      <c r="E50" s="13"/>
      <c r="F50" s="391"/>
      <c r="G50" s="110"/>
    </row>
    <row r="51" spans="1:7" ht="16.5" customHeight="1" x14ac:dyDescent="0.2">
      <c r="A51" s="13"/>
      <c r="B51" s="13"/>
      <c r="C51" s="79" t="s">
        <v>118</v>
      </c>
      <c r="D51" s="77" t="s">
        <v>119</v>
      </c>
      <c r="E51" s="13"/>
      <c r="F51" s="391"/>
      <c r="G51" s="110"/>
    </row>
    <row r="52" spans="1:7" ht="16.5" customHeight="1" x14ac:dyDescent="0.2">
      <c r="A52" s="13"/>
      <c r="B52" s="13"/>
      <c r="C52" s="80" t="s">
        <v>120</v>
      </c>
      <c r="D52" s="77" t="s">
        <v>121</v>
      </c>
      <c r="E52" s="13"/>
      <c r="F52" s="391"/>
      <c r="G52" s="110"/>
    </row>
    <row r="53" spans="1:7" ht="16.5" customHeight="1" x14ac:dyDescent="0.2">
      <c r="A53" s="13"/>
      <c r="B53" s="13"/>
      <c r="C53" s="81" t="s">
        <v>122</v>
      </c>
      <c r="D53" s="77" t="s">
        <v>123</v>
      </c>
      <c r="E53" s="13"/>
      <c r="F53" s="391"/>
      <c r="G53" s="110"/>
    </row>
    <row r="54" spans="1:7" ht="14.25" customHeight="1" x14ac:dyDescent="0.2">
      <c r="A54" s="13"/>
      <c r="B54" s="13"/>
      <c r="C54" s="13"/>
      <c r="D54" s="13"/>
      <c r="E54" s="13"/>
      <c r="F54" s="391"/>
      <c r="G54" s="110"/>
    </row>
    <row r="55" spans="1:7" ht="14.25" customHeight="1" x14ac:dyDescent="0.2">
      <c r="A55" s="13"/>
      <c r="B55" s="13"/>
      <c r="C55" s="13"/>
      <c r="D55" s="13"/>
      <c r="E55" s="13"/>
      <c r="F55" s="391"/>
      <c r="G55" s="110"/>
    </row>
    <row r="56" spans="1:7" ht="14.25" customHeight="1" x14ac:dyDescent="0.2">
      <c r="A56" s="13"/>
      <c r="B56" s="13"/>
      <c r="C56" s="481" t="s">
        <v>124</v>
      </c>
      <c r="D56" s="481"/>
      <c r="E56" s="481"/>
      <c r="F56" s="481"/>
      <c r="G56" s="110"/>
    </row>
    <row r="57" spans="1:7" ht="14.25" customHeight="1" x14ac:dyDescent="0.2">
      <c r="A57" s="13"/>
      <c r="B57" s="13"/>
      <c r="C57" s="82" t="s">
        <v>71</v>
      </c>
      <c r="D57" s="82" t="s">
        <v>125</v>
      </c>
      <c r="E57" s="82" t="s">
        <v>126</v>
      </c>
      <c r="F57" s="394" t="s">
        <v>127</v>
      </c>
      <c r="G57" s="110"/>
    </row>
    <row r="58" spans="1:7" ht="14.25" customHeight="1" x14ac:dyDescent="0.2">
      <c r="A58" s="13"/>
      <c r="B58" s="13"/>
      <c r="C58" s="70">
        <v>1</v>
      </c>
      <c r="D58" s="71" t="s">
        <v>128</v>
      </c>
      <c r="E58" s="83">
        <f t="shared" ref="E58:E77" si="0">IFERROR(IF(D58="","",VALUE(MID(D58,4,4))),"")</f>
        <v>2021</v>
      </c>
      <c r="F58" s="395">
        <f t="shared" ref="F58:F77" si="1">IFERROR(IF(D58="","",E58+1),"")</f>
        <v>2022</v>
      </c>
      <c r="G58" s="110"/>
    </row>
    <row r="59" spans="1:7" ht="14.25" customHeight="1" x14ac:dyDescent="0.2">
      <c r="A59" s="13"/>
      <c r="B59" s="13"/>
      <c r="C59" s="72">
        <v>2</v>
      </c>
      <c r="D59" s="71" t="s">
        <v>129</v>
      </c>
      <c r="E59" s="83">
        <f t="shared" si="0"/>
        <v>2022</v>
      </c>
      <c r="F59" s="395">
        <f t="shared" si="1"/>
        <v>2023</v>
      </c>
      <c r="G59" s="110"/>
    </row>
    <row r="60" spans="1:7" ht="14.25" customHeight="1" x14ac:dyDescent="0.2">
      <c r="A60" s="13"/>
      <c r="B60" s="13"/>
      <c r="C60" s="70">
        <v>3</v>
      </c>
      <c r="D60" s="71" t="s">
        <v>130</v>
      </c>
      <c r="E60" s="83">
        <f t="shared" si="0"/>
        <v>2023</v>
      </c>
      <c r="F60" s="395">
        <f t="shared" si="1"/>
        <v>2024</v>
      </c>
      <c r="G60" s="110"/>
    </row>
    <row r="61" spans="1:7" ht="14.25" customHeight="1" x14ac:dyDescent="0.2">
      <c r="A61" s="13"/>
      <c r="B61" s="13"/>
      <c r="C61" s="72">
        <v>4</v>
      </c>
      <c r="D61" s="71" t="s">
        <v>131</v>
      </c>
      <c r="E61" s="83">
        <f t="shared" si="0"/>
        <v>2024</v>
      </c>
      <c r="F61" s="395">
        <f t="shared" si="1"/>
        <v>2025</v>
      </c>
      <c r="G61" s="110"/>
    </row>
    <row r="62" spans="1:7" ht="14.25" customHeight="1" x14ac:dyDescent="0.2">
      <c r="A62" s="13"/>
      <c r="B62" s="13"/>
      <c r="C62" s="70">
        <v>5</v>
      </c>
      <c r="D62" s="71" t="s">
        <v>132</v>
      </c>
      <c r="E62" s="83">
        <f t="shared" si="0"/>
        <v>2025</v>
      </c>
      <c r="F62" s="395">
        <f t="shared" si="1"/>
        <v>2026</v>
      </c>
      <c r="G62" s="110"/>
    </row>
    <row r="63" spans="1:7" ht="14.25" customHeight="1" x14ac:dyDescent="0.2">
      <c r="A63" s="13"/>
      <c r="B63" s="13"/>
      <c r="C63" s="72">
        <v>6</v>
      </c>
      <c r="D63" s="71" t="s">
        <v>133</v>
      </c>
      <c r="E63" s="83">
        <f t="shared" si="0"/>
        <v>2026</v>
      </c>
      <c r="F63" s="395">
        <f t="shared" si="1"/>
        <v>2027</v>
      </c>
      <c r="G63" s="110"/>
    </row>
    <row r="64" spans="1:7" ht="14.25" customHeight="1" x14ac:dyDescent="0.2">
      <c r="A64" s="13"/>
      <c r="B64" s="13"/>
      <c r="C64" s="70">
        <v>7</v>
      </c>
      <c r="D64" s="71" t="s">
        <v>134</v>
      </c>
      <c r="E64" s="83">
        <f t="shared" si="0"/>
        <v>2027</v>
      </c>
      <c r="F64" s="395">
        <f t="shared" si="1"/>
        <v>2028</v>
      </c>
      <c r="G64" s="110"/>
    </row>
    <row r="65" spans="1:7" ht="14.25" customHeight="1" x14ac:dyDescent="0.2">
      <c r="A65" s="13"/>
      <c r="B65" s="13"/>
      <c r="C65" s="72">
        <v>8</v>
      </c>
      <c r="D65" s="71" t="s">
        <v>135</v>
      </c>
      <c r="E65" s="83">
        <f t="shared" si="0"/>
        <v>2028</v>
      </c>
      <c r="F65" s="395">
        <f t="shared" si="1"/>
        <v>2029</v>
      </c>
      <c r="G65" s="110"/>
    </row>
    <row r="66" spans="1:7" ht="14.25" customHeight="1" x14ac:dyDescent="0.2">
      <c r="A66" s="13"/>
      <c r="B66" s="13"/>
      <c r="C66" s="70">
        <v>9</v>
      </c>
      <c r="D66" s="71" t="s">
        <v>136</v>
      </c>
      <c r="E66" s="83">
        <f t="shared" si="0"/>
        <v>2029</v>
      </c>
      <c r="F66" s="395">
        <f t="shared" si="1"/>
        <v>2030</v>
      </c>
      <c r="G66" s="110"/>
    </row>
    <row r="67" spans="1:7" ht="14.25" customHeight="1" x14ac:dyDescent="0.2">
      <c r="A67" s="13"/>
      <c r="B67" s="13"/>
      <c r="C67" s="72">
        <v>10</v>
      </c>
      <c r="D67" s="71" t="s">
        <v>137</v>
      </c>
      <c r="E67" s="83">
        <f t="shared" si="0"/>
        <v>2030</v>
      </c>
      <c r="F67" s="395">
        <f t="shared" si="1"/>
        <v>2031</v>
      </c>
      <c r="G67" s="110"/>
    </row>
    <row r="68" spans="1:7" ht="14.25" customHeight="1" x14ac:dyDescent="0.2">
      <c r="A68" s="13"/>
      <c r="B68" s="13"/>
      <c r="C68" s="70">
        <v>11</v>
      </c>
      <c r="D68" s="71" t="s">
        <v>138</v>
      </c>
      <c r="E68" s="84">
        <f t="shared" si="0"/>
        <v>2031</v>
      </c>
      <c r="F68" s="396">
        <f t="shared" si="1"/>
        <v>2032</v>
      </c>
      <c r="G68" s="110"/>
    </row>
    <row r="69" spans="1:7" ht="14.25" customHeight="1" x14ac:dyDescent="0.2">
      <c r="A69" s="13"/>
      <c r="B69" s="13"/>
      <c r="C69" s="72">
        <v>12</v>
      </c>
      <c r="D69" s="71" t="s">
        <v>139</v>
      </c>
      <c r="E69" s="84">
        <f t="shared" si="0"/>
        <v>2032</v>
      </c>
      <c r="F69" s="396">
        <f t="shared" si="1"/>
        <v>2033</v>
      </c>
      <c r="G69" s="110"/>
    </row>
    <row r="70" spans="1:7" ht="15" customHeight="1" x14ac:dyDescent="0.2">
      <c r="C70" s="70">
        <v>13</v>
      </c>
      <c r="D70" s="71" t="s">
        <v>140</v>
      </c>
      <c r="E70" s="84">
        <f t="shared" si="0"/>
        <v>2033</v>
      </c>
      <c r="F70" s="396">
        <f t="shared" si="1"/>
        <v>2034</v>
      </c>
    </row>
    <row r="71" spans="1:7" ht="15" customHeight="1" x14ac:dyDescent="0.2">
      <c r="C71" s="72">
        <v>14</v>
      </c>
      <c r="D71" s="71" t="s">
        <v>141</v>
      </c>
      <c r="E71" s="84">
        <f t="shared" si="0"/>
        <v>2034</v>
      </c>
      <c r="F71" s="396">
        <f t="shared" si="1"/>
        <v>2035</v>
      </c>
    </row>
    <row r="72" spans="1:7" ht="15" customHeight="1" x14ac:dyDescent="0.2">
      <c r="C72" s="70">
        <v>15</v>
      </c>
      <c r="D72" s="71" t="s">
        <v>142</v>
      </c>
      <c r="E72" s="84">
        <f t="shared" si="0"/>
        <v>2035</v>
      </c>
      <c r="F72" s="396">
        <f t="shared" si="1"/>
        <v>2036</v>
      </c>
    </row>
    <row r="73" spans="1:7" ht="15" customHeight="1" x14ac:dyDescent="0.2">
      <c r="C73" s="72">
        <v>16</v>
      </c>
      <c r="D73" s="71" t="s">
        <v>143</v>
      </c>
      <c r="E73" s="84">
        <f t="shared" si="0"/>
        <v>2036</v>
      </c>
      <c r="F73" s="396">
        <f t="shared" si="1"/>
        <v>2037</v>
      </c>
    </row>
    <row r="74" spans="1:7" ht="15" customHeight="1" x14ac:dyDescent="0.2">
      <c r="C74" s="70">
        <v>17</v>
      </c>
      <c r="D74" s="71"/>
      <c r="E74" s="84" t="str">
        <f t="shared" si="0"/>
        <v/>
      </c>
      <c r="F74" s="396" t="str">
        <f t="shared" si="1"/>
        <v/>
      </c>
    </row>
    <row r="75" spans="1:7" ht="15" customHeight="1" x14ac:dyDescent="0.2">
      <c r="C75" s="72">
        <v>18</v>
      </c>
      <c r="D75" s="71"/>
      <c r="E75" s="84" t="str">
        <f t="shared" si="0"/>
        <v/>
      </c>
      <c r="F75" s="396" t="str">
        <f t="shared" si="1"/>
        <v/>
      </c>
    </row>
    <row r="76" spans="1:7" ht="15" customHeight="1" x14ac:dyDescent="0.2">
      <c r="C76" s="70">
        <v>19</v>
      </c>
      <c r="D76" s="71"/>
      <c r="E76" s="84" t="str">
        <f t="shared" si="0"/>
        <v/>
      </c>
      <c r="F76" s="396" t="str">
        <f t="shared" si="1"/>
        <v/>
      </c>
    </row>
    <row r="77" spans="1:7" ht="15" customHeight="1" x14ac:dyDescent="0.2">
      <c r="C77" s="72">
        <v>20</v>
      </c>
      <c r="D77" s="71"/>
      <c r="E77" s="84" t="str">
        <f t="shared" si="0"/>
        <v/>
      </c>
      <c r="F77" s="396" t="str">
        <f t="shared" si="1"/>
        <v/>
      </c>
    </row>
    <row r="78" spans="1:7" ht="15" customHeight="1" x14ac:dyDescent="0.2">
      <c r="C78" s="85" t="s">
        <v>144</v>
      </c>
    </row>
    <row r="79" spans="1:7" x14ac:dyDescent="0.2">
      <c r="C79" s="69" t="s">
        <v>1031</v>
      </c>
    </row>
    <row r="80" spans="1:7" x14ac:dyDescent="0.2">
      <c r="C80" s="71" t="str">
        <f>HYPERLINK("#Transactions!C2","➕ Add a Transaction (Income / Expense / Investment)")</f>
        <v>➕ Add a Transaction (Income / Expense / Investment)</v>
      </c>
    </row>
    <row r="81" spans="3:3" x14ac:dyDescent="0.2">
      <c r="C81" s="71" t="str">
        <f>HYPERLINK("#Cashflow!C2","➕ Add a Lending Entry (Given / Received)")</f>
        <v>➕ Add a Lending Entry (Given / Received)</v>
      </c>
    </row>
    <row r="82" spans="3:3" x14ac:dyDescent="0.2">
      <c r="C82" s="71" t="str">
        <f>HYPERLINK("#'🏠 Dashboard'!A1","🏠 Go to Dashboard")</f>
        <v>🏠 Go to Dashboard</v>
      </c>
    </row>
  </sheetData>
  <sheetProtection algorithmName="SHA-512" hashValue="m5Qgv/EM7tW9KVmtHDCIfi16un7MxvSVLzSARsu7fv/NzVqrMEWHIyxnjxywaJ3e7Q4FAt/gBYsft+dhVCzj+A==" saltValue="a7Ry9VHXxMQ2MGGnmoBSOQ==" spinCount="100000" sheet="1" objects="1" scenarios="1"/>
  <protectedRanges>
    <protectedRange sqref="E12:E46" name="Range1"/>
  </protectedRanges>
  <mergeCells count="3">
    <mergeCell ref="C2:E2"/>
    <mergeCell ref="C56:F56"/>
    <mergeCell ref="E11:F11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A8EAE-266F-944C-8055-46BE26A89E34}">
  <sheetPr codeName="Sheet4">
    <tabColor rgb="FF7C3AED"/>
  </sheetPr>
  <dimension ref="B1:AE251"/>
  <sheetViews>
    <sheetView showGridLines="0" topLeftCell="W1" zoomScaleNormal="87" workbookViewId="0">
      <pane ySplit="1" topLeftCell="A2" activePane="bottomLeft" state="frozen"/>
      <selection activeCell="U1" sqref="U1"/>
      <selection pane="bottomLeft" activeCell="AB17" sqref="AB17"/>
    </sheetView>
  </sheetViews>
  <sheetFormatPr baseColWidth="10" defaultColWidth="8.5" defaultRowHeight="15" x14ac:dyDescent="0.2"/>
  <cols>
    <col min="1" max="1" width="3" customWidth="1"/>
    <col min="2" max="2" width="12.5" bestFit="1" customWidth="1"/>
    <col min="3" max="5" width="18" customWidth="1"/>
    <col min="6" max="8" width="17" customWidth="1"/>
    <col min="9" max="9" width="22" customWidth="1"/>
    <col min="10" max="10" width="16" customWidth="1"/>
    <col min="11" max="11" width="13" customWidth="1"/>
    <col min="12" max="12" width="8.5" style="284"/>
    <col min="14" max="14" width="18" customWidth="1"/>
    <col min="15" max="15" width="39.5" customWidth="1"/>
    <col min="16" max="16" width="18" customWidth="1"/>
    <col min="17" max="17" width="17" customWidth="1"/>
    <col min="18" max="18" width="13.33203125" customWidth="1"/>
    <col min="19" max="19" width="17" customWidth="1"/>
    <col min="20" max="20" width="15.33203125" style="286" customWidth="1"/>
    <col min="22" max="22" width="8.5" style="374"/>
    <col min="23" max="23" width="12.5" bestFit="1" customWidth="1"/>
    <col min="24" max="26" width="18" customWidth="1"/>
    <col min="27" max="27" width="17" customWidth="1"/>
    <col min="28" max="28" width="22.1640625" customWidth="1"/>
    <col min="29" max="29" width="17" customWidth="1"/>
    <col min="30" max="30" width="15.33203125" customWidth="1"/>
    <col min="31" max="31" width="16" customWidth="1"/>
    <col min="32" max="32" width="13" customWidth="1"/>
  </cols>
  <sheetData>
    <row r="1" spans="2:31" ht="19.5" customHeight="1" x14ac:dyDescent="0.2">
      <c r="B1" t="str" cm="1">
        <f t="array" aca="1" ref="B1" ca="1">_xlfn.TEXTAFTER(CELL("filename",A1),"]")</f>
        <v>Detailed</v>
      </c>
      <c r="C1" s="113" t="s">
        <v>130</v>
      </c>
      <c r="D1" s="87">
        <f>IFERROR(VALUE(LEFT(MID(C1,4,7),4)),0)</f>
        <v>2023</v>
      </c>
      <c r="E1" s="87">
        <f>IFERROR(D1+1,0)</f>
        <v>2024</v>
      </c>
      <c r="F1" s="486" t="s">
        <v>145</v>
      </c>
      <c r="G1" s="486"/>
      <c r="H1" s="486"/>
      <c r="I1" s="486"/>
      <c r="J1" s="486"/>
      <c r="M1" s="86"/>
      <c r="N1" s="113" t="s">
        <v>80</v>
      </c>
      <c r="O1" s="87"/>
      <c r="P1" s="486" t="s">
        <v>146</v>
      </c>
      <c r="Q1" s="486"/>
      <c r="R1" s="486"/>
      <c r="S1" s="486"/>
      <c r="T1" s="486"/>
      <c r="W1" t="s">
        <v>22</v>
      </c>
      <c r="X1" s="113" t="s">
        <v>83</v>
      </c>
      <c r="Y1" s="87"/>
      <c r="Z1" s="87"/>
      <c r="AA1" s="486" t="s">
        <v>147</v>
      </c>
      <c r="AB1" s="486"/>
      <c r="AC1" s="486"/>
      <c r="AD1" s="486"/>
      <c r="AE1" s="486"/>
    </row>
    <row r="2" spans="2:31" ht="37.5" customHeight="1" x14ac:dyDescent="0.2">
      <c r="C2" s="480" t="str">
        <f>CONCATENATE("FINANCE OS . ",C1," (Apr ",D1," - Mar ",E1,")")</f>
        <v>FINANCE OS . FY 2023-24 (Apr 2023 - Mar 2024)</v>
      </c>
      <c r="D2" s="480"/>
      <c r="E2" s="480"/>
      <c r="F2" s="480"/>
      <c r="G2" s="480"/>
      <c r="H2" s="480"/>
      <c r="I2" s="480"/>
      <c r="J2" s="480"/>
      <c r="T2"/>
      <c r="X2" s="480" t="str">
        <f>CONCATENATE("FINANCE OS . ",X1," ")</f>
        <v xml:space="preserve">FINANCE OS . Bholu bhaiya </v>
      </c>
      <c r="Y2" s="480"/>
      <c r="Z2" s="480"/>
      <c r="AA2" s="480"/>
      <c r="AB2" s="480"/>
      <c r="AC2" s="480"/>
      <c r="AD2" s="480"/>
      <c r="AE2" s="480"/>
    </row>
    <row r="3" spans="2:31" ht="7.5" customHeight="1" x14ac:dyDescent="0.2"/>
    <row r="4" spans="2:31" ht="19.5" customHeight="1" x14ac:dyDescent="0.2">
      <c r="C4" s="88" t="s">
        <v>148</v>
      </c>
      <c r="D4" s="118" t="s">
        <v>149</v>
      </c>
      <c r="E4" s="115" t="s">
        <v>10</v>
      </c>
      <c r="F4" s="119" t="s">
        <v>150</v>
      </c>
      <c r="G4" s="89" t="s">
        <v>151</v>
      </c>
      <c r="H4" s="90" t="s">
        <v>152</v>
      </c>
      <c r="I4" s="91" t="s">
        <v>153</v>
      </c>
      <c r="O4" s="118" t="s">
        <v>154</v>
      </c>
      <c r="P4" s="88" t="s">
        <v>148</v>
      </c>
      <c r="Q4" s="119" t="s">
        <v>155</v>
      </c>
      <c r="R4" s="89"/>
      <c r="S4" s="90" t="s">
        <v>152</v>
      </c>
      <c r="T4" s="287"/>
      <c r="Y4" s="118" t="s">
        <v>156</v>
      </c>
      <c r="Z4" s="88" t="s">
        <v>157</v>
      </c>
      <c r="AA4" s="119" t="s">
        <v>155</v>
      </c>
      <c r="AB4" s="89"/>
      <c r="AC4" s="90" t="s">
        <v>152</v>
      </c>
      <c r="AD4" s="91"/>
    </row>
    <row r="5" spans="2:31" ht="31.5" customHeight="1" x14ac:dyDescent="0.2">
      <c r="C5" s="92">
        <f>D22</f>
        <v>549968</v>
      </c>
      <c r="D5" s="116">
        <f>E22</f>
        <v>557906.14</v>
      </c>
      <c r="E5" s="120">
        <f>F22</f>
        <v>15632</v>
      </c>
      <c r="F5" s="117">
        <f>C5-D5</f>
        <v>-7938.140000000014</v>
      </c>
      <c r="G5" s="93">
        <f>IFERROR(F5/C5,0)</f>
        <v>-1.4433821604166086E-2</v>
      </c>
      <c r="H5" s="94">
        <f>IFERROR(SUMPRODUCT((YEAR(Transactions!$C$9:$C$5005)=$D$1)*(Transactions!$H$9:$H$5005&lt;&gt;"")*1),0)</f>
        <v>111</v>
      </c>
      <c r="I5" s="95" t="str">
        <f>IFERROR(INDEX({"April","May","June","July","August","September","October","November","December","January","February","March"},MATCH(MAX(G10:G21),G10:G21,0)),"-")</f>
        <v>September</v>
      </c>
      <c r="O5" s="116">
        <f>SUMIFS(S10:S5000,Q10:Q5000,"Expense")</f>
        <v>172162.89</v>
      </c>
      <c r="P5" s="92">
        <f>SUMIFS(S10:S5000,Q10:Q5000,"Income")</f>
        <v>0</v>
      </c>
      <c r="Q5" s="117">
        <f>O5-P5</f>
        <v>172162.89</v>
      </c>
      <c r="R5" s="244" t="str">
        <f>N1</f>
        <v>Ed LOAN</v>
      </c>
      <c r="S5" s="94">
        <f>(COUNTIF(R10:R5000,N$1))</f>
        <v>24</v>
      </c>
      <c r="T5" s="288">
        <f>-(SUM(T10:T5000))</f>
        <v>172162.89</v>
      </c>
      <c r="Y5" s="116" cm="1">
        <f t="array" ref="Y5">IFERROR(SUMPRODUCT(
  (Cashflow!$D$9:$D$4993=$X$1)
  *Cashflow!$I$9:$I$4993
),0)</f>
        <v>63772.2</v>
      </c>
      <c r="Z5" s="92" cm="1">
        <f t="array" ref="Z5">IFERROR(SUMPRODUCT(
  (Cashflow!$D$9:$D$4993=$X$1)
  *Cashflow!$J$9:$J$4993
),0)</f>
        <v>5000</v>
      </c>
      <c r="AA5" s="117">
        <f>Y5-Z5</f>
        <v>58772.2</v>
      </c>
      <c r="AB5" s="244" t="str">
        <f>IF(AA5&lt;0,"Need to return",X1)</f>
        <v>Bholu bhaiya</v>
      </c>
      <c r="AC5" s="94">
        <f>IFERROR(COUNTIF(Cashflow!$D$9:$D$4993,$X$1),0)</f>
        <v>11</v>
      </c>
      <c r="AD5" s="95"/>
    </row>
    <row r="6" spans="2:31" x14ac:dyDescent="0.2">
      <c r="C6" s="487" t="str">
        <f>IF(G5&gt;=0.5,"🟢 GOOD",IF(G5&gt;=0.3,"🟡 NORMAL",IF(G5&gt;=0.2,"🟠 FAIR",IF(G5&gt;=0.1,"🔴 BAD","🔴 POOR"))))</f>
        <v>🔴 POOR</v>
      </c>
      <c r="D6" s="487"/>
      <c r="E6" s="488"/>
      <c r="F6" s="96" t="str">
        <f>IF(G5&gt;=0.5,"🟢 GOOD",IF(G5&gt;=0.3,"🟡 NORMAL",IF(G5&gt;=0.2,"🟠 FAIR",IF(G5&gt;=0.1,"🔴 BAD","🔴 POOR"))))</f>
        <v>🔴 POOR</v>
      </c>
      <c r="G6" s="489" t="s">
        <v>158</v>
      </c>
      <c r="H6" s="489"/>
      <c r="I6" s="489"/>
      <c r="J6" s="489"/>
      <c r="N6" s="487"/>
      <c r="O6" s="487"/>
      <c r="P6" s="488"/>
      <c r="Q6" s="96"/>
      <c r="R6" s="285"/>
      <c r="S6" s="285"/>
      <c r="T6" s="401"/>
      <c r="X6" s="487"/>
      <c r="Y6" s="487"/>
      <c r="Z6" s="488"/>
      <c r="AA6" s="96"/>
      <c r="AB6" s="489"/>
      <c r="AC6" s="489"/>
      <c r="AD6" s="489"/>
      <c r="AE6" s="489"/>
    </row>
    <row r="7" spans="2:31" ht="9.75" customHeight="1" x14ac:dyDescent="0.2"/>
    <row r="8" spans="2:31" ht="13.5" customHeight="1" x14ac:dyDescent="0.2">
      <c r="C8" s="484" t="s">
        <v>159</v>
      </c>
      <c r="D8" s="484"/>
      <c r="E8" s="484"/>
      <c r="F8" s="484"/>
      <c r="G8" s="484"/>
      <c r="H8" s="484"/>
      <c r="I8" s="484"/>
      <c r="J8" s="484"/>
      <c r="T8"/>
      <c r="X8" s="484" t="s">
        <v>160</v>
      </c>
      <c r="Y8" s="484"/>
      <c r="Z8" s="484"/>
      <c r="AA8" s="484"/>
      <c r="AB8" s="484"/>
      <c r="AC8" s="484"/>
      <c r="AD8" s="484"/>
      <c r="AE8" s="484"/>
    </row>
    <row r="9" spans="2:31" ht="19.5" customHeight="1" x14ac:dyDescent="0.2">
      <c r="B9" s="16" t="s">
        <v>71</v>
      </c>
      <c r="C9" s="16" t="s">
        <v>27</v>
      </c>
      <c r="D9" s="16" t="s">
        <v>161</v>
      </c>
      <c r="E9" s="16" t="s">
        <v>162</v>
      </c>
      <c r="F9" s="16" t="s">
        <v>30</v>
      </c>
      <c r="G9" s="16" t="s">
        <v>31</v>
      </c>
      <c r="H9" s="16" t="s">
        <v>32</v>
      </c>
      <c r="I9" s="16" t="s">
        <v>55</v>
      </c>
      <c r="J9" s="16" t="s">
        <v>56</v>
      </c>
      <c r="N9" s="103" t="s">
        <v>163</v>
      </c>
      <c r="O9" s="103" t="s">
        <v>164</v>
      </c>
      <c r="P9" s="103" t="s">
        <v>165</v>
      </c>
      <c r="Q9" s="103" t="s">
        <v>166</v>
      </c>
      <c r="R9" s="103" t="s">
        <v>3</v>
      </c>
      <c r="S9" s="103" t="s">
        <v>167</v>
      </c>
      <c r="T9" s="103" t="s">
        <v>168</v>
      </c>
      <c r="U9" s="103" t="s">
        <v>169</v>
      </c>
      <c r="V9" s="375" t="s">
        <v>170</v>
      </c>
      <c r="X9" s="293" t="s">
        <v>163</v>
      </c>
      <c r="Y9" s="294" t="s">
        <v>61</v>
      </c>
      <c r="Z9" s="294" t="s">
        <v>166</v>
      </c>
      <c r="AA9" s="294" t="s">
        <v>3</v>
      </c>
      <c r="AB9" s="294" t="s">
        <v>167</v>
      </c>
      <c r="AC9" s="294" t="s">
        <v>171</v>
      </c>
      <c r="AD9" s="294" t="s">
        <v>172</v>
      </c>
      <c r="AE9" s="295" t="s">
        <v>173</v>
      </c>
    </row>
    <row r="10" spans="2:31" ht="18" customHeight="1" x14ac:dyDescent="0.2">
      <c r="B10" s="70">
        <v>1</v>
      </c>
      <c r="C10" s="17" t="s">
        <v>38</v>
      </c>
      <c r="D10" s="97">
        <f>IFERROR(SUMPRODUCT((YEAR(Transactions!$C$9:$C$5005)=$D$1)*(MONTH(Transactions!$C$9:$C$5005)=4)*(Transactions!$F$9:$F$5005="Income")*(Transactions!$H$9:$H$5005)),0)</f>
        <v>34000</v>
      </c>
      <c r="E10" s="19">
        <f>IFERROR(SUMPRODUCT((YEAR(Transactions!$C$9:$C$5005)=$D$1)*(MONTH(Transactions!$C$9:$C$5005)=4)*(Transactions!$F$9:$F$5005="Expense")*(Transactions!$H$9:$H$5005)),0)</f>
        <v>43164</v>
      </c>
      <c r="F10" s="19" cm="1">
        <f t="array" ref="F10">IFERROR(SUMPRODUCT((YEAR(Transactions!$C$9:$C$5005)=$D$1)*(MONTH(Transactions!$C$9:$C$5005)=4)*(Transactions!$F$9:$F$5005="Investment")*(Transactions!$H$9:$H$5005)),0)</f>
        <v>1000</v>
      </c>
      <c r="G10" s="20">
        <f>D10-E10-F10</f>
        <v>-10164</v>
      </c>
      <c r="H10" s="98">
        <f t="shared" ref="H10:H22" si="0">IFERROR(G10/D10,0)</f>
        <v>-0.29894117647058821</v>
      </c>
      <c r="I10" s="24" t="str">
        <f t="shared" ref="I10:I21" si="1">IF(G10&gt;0,"✦ Surplus",IF(G10=0,"— Break even","▼ Deficit"))</f>
        <v>▼ Deficit</v>
      </c>
      <c r="J10" s="99" t="str">
        <f t="shared" ref="J10:J22" si="2">IF(H10&gt;=0.5,"🟢 GOOD",IF(H10&gt;=0.3,"🟡 NORMAL",IF(H10&gt;=0.2,"🟠 FAIR",IF(H10&gt;=0.1,"🔴 BAD","🔴 POOR"))))</f>
        <v>🔴 POOR</v>
      </c>
      <c r="N10" s="112" cm="1">
        <f t="array" ref="N10:V33">_xlfn._xlws.FILTER(Transactions!C9:K994, Transactions!G9:G994 = N1)</f>
        <v>45019</v>
      </c>
      <c r="O10" s="245" t="str">
        <v>MBA1</v>
      </c>
      <c r="P10" s="246">
        <v>2023</v>
      </c>
      <c r="Q10" s="246" t="str">
        <v>Expense</v>
      </c>
      <c r="R10" s="106" t="str">
        <v>Ed LOAN</v>
      </c>
      <c r="S10" s="246">
        <v>6881</v>
      </c>
      <c r="T10" s="247">
        <v>-6881</v>
      </c>
      <c r="U10">
        <v>0</v>
      </c>
      <c r="V10" s="374">
        <v>0</v>
      </c>
      <c r="X10" s="296" cm="1">
        <f t="array" aca="1" ref="X1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>45935</v>
      </c>
      <c r="Y10" s="245" t="str" cm="1">
        <f t="array" aca="1" ref="Y1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>Bholu bhaiya</v>
      </c>
      <c r="Z10" s="246" t="str" cm="1">
        <f t="array" aca="1" ref="Z1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>Given</v>
      </c>
      <c r="AA10" s="246" t="str" cm="1">
        <f t="array" aca="1" ref="AA1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>Cashflow</v>
      </c>
      <c r="AB10" s="106" cm="1">
        <f t="array" aca="1" ref="AB1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>8000</v>
      </c>
      <c r="AC10" s="246" cm="1">
        <f t="array" aca="1" ref="AC1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>8000</v>
      </c>
      <c r="AD10" s="247" cm="1">
        <f t="array" aca="1" ref="AD1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>0</v>
      </c>
      <c r="AE10" s="305" t="str" cm="1">
        <f t="array" aca="1" ref="AE1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>phnpe</v>
      </c>
    </row>
    <row r="11" spans="2:31" ht="18" customHeight="1" x14ac:dyDescent="0.2">
      <c r="B11" s="72">
        <v>2</v>
      </c>
      <c r="C11" s="31" t="s">
        <v>39</v>
      </c>
      <c r="D11" s="100">
        <f>IFERROR(SUMPRODUCT((YEAR(Transactions!$C$9:$C$5005)=$D$1)*(MONTH(Transactions!$C$9:$C$5005)=5)*(Transactions!$F$9:$F$5005="Income")*(Transactions!$H$9:$H$5005)),0)</f>
        <v>34000</v>
      </c>
      <c r="E11" s="25">
        <f>IFERROR(SUMPRODUCT((YEAR(Transactions!$C$9:$C$5005)=$D$1)*(MONTH(Transactions!$C$9:$C$5005)=5)*(Transactions!$F$9:$F$5005="Expense")*(Transactions!$H$9:$H$5005)),0)</f>
        <v>23735</v>
      </c>
      <c r="F11" s="19" cm="1">
        <f t="array" ref="F11">IFERROR(SUMPRODUCT((YEAR(Transactions!$C$9:$C$5005)=$D$1)*(MONTH(Transactions!$C$9:$C$5005)=5)*(Transactions!$F$9:$F$5005="Investment")*(Transactions!$H$9:$H$5005)),0)</f>
        <v>2000</v>
      </c>
      <c r="G11" s="20">
        <f t="shared" ref="G11:G22" si="3">D11-E11-F11</f>
        <v>8265</v>
      </c>
      <c r="H11" s="101">
        <f t="shared" si="0"/>
        <v>0.24308823529411766</v>
      </c>
      <c r="I11" s="30" t="str">
        <f t="shared" si="1"/>
        <v>✦ Surplus</v>
      </c>
      <c r="J11" s="102" t="str">
        <f t="shared" si="2"/>
        <v>🟠 FAIR</v>
      </c>
      <c r="N11" s="112">
        <v>45049</v>
      </c>
      <c r="O11" s="245" t="str">
        <v>MBA2</v>
      </c>
      <c r="P11" s="246">
        <v>2023</v>
      </c>
      <c r="Q11" s="246" t="str">
        <v>Expense</v>
      </c>
      <c r="R11" s="106" t="str">
        <v>Ed LOAN</v>
      </c>
      <c r="S11" s="246">
        <v>6881</v>
      </c>
      <c r="T11" s="247">
        <v>-6881</v>
      </c>
      <c r="U11">
        <v>0</v>
      </c>
      <c r="V11" s="374">
        <v>0</v>
      </c>
      <c r="X11" s="296" cm="1">
        <f t="array" aca="1" ref="X1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>46032</v>
      </c>
      <c r="Y11" s="245" t="str" cm="1">
        <f t="array" aca="1" ref="Y1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>Bholu bhaiya</v>
      </c>
      <c r="Z11" s="246" t="str" cm="1">
        <f t="array" aca="1" ref="Z1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>Given</v>
      </c>
      <c r="AA11" s="246" t="str" cm="1">
        <f t="array" aca="1" ref="AA1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>Cashflow</v>
      </c>
      <c r="AB11" s="106" cm="1">
        <f t="array" aca="1" ref="AB1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>6000</v>
      </c>
      <c r="AC11" s="246" cm="1">
        <f t="array" aca="1" ref="AC1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>6000</v>
      </c>
      <c r="AD11" s="247" cm="1">
        <f t="array" aca="1" ref="AD1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>0</v>
      </c>
      <c r="AE11" s="305" t="str" cm="1">
        <f t="array" aca="1" ref="AE1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>phnpe</v>
      </c>
    </row>
    <row r="12" spans="2:31" ht="18" customHeight="1" x14ac:dyDescent="0.2">
      <c r="B12" s="70">
        <v>3</v>
      </c>
      <c r="C12" s="17" t="s">
        <v>40</v>
      </c>
      <c r="D12" s="97">
        <f>IFERROR(SUMPRODUCT((YEAR(Transactions!$C$9:$C$5005)=$D$1)*(MONTH(Transactions!$C$9:$C$5005)=6)*(Transactions!$F$9:$F$5005="Income")*(Transactions!$H$9:$H$5005)),0)</f>
        <v>34000</v>
      </c>
      <c r="E12" s="19">
        <f>IFERROR(SUMPRODUCT((YEAR(Transactions!$C$9:$C$5005)=$D$1)*(MONTH(Transactions!$C$9:$C$5005)=6)*(Transactions!$F$9:$F$5005="Expense")*(Transactions!$H$9:$H$5005)),0)</f>
        <v>31881</v>
      </c>
      <c r="F12" s="19" cm="1">
        <f t="array" ref="F12">IFERROR(SUMPRODUCT((YEAR(Transactions!$C$9:$C$5005)=$D$1)*(MONTH(Transactions!$C$9:$C$5005)=6)*(Transactions!$F$9:$F$5005="Investment")*(Transactions!$H$9:$H$5005)),0)</f>
        <v>1000</v>
      </c>
      <c r="G12" s="20">
        <f t="shared" si="3"/>
        <v>1119</v>
      </c>
      <c r="H12" s="98">
        <f t="shared" si="0"/>
        <v>3.2911764705882356E-2</v>
      </c>
      <c r="I12" s="24" t="str">
        <f t="shared" si="1"/>
        <v>✦ Surplus</v>
      </c>
      <c r="J12" s="99" t="str">
        <f t="shared" si="2"/>
        <v>🔴 POOR</v>
      </c>
      <c r="N12" s="112">
        <v>45080</v>
      </c>
      <c r="O12" s="245" t="str">
        <v>MBA3</v>
      </c>
      <c r="P12" s="246">
        <v>2023</v>
      </c>
      <c r="Q12" s="246" t="str">
        <v>Expense</v>
      </c>
      <c r="R12" s="106" t="str">
        <v>Ed LOAN</v>
      </c>
      <c r="S12" s="246">
        <v>6881</v>
      </c>
      <c r="T12" s="247">
        <v>-6881</v>
      </c>
      <c r="U12">
        <v>0</v>
      </c>
      <c r="V12" s="374">
        <v>0</v>
      </c>
      <c r="X12" s="296" cm="1">
        <f t="array" aca="1" ref="X1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>46061</v>
      </c>
      <c r="Y12" s="245" t="str" cm="1">
        <f t="array" aca="1" ref="Y1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>Bholu bhaiya</v>
      </c>
      <c r="Z12" s="246" t="str" cm="1">
        <f t="array" aca="1" ref="Z1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>Given</v>
      </c>
      <c r="AA12" s="246" t="str" cm="1">
        <f t="array" aca="1" ref="AA1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>Cashflow</v>
      </c>
      <c r="AB12" s="106" cm="1">
        <f t="array" aca="1" ref="AB1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>8500</v>
      </c>
      <c r="AC12" s="246" cm="1">
        <f t="array" aca="1" ref="AC1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>8500</v>
      </c>
      <c r="AD12" s="247" cm="1">
        <f t="array" aca="1" ref="AD1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>0</v>
      </c>
      <c r="AE12" s="305" t="str" cm="1">
        <f t="array" aca="1" ref="AE1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>phnpe</v>
      </c>
    </row>
    <row r="13" spans="2:31" ht="18" customHeight="1" x14ac:dyDescent="0.2">
      <c r="B13" s="72">
        <v>4</v>
      </c>
      <c r="C13" s="31" t="s">
        <v>41</v>
      </c>
      <c r="D13" s="100">
        <f>IFERROR(SUMPRODUCT((YEAR(Transactions!$C$9:$C$5005)=$D$1)*(MONTH(Transactions!$C$9:$C$5005)=7)*(Transactions!$F$9:$F$5005="Income")*(Transactions!$H$9:$H$5005)),0)</f>
        <v>34000</v>
      </c>
      <c r="E13" s="25">
        <f>IFERROR(SUMPRODUCT((YEAR(Transactions!$C$9:$C$5005)=$D$1)*(MONTH(Transactions!$C$9:$C$5005)=7)*(Transactions!$F$9:$F$5005="Expense")*(Transactions!$H$9:$H$5005)),0)</f>
        <v>65126</v>
      </c>
      <c r="F13" s="19" cm="1">
        <f t="array" ref="F13">IFERROR(SUMPRODUCT((YEAR(Transactions!$C$9:$C$5005)=$D$1)*(MONTH(Transactions!$C$9:$C$5005)=7)*(Transactions!$F$9:$F$5005="Investment")*(Transactions!$H$9:$H$5005)),0)</f>
        <v>1000</v>
      </c>
      <c r="G13" s="20">
        <f t="shared" si="3"/>
        <v>-32126</v>
      </c>
      <c r="H13" s="101">
        <f t="shared" si="0"/>
        <v>-0.94488235294117651</v>
      </c>
      <c r="I13" s="30" t="str">
        <f t="shared" si="1"/>
        <v>▼ Deficit</v>
      </c>
      <c r="J13" s="102" t="str">
        <f t="shared" si="2"/>
        <v>🔴 POOR</v>
      </c>
      <c r="N13" s="112">
        <v>45110</v>
      </c>
      <c r="O13" s="245" t="str">
        <v>MBA4</v>
      </c>
      <c r="P13" s="246">
        <v>2023</v>
      </c>
      <c r="Q13" s="246" t="str">
        <v>Expense</v>
      </c>
      <c r="R13" s="106" t="str">
        <v>Ed LOAN</v>
      </c>
      <c r="S13" s="246">
        <v>6881</v>
      </c>
      <c r="T13" s="247">
        <v>-6881</v>
      </c>
      <c r="U13">
        <v>0</v>
      </c>
      <c r="V13" s="374">
        <v>0</v>
      </c>
      <c r="X13" s="296" cm="1">
        <f t="array" aca="1" ref="X1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>46062</v>
      </c>
      <c r="Y13" s="245" t="str" cm="1">
        <f t="array" aca="1" ref="Y1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>Bholu bhaiya</v>
      </c>
      <c r="Z13" s="246" t="str" cm="1">
        <f t="array" aca="1" ref="Z1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>Received</v>
      </c>
      <c r="AA13" s="246" t="str" cm="1">
        <f t="array" aca="1" ref="AA1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>Cashflow</v>
      </c>
      <c r="AB13" s="106" cm="1">
        <f t="array" aca="1" ref="AB1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>5000</v>
      </c>
      <c r="AC13" s="246" cm="1">
        <f t="array" aca="1" ref="AC1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>0</v>
      </c>
      <c r="AD13" s="247" cm="1">
        <f t="array" aca="1" ref="AD1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>5000</v>
      </c>
      <c r="AE13" s="305" t="str" cm="1">
        <f t="array" aca="1" ref="AE1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>Return</v>
      </c>
    </row>
    <row r="14" spans="2:31" ht="18" customHeight="1" x14ac:dyDescent="0.2">
      <c r="B14" s="70">
        <v>5</v>
      </c>
      <c r="C14" s="17" t="s">
        <v>43</v>
      </c>
      <c r="D14" s="97">
        <f>IFERROR(SUMPRODUCT((YEAR(Transactions!$C$9:$C$5005)=$D$1)*(MONTH(Transactions!$C$9:$C$5005)=8)*(Transactions!$F$9:$F$5005="Income")*(Transactions!$H$9:$H$5005)),0)</f>
        <v>34000</v>
      </c>
      <c r="E14" s="19">
        <f>IFERROR(SUMPRODUCT((YEAR(Transactions!$C$9:$C$5005)=$D$1)*(MONTH(Transactions!$C$9:$C$5005)=8)*(Transactions!$F$9:$F$5005="Expense")*(Transactions!$H$9:$H$5005)),0)</f>
        <v>85842</v>
      </c>
      <c r="F14" s="19" cm="1">
        <f t="array" ref="F14">IFERROR(SUMPRODUCT((YEAR(Transactions!$C$9:$C$5005)=$D$1)*(MONTH(Transactions!$C$9:$C$5005)=8)*(Transactions!$F$9:$F$5005="Investment")*(Transactions!$H$9:$H$5005)),0)</f>
        <v>1000</v>
      </c>
      <c r="G14" s="20">
        <f t="shared" si="3"/>
        <v>-52842</v>
      </c>
      <c r="H14" s="98">
        <f t="shared" si="0"/>
        <v>-1.5541764705882353</v>
      </c>
      <c r="I14" s="24" t="str">
        <f t="shared" si="1"/>
        <v>▼ Deficit</v>
      </c>
      <c r="J14" s="99" t="str">
        <f t="shared" si="2"/>
        <v>🔴 POOR</v>
      </c>
      <c r="N14" s="112">
        <v>45141</v>
      </c>
      <c r="O14" s="245" t="str">
        <v>MBA5</v>
      </c>
      <c r="P14" s="246">
        <v>2023</v>
      </c>
      <c r="Q14" s="246" t="str">
        <v>Expense</v>
      </c>
      <c r="R14" s="106" t="str">
        <v>Ed LOAN</v>
      </c>
      <c r="S14" s="246">
        <v>6881</v>
      </c>
      <c r="T14" s="247">
        <v>-6881</v>
      </c>
      <c r="U14">
        <v>0</v>
      </c>
      <c r="V14" s="374">
        <v>0</v>
      </c>
      <c r="X14" s="296" cm="1">
        <f t="array" aca="1" ref="X1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>46079</v>
      </c>
      <c r="Y14" s="245" t="str" cm="1">
        <f t="array" aca="1" ref="Y1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>Bholu bhaiya</v>
      </c>
      <c r="Z14" s="246" t="str" cm="1">
        <f t="array" aca="1" ref="Z1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>Given</v>
      </c>
      <c r="AA14" s="246" t="str" cm="1">
        <f t="array" aca="1" ref="AA1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>Cashflow</v>
      </c>
      <c r="AB14" s="106" cm="1">
        <f t="array" aca="1" ref="AB1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>3000</v>
      </c>
      <c r="AC14" s="246" cm="1">
        <f t="array" aca="1" ref="AC1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>3000</v>
      </c>
      <c r="AD14" s="247" cm="1">
        <f t="array" aca="1" ref="AD1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>0</v>
      </c>
      <c r="AE14" s="305" t="str" cm="1">
        <f t="array" aca="1" ref="AE1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>phnpe</v>
      </c>
    </row>
    <row r="15" spans="2:31" ht="18" customHeight="1" x14ac:dyDescent="0.2">
      <c r="B15" s="72">
        <v>6</v>
      </c>
      <c r="C15" s="31" t="s">
        <v>44</v>
      </c>
      <c r="D15" s="100">
        <f>IFERROR(SUMPRODUCT((YEAR(Transactions!$C$9:$C$5005)=$D$1)*(MONTH(Transactions!$C$9:$C$5005)=9)*(Transactions!$F$9:$F$5005="Income")*(Transactions!$H$9:$H$5005)),0)</f>
        <v>131468</v>
      </c>
      <c r="E15" s="25">
        <f>IFERROR(SUMPRODUCT((YEAR(Transactions!$C$9:$C$5005)=$D$1)*(MONTH(Transactions!$C$9:$C$5005)=9)*(Transactions!$F$9:$F$5005="Expense")*(Transactions!$H$9:$H$5005)),0)</f>
        <v>36823</v>
      </c>
      <c r="F15" s="19" cm="1">
        <f t="array" ref="F15">IFERROR(SUMPRODUCT((YEAR(Transactions!$C$9:$C$5005)=$D$1)*(MONTH(Transactions!$C$9:$C$5005)=9)*(Transactions!$F$9:$F$5005="Investment")*(Transactions!$H$9:$H$5005)),0)</f>
        <v>1376</v>
      </c>
      <c r="G15" s="20">
        <f t="shared" si="3"/>
        <v>93269</v>
      </c>
      <c r="H15" s="101">
        <f t="shared" si="0"/>
        <v>0.70944260200200804</v>
      </c>
      <c r="I15" s="30" t="str">
        <f t="shared" si="1"/>
        <v>✦ Surplus</v>
      </c>
      <c r="J15" s="102" t="str">
        <f t="shared" si="2"/>
        <v>🟢 GOOD</v>
      </c>
      <c r="N15" s="112">
        <v>45172</v>
      </c>
      <c r="O15" s="245" t="str">
        <v>MBA6</v>
      </c>
      <c r="P15" s="246">
        <v>2023</v>
      </c>
      <c r="Q15" s="246" t="str">
        <v>Expense</v>
      </c>
      <c r="R15" s="106" t="str">
        <v>Ed LOAN</v>
      </c>
      <c r="S15" s="246">
        <v>6881</v>
      </c>
      <c r="T15" s="247">
        <v>-6881</v>
      </c>
      <c r="U15">
        <v>0</v>
      </c>
      <c r="V15" s="374">
        <v>0</v>
      </c>
      <c r="X15" s="296" cm="1">
        <f t="array" aca="1" ref="X1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>46080</v>
      </c>
      <c r="Y15" s="245" t="str" cm="1">
        <f t="array" aca="1" ref="Y1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>Bholu bhaiya</v>
      </c>
      <c r="Z15" s="246" t="str" cm="1">
        <f t="array" aca="1" ref="Z1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>Given</v>
      </c>
      <c r="AA15" s="246" t="str" cm="1">
        <f t="array" aca="1" ref="AA1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>Cashflow</v>
      </c>
      <c r="AB15" s="106" cm="1">
        <f t="array" aca="1" ref="AB1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>1833.6</v>
      </c>
      <c r="AC15" s="246" cm="1">
        <f t="array" aca="1" ref="AC1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>1833.6</v>
      </c>
      <c r="AD15" s="247" cm="1">
        <f t="array" aca="1" ref="AD1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>0</v>
      </c>
      <c r="AE15" s="305" t="str" cm="1">
        <f t="array" aca="1" ref="AE1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>GKP-PUN</v>
      </c>
    </row>
    <row r="16" spans="2:31" ht="18" customHeight="1" x14ac:dyDescent="0.2">
      <c r="B16" s="70">
        <v>7</v>
      </c>
      <c r="C16" s="17" t="s">
        <v>45</v>
      </c>
      <c r="D16" s="97">
        <f>IFERROR(SUMPRODUCT((YEAR(Transactions!$C$9:$C$5005)=$D$1)*(MONTH(Transactions!$C$9:$C$5005)=10)*(Transactions!$F$9:$F$5005="Income")*(Transactions!$H$9:$H$5005)),0)</f>
        <v>34000</v>
      </c>
      <c r="E16" s="19">
        <f>IFERROR(SUMPRODUCT((YEAR(Transactions!$C$9:$C$5005)=$D$1)*(MONTH(Transactions!$C$9:$C$5005)=10)*(Transactions!$F$9:$F$5005="Expense")*(Transactions!$H$9:$H$5005)),0)</f>
        <v>22351</v>
      </c>
      <c r="F16" s="19" cm="1">
        <f t="array" ref="F16">IFERROR(SUMPRODUCT((YEAR(Transactions!$C$9:$C$5005)=$D$1)*(MONTH(Transactions!$C$9:$C$5005)=10)*(Transactions!$F$9:$F$5005="Investment")*(Transactions!$H$9:$H$5005)),0)</f>
        <v>1376</v>
      </c>
      <c r="G16" s="20">
        <f t="shared" si="3"/>
        <v>10273</v>
      </c>
      <c r="H16" s="98">
        <f t="shared" si="0"/>
        <v>0.30214705882352944</v>
      </c>
      <c r="I16" s="24" t="str">
        <f t="shared" si="1"/>
        <v>✦ Surplus</v>
      </c>
      <c r="J16" s="99" t="str">
        <f t="shared" si="2"/>
        <v>🟡 NORMAL</v>
      </c>
      <c r="N16" s="112">
        <v>45202</v>
      </c>
      <c r="O16" s="245" t="str">
        <v>MBA7</v>
      </c>
      <c r="P16" s="246">
        <v>2023</v>
      </c>
      <c r="Q16" s="246" t="str">
        <v>Expense</v>
      </c>
      <c r="R16" s="106" t="str">
        <v>Ed LOAN</v>
      </c>
      <c r="S16" s="246">
        <v>6881</v>
      </c>
      <c r="T16" s="247">
        <v>-6881</v>
      </c>
      <c r="U16">
        <v>0</v>
      </c>
      <c r="V16" s="374">
        <v>0</v>
      </c>
      <c r="X16" s="296" cm="1">
        <f t="array" aca="1" ref="X1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>46092</v>
      </c>
      <c r="Y16" s="245" t="str" cm="1">
        <f t="array" aca="1" ref="Y1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>Bholu bhaiya</v>
      </c>
      <c r="Z16" s="246" t="str" cm="1">
        <f t="array" aca="1" ref="Z1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>Given</v>
      </c>
      <c r="AA16" s="246" t="str" cm="1">
        <f t="array" aca="1" ref="AA1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>Cashflow</v>
      </c>
      <c r="AB16" s="106" cm="1">
        <f t="array" aca="1" ref="AB1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>1138.5999999999999</v>
      </c>
      <c r="AC16" s="246" cm="1">
        <f t="array" aca="1" ref="AC1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>1138.5999999999999</v>
      </c>
      <c r="AD16" s="247" cm="1">
        <f t="array" aca="1" ref="AD1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>0</v>
      </c>
      <c r="AE16" s="305" t="str" cm="1">
        <f t="array" aca="1" ref="AE1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>PUN-GKP</v>
      </c>
    </row>
    <row r="17" spans="2:31" ht="18" customHeight="1" x14ac:dyDescent="0.2">
      <c r="B17" s="72">
        <v>8</v>
      </c>
      <c r="C17" s="31" t="s">
        <v>46</v>
      </c>
      <c r="D17" s="100">
        <f>IFERROR(SUMPRODUCT((YEAR(Transactions!$C$9:$C$5005)=$D$1)*(MONTH(Transactions!$C$9:$C$5005)=11)*(Transactions!$F$9:$F$5005="Income")*(Transactions!$H$9:$H$5005)),0)</f>
        <v>34000</v>
      </c>
      <c r="E17" s="25">
        <f>IFERROR(SUMPRODUCT((YEAR(Transactions!$C$9:$C$5005)=$D$1)*(MONTH(Transactions!$C$9:$C$5005)=11)*(Transactions!$F$9:$F$5005="Expense")*(Transactions!$H$9:$H$5005)),0)</f>
        <v>31631</v>
      </c>
      <c r="F17" s="19" cm="1">
        <f t="array" ref="F17">IFERROR(SUMPRODUCT((YEAR(Transactions!$C$9:$C$5005)=$D$1)*(MONTH(Transactions!$C$9:$C$5005)=11)*(Transactions!$F$9:$F$5005="Investment")*(Transactions!$H$9:$H$5005)),0)</f>
        <v>1376</v>
      </c>
      <c r="G17" s="20">
        <f t="shared" si="3"/>
        <v>993</v>
      </c>
      <c r="H17" s="101">
        <f t="shared" si="0"/>
        <v>2.9205882352941175E-2</v>
      </c>
      <c r="I17" s="30" t="str">
        <f t="shared" si="1"/>
        <v>✦ Surplus</v>
      </c>
      <c r="J17" s="102" t="str">
        <f t="shared" si="2"/>
        <v>🔴 POOR</v>
      </c>
      <c r="N17" s="112">
        <v>45233</v>
      </c>
      <c r="O17" s="245" t="str">
        <v>MBA8</v>
      </c>
      <c r="P17" s="246">
        <v>2023</v>
      </c>
      <c r="Q17" s="246" t="str">
        <v>Expense</v>
      </c>
      <c r="R17" s="106" t="str">
        <v>Ed LOAN</v>
      </c>
      <c r="S17" s="246">
        <v>6881</v>
      </c>
      <c r="T17" s="247">
        <v>-6881</v>
      </c>
      <c r="U17">
        <v>0</v>
      </c>
      <c r="V17" s="374">
        <v>0</v>
      </c>
      <c r="X17" s="296" cm="1">
        <f t="array" aca="1" ref="X1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>46114</v>
      </c>
      <c r="Y17" s="245" t="str" cm="1">
        <f t="array" aca="1" ref="Y1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>Bholu bhaiya</v>
      </c>
      <c r="Z17" s="246" t="str" cm="1">
        <f t="array" aca="1" ref="Z1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>Given</v>
      </c>
      <c r="AA17" s="246" t="str" cm="1">
        <f t="array" aca="1" ref="AA1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>Cashflow</v>
      </c>
      <c r="AB17" s="106" cm="1">
        <f t="array" aca="1" ref="AB1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>20000</v>
      </c>
      <c r="AC17" s="246" cm="1">
        <f t="array" aca="1" ref="AC1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>20000</v>
      </c>
      <c r="AD17" s="247" cm="1">
        <f t="array" aca="1" ref="AD1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>0</v>
      </c>
      <c r="AE17" s="305" t="str" cm="1">
        <f t="array" aca="1" ref="AE1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>phnpe</v>
      </c>
    </row>
    <row r="18" spans="2:31" ht="18" customHeight="1" x14ac:dyDescent="0.2">
      <c r="B18" s="70">
        <v>9</v>
      </c>
      <c r="C18" s="17" t="s">
        <v>47</v>
      </c>
      <c r="D18" s="97">
        <f>IFERROR(SUMPRODUCT((YEAR(Transactions!$C$9:$C$5005)=$D$1)*(MONTH(Transactions!$C$9:$C$5005)=12)*(Transactions!$F$9:$F$5005="Income")*(Transactions!$H$9:$H$5005)),0)</f>
        <v>34000</v>
      </c>
      <c r="E18" s="19">
        <f>IFERROR(SUMPRODUCT((YEAR(Transactions!$C$9:$C$5005)=$D$1)*(MONTH(Transactions!$C$9:$C$5005)=12)*(Transactions!$F$9:$F$5005="Expense")*(Transactions!$H$9:$H$5005)),0)</f>
        <v>37547</v>
      </c>
      <c r="F18" s="19" cm="1">
        <f t="array" ref="F18">IFERROR(SUMPRODUCT((YEAR(Transactions!$C$9:$C$5005)=$D$1)*(MONTH(Transactions!$C$9:$C$5005)=12)*(Transactions!$F$9:$F$5005="Investment")*(Transactions!$H$9:$H$5005)),0)</f>
        <v>1376</v>
      </c>
      <c r="G18" s="20">
        <f t="shared" si="3"/>
        <v>-4923</v>
      </c>
      <c r="H18" s="98">
        <f t="shared" si="0"/>
        <v>-0.14479411764705882</v>
      </c>
      <c r="I18" s="24" t="str">
        <f t="shared" si="1"/>
        <v>▼ Deficit</v>
      </c>
      <c r="J18" s="99" t="str">
        <f t="shared" si="2"/>
        <v>🔴 POOR</v>
      </c>
      <c r="N18" s="112">
        <v>45263</v>
      </c>
      <c r="O18" s="245" t="str">
        <v>MBA9</v>
      </c>
      <c r="P18" s="246">
        <v>2023</v>
      </c>
      <c r="Q18" s="246" t="str">
        <v>Expense</v>
      </c>
      <c r="R18" s="106" t="str">
        <v>Ed LOAN</v>
      </c>
      <c r="S18" s="246">
        <v>6881</v>
      </c>
      <c r="T18" s="247">
        <v>-6881</v>
      </c>
      <c r="U18">
        <v>0</v>
      </c>
      <c r="V18" s="374">
        <v>0</v>
      </c>
      <c r="X18" s="296" cm="1">
        <f t="array" aca="1" ref="X1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>46161</v>
      </c>
      <c r="Y18" s="245" t="str" cm="1">
        <f t="array" aca="1" ref="Y1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>Bholu bhaiya</v>
      </c>
      <c r="Z18" s="246" t="str" cm="1">
        <f t="array" aca="1" ref="Z1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>Given</v>
      </c>
      <c r="AA18" s="246" t="str" cm="1">
        <f t="array" aca="1" ref="AA1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>Cashflow</v>
      </c>
      <c r="AB18" s="106" cm="1">
        <f t="array" aca="1" ref="AB1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>10000</v>
      </c>
      <c r="AC18" s="246" cm="1">
        <f t="array" aca="1" ref="AC1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>10000</v>
      </c>
      <c r="AD18" s="247" cm="1">
        <f t="array" aca="1" ref="AD1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>0</v>
      </c>
      <c r="AE18" s="305" t="str" cm="1">
        <f t="array" aca="1" ref="AE1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>Vikas Bhaiya</v>
      </c>
    </row>
    <row r="19" spans="2:31" ht="18" customHeight="1" x14ac:dyDescent="0.2">
      <c r="B19" s="72">
        <v>10</v>
      </c>
      <c r="C19" s="31" t="s">
        <v>34</v>
      </c>
      <c r="D19" s="100">
        <f>IFERROR(SUMPRODUCT((YEAR(Transactions!$C$9:$C$5005)=$E$1)*(MONTH(Transactions!$C$9:$C$5005)=1)*(Transactions!$F$9:$F$5005="Income")*(Transactions!$H$9:$H$5005)),0)</f>
        <v>46000</v>
      </c>
      <c r="E19" s="25">
        <f>IFERROR(SUMPRODUCT((YEAR(Transactions!$C$9:$C$5005)=$E$1)*(MONTH(Transactions!$C$9:$C$5005)=1)*(Transactions!$F$9:$F$5005="Expense")*(Transactions!$H$9:$H$5005)),0)</f>
        <v>79581</v>
      </c>
      <c r="F19" s="19" cm="1">
        <f t="array" ref="F19">IFERROR(SUMPRODUCT((YEAR(Transactions!$C$9:$C$5005)=$E$1)*(MONTH(Transactions!$C$9:$C$5005)=1)*(Transactions!$F$9:$F$5005="Investment")*(Transactions!$H$9:$H$5005)),0)</f>
        <v>1376</v>
      </c>
      <c r="G19" s="20">
        <f t="shared" si="3"/>
        <v>-34957</v>
      </c>
      <c r="H19" s="101">
        <f t="shared" si="0"/>
        <v>-0.75993478260869562</v>
      </c>
      <c r="I19" s="30" t="str">
        <f t="shared" si="1"/>
        <v>▼ Deficit</v>
      </c>
      <c r="J19" s="102" t="str">
        <f t="shared" si="2"/>
        <v>🔴 POOR</v>
      </c>
      <c r="N19" s="112">
        <v>45294</v>
      </c>
      <c r="O19" s="245" t="str">
        <v>MBA10</v>
      </c>
      <c r="P19" s="246">
        <v>2024</v>
      </c>
      <c r="Q19" s="246" t="str">
        <v>Expense</v>
      </c>
      <c r="R19" s="106" t="str">
        <v>Ed LOAN</v>
      </c>
      <c r="S19" s="246">
        <v>6881</v>
      </c>
      <c r="T19" s="247">
        <v>-6881</v>
      </c>
      <c r="U19">
        <v>0</v>
      </c>
      <c r="V19" s="374">
        <v>0</v>
      </c>
      <c r="X19" s="296" cm="1">
        <f t="array" aca="1" ref="X1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>46182</v>
      </c>
      <c r="Y19" s="245" t="str" cm="1">
        <f t="array" aca="1" ref="Y1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>Bholu bhaiya</v>
      </c>
      <c r="Z19" s="246" t="str" cm="1">
        <f t="array" aca="1" ref="Z1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>Given</v>
      </c>
      <c r="AA19" s="246" t="str" cm="1">
        <f t="array" aca="1" ref="AA1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>Cashflow</v>
      </c>
      <c r="AB19" s="106" cm="1">
        <f t="array" aca="1" ref="AB1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>5000</v>
      </c>
      <c r="AC19" s="246" cm="1">
        <f t="array" aca="1" ref="AC1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>5000</v>
      </c>
      <c r="AD19" s="247" cm="1">
        <f t="array" aca="1" ref="AD1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>0</v>
      </c>
      <c r="AE19" s="305" t="str" cm="1">
        <f t="array" aca="1" ref="AE1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>phnpe</v>
      </c>
    </row>
    <row r="20" spans="2:31" ht="18" customHeight="1" x14ac:dyDescent="0.2">
      <c r="B20" s="70">
        <v>11</v>
      </c>
      <c r="C20" s="17" t="s">
        <v>36</v>
      </c>
      <c r="D20" s="97">
        <f>IFERROR(SUMPRODUCT((YEAR(Transactions!$C$9:$C$5005)=$E$1)*(MONTH(Transactions!$C$9:$C$5005)=2)*(Transactions!$F$9:$F$5005="Income")*(Transactions!$H$9:$H$5005)),0)</f>
        <v>46000</v>
      </c>
      <c r="E20" s="19">
        <f>IFERROR(SUMPRODUCT((YEAR(Transactions!$C$9:$C$5005)=$E$1)*(MONTH(Transactions!$C$9:$C$5005)=2)*(Transactions!$F$9:$F$5005="Expense")*(Transactions!$H$9:$H$5005)),0)</f>
        <v>55257</v>
      </c>
      <c r="F20" s="19" cm="1">
        <f t="array" ref="F20">IFERROR(SUMPRODUCT((YEAR(Transactions!$C$9:$C$5005)=$E$1)*(MONTH(Transactions!$C$9:$C$5005)=2)*(Transactions!$F$9:$F$5005="Investment")*(Transactions!$H$9:$H$5005)),0)</f>
        <v>1376</v>
      </c>
      <c r="G20" s="20">
        <f t="shared" si="3"/>
        <v>-10633</v>
      </c>
      <c r="H20" s="98">
        <f t="shared" si="0"/>
        <v>-0.23115217391304349</v>
      </c>
      <c r="I20" s="24" t="str">
        <f t="shared" si="1"/>
        <v>▼ Deficit</v>
      </c>
      <c r="J20" s="99" t="str">
        <f t="shared" si="2"/>
        <v>🔴 POOR</v>
      </c>
      <c r="N20" s="112">
        <v>45325</v>
      </c>
      <c r="O20" s="245" t="str">
        <v>MBA11</v>
      </c>
      <c r="P20" s="246">
        <v>2024</v>
      </c>
      <c r="Q20" s="246" t="str">
        <v>Expense</v>
      </c>
      <c r="R20" s="106" t="str">
        <v>Ed LOAN</v>
      </c>
      <c r="S20" s="246">
        <v>6881</v>
      </c>
      <c r="T20" s="247">
        <v>-6881</v>
      </c>
      <c r="U20">
        <v>0</v>
      </c>
      <c r="V20" s="374">
        <v>0</v>
      </c>
      <c r="X20" s="296" cm="1">
        <f t="array" aca="1" ref="X2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>46192</v>
      </c>
      <c r="Y20" s="245" t="str" cm="1">
        <f t="array" aca="1" ref="Y2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>Bholu bhaiya</v>
      </c>
      <c r="Z20" s="246" t="str" cm="1">
        <f t="array" aca="1" ref="Z2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>Given</v>
      </c>
      <c r="AA20" s="246" t="str" cm="1">
        <f t="array" aca="1" ref="AA2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>Cashflow</v>
      </c>
      <c r="AB20" s="106" cm="1">
        <f t="array" aca="1" ref="AB2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>300</v>
      </c>
      <c r="AC20" s="246" cm="1">
        <f t="array" aca="1" ref="AC2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>300</v>
      </c>
      <c r="AD20" s="247" cm="1">
        <f t="array" aca="1" ref="AD2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>0</v>
      </c>
      <c r="AE20" s="305" t="str" cm="1">
        <f t="array" aca="1" ref="AE2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>Nagendra jaiswal</v>
      </c>
    </row>
    <row r="21" spans="2:31" ht="18" customHeight="1" x14ac:dyDescent="0.2">
      <c r="B21" s="72">
        <v>12</v>
      </c>
      <c r="C21" s="31" t="s">
        <v>37</v>
      </c>
      <c r="D21" s="100">
        <f>IFERROR(SUMPRODUCT((YEAR(Transactions!$C$9:$C$5005)=$E$1)*(MONTH(Transactions!$C$9:$C$5005)=3)*(Transactions!$F$9:$F$5005="Income")*(Transactions!$H$9:$H$5005)),0)</f>
        <v>54500</v>
      </c>
      <c r="E21" s="25">
        <f>IFERROR(SUMPRODUCT((YEAR(Transactions!$C$9:$C$5005)=$E$1)*(MONTH(Transactions!$C$9:$C$5005)=3)*(Transactions!$F$9:$F$5005="Expense")*(Transactions!$H$9:$H$5005)),0)</f>
        <v>44968.14</v>
      </c>
      <c r="F21" s="19" cm="1">
        <f t="array" ref="F21">IFERROR(SUMPRODUCT((YEAR(Transactions!$C$9:$C$5005)=$E$1)*(MONTH(Transactions!$C$9:$C$5005)=3)*(Transactions!$F$9:$F$5005="Investment")*(Transactions!$H$9:$H$5005)),0)</f>
        <v>1376</v>
      </c>
      <c r="G21" s="20">
        <f t="shared" si="3"/>
        <v>8155.8600000000006</v>
      </c>
      <c r="H21" s="101">
        <f t="shared" si="0"/>
        <v>0.14964880733944955</v>
      </c>
      <c r="I21" s="30" t="str">
        <f t="shared" si="1"/>
        <v>✦ Surplus</v>
      </c>
      <c r="J21" s="102" t="str">
        <f t="shared" si="2"/>
        <v>🔴 BAD</v>
      </c>
      <c r="N21" s="112">
        <v>45355</v>
      </c>
      <c r="O21" s="245" t="str">
        <v>MBA12</v>
      </c>
      <c r="P21" s="246">
        <v>2024</v>
      </c>
      <c r="Q21" s="246" t="str">
        <v>Expense</v>
      </c>
      <c r="R21" s="106" t="str">
        <v>Ed LOAN</v>
      </c>
      <c r="S21" s="246">
        <v>6882.54</v>
      </c>
      <c r="T21" s="247">
        <v>-6882.54</v>
      </c>
      <c r="U21">
        <v>0</v>
      </c>
      <c r="V21" s="374">
        <v>0</v>
      </c>
      <c r="X21" s="296" t="str" cm="1">
        <f t="array" aca="1" ref="X2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21" s="245" t="str" cm="1">
        <f t="array" aca="1" ref="Y2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21" s="246" t="str" cm="1">
        <f t="array" aca="1" ref="Z2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21" s="246" t="str" cm="1">
        <f t="array" aca="1" ref="AA2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21" s="106" t="str" cm="1">
        <f t="array" aca="1" ref="AB2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21" s="246" t="str" cm="1">
        <f t="array" aca="1" ref="AC2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21" s="247" t="str" cm="1">
        <f t="array" aca="1" ref="AD2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21" s="305" t="str" cm="1">
        <f t="array" aca="1" ref="AE2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22" spans="2:31" ht="21.75" customHeight="1" x14ac:dyDescent="0.2">
      <c r="B22" s="38"/>
      <c r="C22" s="38" t="s">
        <v>174</v>
      </c>
      <c r="D22" s="39">
        <f>SUM(D10:D21)</f>
        <v>549968</v>
      </c>
      <c r="E22" s="39">
        <f>SUM(E10:E21)</f>
        <v>557906.14</v>
      </c>
      <c r="F22" s="39">
        <f>SUM(F10:F21)</f>
        <v>15632</v>
      </c>
      <c r="G22" s="39">
        <f t="shared" si="3"/>
        <v>-23570.140000000014</v>
      </c>
      <c r="H22" s="40">
        <f t="shared" si="0"/>
        <v>-4.2857293515259097E-2</v>
      </c>
      <c r="I22" s="41"/>
      <c r="J22" s="41" t="str">
        <f t="shared" si="2"/>
        <v>🔴 POOR</v>
      </c>
      <c r="N22" s="112">
        <v>45403</v>
      </c>
      <c r="O22" s="245" t="str">
        <v>MBA 1</v>
      </c>
      <c r="P22" s="246">
        <v>2024</v>
      </c>
      <c r="Q22" s="246" t="str">
        <v>Expense</v>
      </c>
      <c r="R22" s="106" t="str">
        <v>Ed LOAN</v>
      </c>
      <c r="S22" s="246">
        <v>7767</v>
      </c>
      <c r="T22" s="247">
        <v>-7767</v>
      </c>
      <c r="U22">
        <v>0</v>
      </c>
      <c r="V22" s="374">
        <v>0</v>
      </c>
      <c r="X22" s="296" t="str" cm="1">
        <f t="array" aca="1" ref="X2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22" s="245" t="str" cm="1">
        <f t="array" aca="1" ref="Y2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22" s="246" t="str" cm="1">
        <f t="array" aca="1" ref="Z2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22" s="246" t="str" cm="1">
        <f t="array" aca="1" ref="AA2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22" s="106" t="str" cm="1">
        <f t="array" aca="1" ref="AB2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22" s="246" t="str" cm="1">
        <f t="array" aca="1" ref="AC2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22" s="247" t="str" cm="1">
        <f t="array" aca="1" ref="AD2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22" s="305" t="str" cm="1">
        <f t="array" aca="1" ref="AE2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23" spans="2:31" x14ac:dyDescent="0.2">
      <c r="N23" s="112">
        <v>45438</v>
      </c>
      <c r="O23" s="245" t="str">
        <v>MBA2</v>
      </c>
      <c r="P23" s="246">
        <v>2024</v>
      </c>
      <c r="Q23" s="246" t="str">
        <v>Expense</v>
      </c>
      <c r="R23" s="106" t="str">
        <v>Ed LOAN</v>
      </c>
      <c r="S23" s="246">
        <v>7517.6</v>
      </c>
      <c r="T23" s="247">
        <v>-7517.6</v>
      </c>
      <c r="U23">
        <v>0</v>
      </c>
      <c r="V23" s="374">
        <v>0</v>
      </c>
      <c r="X23" s="296" t="str" cm="1">
        <f t="array" aca="1" ref="X2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23" s="245" t="str" cm="1">
        <f t="array" aca="1" ref="Y2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23" s="246" t="str" cm="1">
        <f t="array" aca="1" ref="Z2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23" s="246" t="str" cm="1">
        <f t="array" aca="1" ref="AA2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23" s="106" t="str" cm="1">
        <f t="array" aca="1" ref="AB2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23" s="246" t="str" cm="1">
        <f t="array" aca="1" ref="AC2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23" s="247" t="str" cm="1">
        <f t="array" aca="1" ref="AD2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23" s="305" t="str" cm="1">
        <f t="array" aca="1" ref="AE2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24" spans="2:31" ht="13.5" customHeight="1" x14ac:dyDescent="0.2">
      <c r="N24" s="112">
        <v>45469</v>
      </c>
      <c r="O24" s="245" t="str">
        <v>MBA3</v>
      </c>
      <c r="P24" s="246">
        <v>2024</v>
      </c>
      <c r="Q24" s="246" t="str">
        <v>Expense</v>
      </c>
      <c r="R24" s="106" t="str">
        <v>Ed LOAN</v>
      </c>
      <c r="S24" s="246">
        <v>7502.39</v>
      </c>
      <c r="T24" s="247">
        <v>-7502.39</v>
      </c>
      <c r="U24">
        <v>0</v>
      </c>
      <c r="V24" s="374">
        <v>0</v>
      </c>
      <c r="X24" s="296" t="str" cm="1">
        <f t="array" aca="1" ref="X2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24" s="245" t="str" cm="1">
        <f t="array" aca="1" ref="Y2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24" s="246" t="str" cm="1">
        <f t="array" aca="1" ref="Z2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24" s="246" t="str" cm="1">
        <f t="array" aca="1" ref="AA2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24" s="106" t="str" cm="1">
        <f t="array" aca="1" ref="AB2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24" s="246" t="str" cm="1">
        <f t="array" aca="1" ref="AC2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24" s="247" t="str" cm="1">
        <f t="array" aca="1" ref="AD2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24" s="305" t="str" cm="1">
        <f t="array" aca="1" ref="AE2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25" spans="2:31" ht="19.5" customHeight="1" x14ac:dyDescent="0.2">
      <c r="C25" s="400" t="s">
        <v>160</v>
      </c>
      <c r="D25" s="400"/>
      <c r="E25" s="400"/>
      <c r="F25" s="400"/>
      <c r="G25" s="400"/>
      <c r="H25" s="400"/>
      <c r="I25" s="400"/>
      <c r="J25" s="400"/>
      <c r="N25" s="112">
        <v>45499</v>
      </c>
      <c r="O25" s="245" t="str">
        <v>MBA4</v>
      </c>
      <c r="P25" s="246">
        <v>2024</v>
      </c>
      <c r="Q25" s="246" t="str">
        <v>Expense</v>
      </c>
      <c r="R25" s="106" t="str">
        <v>Ed LOAN</v>
      </c>
      <c r="S25" s="246">
        <v>7486.97</v>
      </c>
      <c r="T25" s="247">
        <v>-7486.97</v>
      </c>
      <c r="U25">
        <v>0</v>
      </c>
      <c r="V25" s="374">
        <v>0</v>
      </c>
      <c r="X25" s="296" t="str" cm="1">
        <f t="array" aca="1" ref="X2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25" s="245" t="str" cm="1">
        <f t="array" aca="1" ref="Y2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25" s="246" t="str" cm="1">
        <f t="array" aca="1" ref="Z2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25" s="246" t="str" cm="1">
        <f t="array" aca="1" ref="AA2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25" s="106" t="str" cm="1">
        <f t="array" aca="1" ref="AB2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25" s="246" t="str" cm="1">
        <f t="array" aca="1" ref="AC2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25" s="247" t="str" cm="1">
        <f t="array" aca="1" ref="AD2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25" s="305" t="str" cm="1">
        <f t="array" aca="1" ref="AE2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26" spans="2:31" ht="16.5" customHeight="1" x14ac:dyDescent="0.2">
      <c r="C26" s="293" t="s">
        <v>163</v>
      </c>
      <c r="D26" s="294" t="s">
        <v>164</v>
      </c>
      <c r="E26" s="294" t="s">
        <v>166</v>
      </c>
      <c r="F26" s="294" t="s">
        <v>3</v>
      </c>
      <c r="G26" s="294" t="s">
        <v>167</v>
      </c>
      <c r="H26" s="294" t="s">
        <v>169</v>
      </c>
      <c r="I26" s="294" t="s">
        <v>170</v>
      </c>
      <c r="J26" s="295" t="s">
        <v>7</v>
      </c>
      <c r="N26" s="112">
        <v>45530</v>
      </c>
      <c r="O26" s="245" t="str">
        <v>MBA5</v>
      </c>
      <c r="P26" s="246">
        <v>2024</v>
      </c>
      <c r="Q26" s="246" t="str">
        <v>Expense</v>
      </c>
      <c r="R26" s="106" t="str">
        <v>Ed LOAN</v>
      </c>
      <c r="S26" s="246">
        <v>7471.34</v>
      </c>
      <c r="T26" s="247">
        <v>-7471.34</v>
      </c>
      <c r="U26">
        <v>0</v>
      </c>
      <c r="V26" s="374">
        <v>0</v>
      </c>
      <c r="X26" s="296" t="str" cm="1">
        <f t="array" aca="1" ref="X2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26" s="245" t="str" cm="1">
        <f t="array" aca="1" ref="Y2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26" s="246" t="str" cm="1">
        <f t="array" aca="1" ref="Z2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26" s="246" t="str" cm="1">
        <f t="array" aca="1" ref="AA2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26" s="106" t="str" cm="1">
        <f t="array" aca="1" ref="AB2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26" s="246" t="str" cm="1">
        <f t="array" aca="1" ref="AC2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26" s="247" t="str" cm="1">
        <f t="array" aca="1" ref="AD2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26" s="305" t="str" cm="1">
        <f t="array" aca="1" ref="AE2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27" spans="2:31" ht="16.5" customHeight="1" x14ac:dyDescent="0.2">
      <c r="C27" s="296">
        <f ca="1">IFERROR(IF(IFERROR(SUMPRODUCT((Transactions!$L$9:$L$5005=$D$1)*(Transactions!$M$9:$M$5005=1)*ROW(Transactions!$L$9:$L$5005)),0)=0,"",INDEX(Transactions!$C:$C,IFERROR(SUMPRODUCT((Transactions!$L$9:$L$5005=$D$1)*(Transactions!$M$9:$M$5005=1)*ROW(Transactions!$L$9:$L$5005)),0))),"")</f>
        <v>45017</v>
      </c>
      <c r="D27" s="104" t="str">
        <f ca="1">IFERROR(IF(IFERROR(SUMPRODUCT((Transactions!$L$9:$L$5005=$D$1)*(Transactions!$M$9:$M$5005=1)*ROW(Transactions!$L$9:$L$5005)),0)=0,"",INDEX(Transactions!$D:$D,IFERROR(SUMPRODUCT((Transactions!$L$9:$L$5005=$D$1)*(Transactions!$M$9:$M$5005=1)*ROW(Transactions!$L$9:$L$5005)),0))),"")</f>
        <v>Pune: April PG</v>
      </c>
      <c r="E27" s="105" t="str">
        <f ca="1">IFERROR(IF(IFERROR(SUMPRODUCT((Transactions!$L$9:$L$5005=$D$1)*(Transactions!$M$9:$M$5005=1)*ROW(Transactions!$L$9:$L$5005)),0)=0,"",INDEX(Transactions!$F:$F,IFERROR(SUMPRODUCT((Transactions!$L$9:$L$5005=$D$1)*(Transactions!$M$9:$M$5005=1)*ROW(Transactions!$L$9:$L$5005)),0))),"")</f>
        <v>Expense</v>
      </c>
      <c r="F27" s="105" t="str">
        <f ca="1">IFERROR(IF(IFERROR(SUMPRODUCT((Transactions!$L$9:$L$5005=$D$1)*(Transactions!$M$9:$M$5005=1)*ROW(Transactions!$L$9:$L$5005)),0)=0,"",INDEX(Transactions!$G:$G,IFERROR(SUMPRODUCT((Transactions!$L$9:$L$5005=$D$1)*(Transactions!$M$9:$M$5005=1)*ROW(Transactions!$L$9:$L$5005)),0))),"")</f>
        <v>Rajan</v>
      </c>
      <c r="G27" s="106">
        <f ca="1">IFERROR(IF(IFERROR(SUMPRODUCT((Transactions!$L$9:$L$5005=$D$1)*(Transactions!$M$9:$M$5005=1)*ROW(Transactions!$L$9:$L$5005)),0)=0,"",INDEX(Transactions!$H:$H,IFERROR(SUMPRODUCT((Transactions!$L$9:$L$5005=$D$1)*(Transactions!$M$9:$M$5005=1)*ROW(Transactions!$L$9:$L$5005)),0))),"")</f>
        <v>8000</v>
      </c>
      <c r="H27" s="105">
        <f ca="1">IFERROR(IF(IFERROR(SUMPRODUCT((Transactions!$L$9:$L$5005=$D$1)*(Transactions!$M$9:$M$5005=1)*ROW(Transactions!$L$9:$L$5005)),0)=0,"",INDEX(Transactions!$J:$J,IFERROR(SUMPRODUCT((Transactions!$L$9:$L$5005=$D$1)*(Transactions!$M$9:$M$5005=1)*ROW(Transactions!$L$9:$L$5005)),0))),"")</f>
        <v>0</v>
      </c>
      <c r="I27" s="104">
        <f ca="1">IFERROR(IF(IFERROR(SUMPRODUCT((Transactions!$L$9:$L$5005=$D$1)*(Transactions!$M$9:$M$5005=1)*ROW(Transactions!$L$9:$L$5005)),0)=0,"",INDEX(Transactions!$K:$K,IFERROR(SUMPRODUCT((Transactions!$L$9:$L$5005=$D$1)*(Transactions!$M$9:$M$5005=1)*ROW(Transactions!$L$9:$L$5005)),0))),"")</f>
        <v>0</v>
      </c>
      <c r="J27" s="298">
        <f ca="1">IFERROR(IF(IFERROR(SUMPRODUCT((Transactions!$L$9:$L$5005=$D$1)*(Transactions!$M$9:$M$5005=1)*ROW(Transactions!$L$9:$L$5005)),0)=0,"",INDEX(Transactions!$L:$L,IFERROR(SUMPRODUCT((Transactions!$L$9:$L$5005=$D$1)*(Transactions!$M$9:$M$5005=1)*ROW(Transactions!$L$9:$L$5005)),0))),"")</f>
        <v>2023</v>
      </c>
      <c r="N27" s="112">
        <v>45561</v>
      </c>
      <c r="O27" s="245" t="str">
        <v>MBA6</v>
      </c>
      <c r="P27" s="246">
        <v>2024</v>
      </c>
      <c r="Q27" s="246" t="str">
        <v>Expense</v>
      </c>
      <c r="R27" s="106" t="str">
        <v>Ed LOAN</v>
      </c>
      <c r="S27" s="246">
        <v>7455.51</v>
      </c>
      <c r="T27" s="247">
        <v>-7455.51</v>
      </c>
      <c r="U27">
        <v>0</v>
      </c>
      <c r="V27" s="374">
        <v>0</v>
      </c>
      <c r="X27" s="296" t="str" cm="1">
        <f t="array" aca="1" ref="X2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27" s="245" t="str" cm="1">
        <f t="array" aca="1" ref="Y2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27" s="246" t="str" cm="1">
        <f t="array" aca="1" ref="Z2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27" s="246" t="str" cm="1">
        <f t="array" aca="1" ref="AA2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27" s="106" t="str" cm="1">
        <f t="array" aca="1" ref="AB2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27" s="246" t="str" cm="1">
        <f t="array" aca="1" ref="AC2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27" s="247" t="str" cm="1">
        <f t="array" aca="1" ref="AD2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27" s="305" t="str" cm="1">
        <f t="array" aca="1" ref="AE2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28" spans="2:31" ht="16.5" customHeight="1" x14ac:dyDescent="0.2">
      <c r="C28" s="297">
        <f ca="1">IFERROR(IF(IFERROR(SUMPRODUCT((Transactions!$L$9:$L$5005=$D$1)*(Transactions!$M$9:$M$5005=2)*ROW(Transactions!$L$9:$L$5005)),0)=0,"",INDEX(Transactions!$C:$C,IFERROR(SUMPRODUCT((Transactions!$L$9:$L$5005=$D$1)*(Transactions!$M$9:$M$5005=2)*ROW(Transactions!$L$9:$L$5005)),0))),"")</f>
        <v>45019</v>
      </c>
      <c r="D28" s="107" t="str">
        <f ca="1">IFERROR(IF(IFERROR(SUMPRODUCT((Transactions!$L$9:$L$5005=$D$1)*(Transactions!$M$9:$M$5005=2)*ROW(Transactions!$L$9:$L$5005)),0)=0,"",INDEX(Transactions!$D:$D,IFERROR(SUMPRODUCT((Transactions!$L$9:$L$5005=$D$1)*(Transactions!$M$9:$M$5005=2)*ROW(Transactions!$L$9:$L$5005)),0))),"")</f>
        <v>MBA1</v>
      </c>
      <c r="E28" s="108" t="str">
        <f ca="1">IFERROR(IF(IFERROR(SUMPRODUCT((Transactions!$L$9:$L$5005=$D$1)*(Transactions!$M$9:$M$5005=2)*ROW(Transactions!$L$9:$L$5005)),0)=0,"",INDEX(Transactions!$F:$F,IFERROR(SUMPRODUCT((Transactions!$L$9:$L$5005=$D$1)*(Transactions!$M$9:$M$5005=2)*ROW(Transactions!$L$9:$L$5005)),0))),"")</f>
        <v>Expense</v>
      </c>
      <c r="F28" s="108" t="str">
        <f ca="1">IFERROR(IF(IFERROR(SUMPRODUCT((Transactions!$L$9:$L$5005=$D$1)*(Transactions!$M$9:$M$5005=2)*ROW(Transactions!$L$9:$L$5005)),0)=0,"",INDEX(Transactions!$G:$G,IFERROR(SUMPRODUCT((Transactions!$L$9:$L$5005=$D$1)*(Transactions!$M$9:$M$5005=2)*ROW(Transactions!$L$9:$L$5005)),0))),"")</f>
        <v>Ed LOAN</v>
      </c>
      <c r="G28" s="109">
        <f ca="1">IFERROR(IF(IFERROR(SUMPRODUCT((Transactions!$L$9:$L$5005=$D$1)*(Transactions!$M$9:$M$5005=2)*ROW(Transactions!$L$9:$L$5005)),0)=0,"",INDEX(Transactions!$H:$H,IFERROR(SUMPRODUCT((Transactions!$L$9:$L$5005=$D$1)*(Transactions!$M$9:$M$5005=2)*ROW(Transactions!$L$9:$L$5005)),0))),"")</f>
        <v>6881</v>
      </c>
      <c r="H28" s="108">
        <f ca="1">IFERROR(IF(IFERROR(SUMPRODUCT((Transactions!$L$9:$L$5005=$D$1)*(Transactions!$M$9:$M$5005=2)*ROW(Transactions!$L$9:$L$5005)),0)=0,"",INDEX(Transactions!$J:$J,IFERROR(SUMPRODUCT((Transactions!$L$9:$L$5005=$D$1)*(Transactions!$M$9:$M$5005=2)*ROW(Transactions!$L$9:$L$5005)),0))),"")</f>
        <v>0</v>
      </c>
      <c r="I28" s="107">
        <f ca="1">IFERROR(IF(IFERROR(SUMPRODUCT((Transactions!$L$9:$L$5005=$D$1)*(Transactions!$M$9:$M$5005=2)*ROW(Transactions!$L$9:$L$5005)),0)=0,"",INDEX(Transactions!$K:$K,IFERROR(SUMPRODUCT((Transactions!$L$9:$L$5005=$D$1)*(Transactions!$M$9:$M$5005=2)*ROW(Transactions!$L$9:$L$5005)),0))),"")</f>
        <v>0</v>
      </c>
      <c r="J28" s="299">
        <f ca="1">IFERROR(IF(IFERROR(SUMPRODUCT((Transactions!$L$9:$L$5005=$D$1)*(Transactions!$M$9:$M$5005=2)*ROW(Transactions!$L$9:$L$5005)),0)=0,"",INDEX(Transactions!$L:$L,IFERROR(SUMPRODUCT((Transactions!$L$9:$L$5005=$D$1)*(Transactions!$M$9:$M$5005=2)*ROW(Transactions!$L$9:$L$5005)),0))),"")</f>
        <v>2023</v>
      </c>
      <c r="N28" s="112">
        <v>45611</v>
      </c>
      <c r="O28" s="245" t="str">
        <v>MBA7</v>
      </c>
      <c r="P28" s="246">
        <v>2024</v>
      </c>
      <c r="Q28" s="246" t="str">
        <v>Expense</v>
      </c>
      <c r="R28" s="106" t="str">
        <v>Ed LOAN</v>
      </c>
      <c r="S28" s="246">
        <v>7439.46</v>
      </c>
      <c r="T28" s="247">
        <v>-7439.46</v>
      </c>
      <c r="U28">
        <v>0</v>
      </c>
      <c r="V28" s="374">
        <v>0</v>
      </c>
      <c r="X28" s="296" t="str" cm="1">
        <f t="array" aca="1" ref="X2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28" s="245" t="str" cm="1">
        <f t="array" aca="1" ref="Y2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28" s="246" t="str" cm="1">
        <f t="array" aca="1" ref="Z2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28" s="246" t="str" cm="1">
        <f t="array" aca="1" ref="AA2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28" s="106" t="str" cm="1">
        <f t="array" aca="1" ref="AB2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28" s="246" t="str" cm="1">
        <f t="array" aca="1" ref="AC2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28" s="247" t="str" cm="1">
        <f t="array" aca="1" ref="AD2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28" s="305" t="str" cm="1">
        <f t="array" aca="1" ref="AE2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29" spans="2:31" ht="16.5" customHeight="1" x14ac:dyDescent="0.2">
      <c r="C29" s="296">
        <f ca="1">IFERROR(IF(IFERROR(SUMPRODUCT((Transactions!$L$9:$L$5005=$D$1)*(Transactions!$M$9:$M$5005=3)*ROW(Transactions!$L$9:$L$5005)),0)=0,"",INDEX(Transactions!$C:$C,IFERROR(SUMPRODUCT((Transactions!$L$9:$L$5005=$D$1)*(Transactions!$M$9:$M$5005=3)*ROW(Transactions!$L$9:$L$5005)),0))),"")</f>
        <v>45026</v>
      </c>
      <c r="D29" s="104" t="str">
        <f ca="1">IFERROR(IF(IFERROR(SUMPRODUCT((Transactions!$L$9:$L$5005=$D$1)*(Transactions!$M$9:$M$5005=3)*ROW(Transactions!$L$9:$L$5005)),0)=0,"",INDEX(Transactions!$D:$D,IFERROR(SUMPRODUCT((Transactions!$L$9:$L$5005=$D$1)*(Transactions!$M$9:$M$5005=3)*ROW(Transactions!$L$9:$L$5005)),0))),"")</f>
        <v>Tution fee 13000, April 3000</v>
      </c>
      <c r="E29" s="105" t="str">
        <f ca="1">IFERROR(IF(IFERROR(SUMPRODUCT((Transactions!$L$9:$L$5005=$D$1)*(Transactions!$M$9:$M$5005=3)*ROW(Transactions!$L$9:$L$5005)),0)=0,"",INDEX(Transactions!$F:$F,IFERROR(SUMPRODUCT((Transactions!$L$9:$L$5005=$D$1)*(Transactions!$M$9:$M$5005=3)*ROW(Transactions!$L$9:$L$5005)),0))),"")</f>
        <v>Expense</v>
      </c>
      <c r="F29" s="105" t="str">
        <f ca="1">IFERROR(IF(IFERROR(SUMPRODUCT((Transactions!$L$9:$L$5005=$D$1)*(Transactions!$M$9:$M$5005=3)*ROW(Transactions!$L$9:$L$5005)),0)=0,"",INDEX(Transactions!$G:$G,IFERROR(SUMPRODUCT((Transactions!$L$9:$L$5005=$D$1)*(Transactions!$M$9:$M$5005=3)*ROW(Transactions!$L$9:$L$5005)),0))),"")</f>
        <v>Pawan</v>
      </c>
      <c r="G29" s="106">
        <f ca="1">IFERROR(IF(IFERROR(SUMPRODUCT((Transactions!$L$9:$L$5005=$D$1)*(Transactions!$M$9:$M$5005=3)*ROW(Transactions!$L$9:$L$5005)),0)=0,"",INDEX(Transactions!$H:$H,IFERROR(SUMPRODUCT((Transactions!$L$9:$L$5005=$D$1)*(Transactions!$M$9:$M$5005=3)*ROW(Transactions!$L$9:$L$5005)),0))),"")</f>
        <v>16000</v>
      </c>
      <c r="H29" s="105">
        <f ca="1">IFERROR(IF(IFERROR(SUMPRODUCT((Transactions!$L$9:$L$5005=$D$1)*(Transactions!$M$9:$M$5005=3)*ROW(Transactions!$L$9:$L$5005)),0)=0,"",INDEX(Transactions!$J:$J,IFERROR(SUMPRODUCT((Transactions!$L$9:$L$5005=$D$1)*(Transactions!$M$9:$M$5005=3)*ROW(Transactions!$L$9:$L$5005)),0))),"")</f>
        <v>0</v>
      </c>
      <c r="I29" s="104">
        <f ca="1">IFERROR(IF(IFERROR(SUMPRODUCT((Transactions!$L$9:$L$5005=$D$1)*(Transactions!$M$9:$M$5005=3)*ROW(Transactions!$L$9:$L$5005)),0)=0,"",INDEX(Transactions!$K:$K,IFERROR(SUMPRODUCT((Transactions!$L$9:$L$5005=$D$1)*(Transactions!$M$9:$M$5005=3)*ROW(Transactions!$L$9:$L$5005)),0))),"")</f>
        <v>0</v>
      </c>
      <c r="J29" s="298">
        <f ca="1">IFERROR(IF(IFERROR(SUMPRODUCT((Transactions!$L$9:$L$5005=$D$1)*(Transactions!$M$9:$M$5005=3)*ROW(Transactions!$L$9:$L$5005)),0)=0,"",INDEX(Transactions!$L:$L,IFERROR(SUMPRODUCT((Transactions!$L$9:$L$5005=$D$1)*(Transactions!$M$9:$M$5005=3)*ROW(Transactions!$L$9:$L$5005)),0))),"")</f>
        <v>2023</v>
      </c>
      <c r="N29" s="112">
        <v>45641</v>
      </c>
      <c r="O29" s="245" t="str">
        <v>MBA8</v>
      </c>
      <c r="P29" s="246">
        <v>2024</v>
      </c>
      <c r="Q29" s="246" t="str">
        <v>Expense</v>
      </c>
      <c r="R29" s="106" t="str">
        <v>Ed LOAN</v>
      </c>
      <c r="S29" s="246">
        <v>7423.21</v>
      </c>
      <c r="T29" s="247">
        <v>-7423.21</v>
      </c>
      <c r="U29">
        <v>0</v>
      </c>
      <c r="V29" s="374">
        <v>0</v>
      </c>
      <c r="X29" s="296" t="str" cm="1">
        <f t="array" aca="1" ref="X2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29" s="245" t="str" cm="1">
        <f t="array" aca="1" ref="Y2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29" s="246" t="str" cm="1">
        <f t="array" aca="1" ref="Z2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29" s="246" t="str" cm="1">
        <f t="array" aca="1" ref="AA2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29" s="106" t="str" cm="1">
        <f t="array" aca="1" ref="AB2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29" s="246" t="str" cm="1">
        <f t="array" aca="1" ref="AC2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29" s="247" t="str" cm="1">
        <f t="array" aca="1" ref="AD2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29" s="305" t="str" cm="1">
        <f t="array" aca="1" ref="AE2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30" spans="2:31" ht="16.5" customHeight="1" x14ac:dyDescent="0.2">
      <c r="C30" s="297">
        <f ca="1">IFERROR(IF(IFERROR(SUMPRODUCT((Transactions!$L$9:$L$5005=$D$1)*(Transactions!$M$9:$M$5005=4)*ROW(Transactions!$L$9:$L$5005)),0)=0,"",INDEX(Transactions!$C:$C,IFERROR(SUMPRODUCT((Transactions!$L$9:$L$5005=$D$1)*(Transactions!$M$9:$M$5005=4)*ROW(Transactions!$L$9:$L$5005)),0))),"")</f>
        <v>45026</v>
      </c>
      <c r="D30" s="107" t="str">
        <f ca="1">IFERROR(IF(IFERROR(SUMPRODUCT((Transactions!$L$9:$L$5005=$D$1)*(Transactions!$M$9:$M$5005=4)*ROW(Transactions!$L$9:$L$5005)),0)=0,"",INDEX(Transactions!$D:$D,IFERROR(SUMPRODUCT((Transactions!$L$9:$L$5005=$D$1)*(Transactions!$M$9:$M$5005=4)*ROW(Transactions!$L$9:$L$5005)),0))),"")</f>
        <v>April</v>
      </c>
      <c r="E30" s="108" t="str">
        <f ca="1">IFERROR(IF(IFERROR(SUMPRODUCT((Transactions!$L$9:$L$5005=$D$1)*(Transactions!$M$9:$M$5005=4)*ROW(Transactions!$L$9:$L$5005)),0)=0,"",INDEX(Transactions!$F:$F,IFERROR(SUMPRODUCT((Transactions!$L$9:$L$5005=$D$1)*(Transactions!$M$9:$M$5005=4)*ROW(Transactions!$L$9:$L$5005)),0))),"")</f>
        <v>Investment</v>
      </c>
      <c r="F30" s="108" t="str">
        <f ca="1">IFERROR(IF(IFERROR(SUMPRODUCT((Transactions!$L$9:$L$5005=$D$1)*(Transactions!$M$9:$M$5005=4)*ROW(Transactions!$L$9:$L$5005)),0)=0,"",INDEX(Transactions!$G:$G,IFERROR(SUMPRODUCT((Transactions!$L$9:$L$5005=$D$1)*(Transactions!$M$9:$M$5005=4)*ROW(Transactions!$L$9:$L$5005)),0))),"")</f>
        <v>Saving</v>
      </c>
      <c r="G30" s="109">
        <f ca="1">IFERROR(IF(IFERROR(SUMPRODUCT((Transactions!$L$9:$L$5005=$D$1)*(Transactions!$M$9:$M$5005=4)*ROW(Transactions!$L$9:$L$5005)),0)=0,"",INDEX(Transactions!$H:$H,IFERROR(SUMPRODUCT((Transactions!$L$9:$L$5005=$D$1)*(Transactions!$M$9:$M$5005=4)*ROW(Transactions!$L$9:$L$5005)),0))),"")</f>
        <v>1000</v>
      </c>
      <c r="H30" s="108">
        <f ca="1">IFERROR(IF(IFERROR(SUMPRODUCT((Transactions!$L$9:$L$5005=$D$1)*(Transactions!$M$9:$M$5005=4)*ROW(Transactions!$L$9:$L$5005)),0)=0,"",INDEX(Transactions!$J:$J,IFERROR(SUMPRODUCT((Transactions!$L$9:$L$5005=$D$1)*(Transactions!$M$9:$M$5005=4)*ROW(Transactions!$L$9:$L$5005)),0))),"")</f>
        <v>0</v>
      </c>
      <c r="I30" s="107">
        <f ca="1">IFERROR(IF(IFERROR(SUMPRODUCT((Transactions!$L$9:$L$5005=$D$1)*(Transactions!$M$9:$M$5005=4)*ROW(Transactions!$L$9:$L$5005)),0)=0,"",INDEX(Transactions!$K:$K,IFERROR(SUMPRODUCT((Transactions!$L$9:$L$5005=$D$1)*(Transactions!$M$9:$M$5005=4)*ROW(Transactions!$L$9:$L$5005)),0))),"")</f>
        <v>0</v>
      </c>
      <c r="J30" s="299">
        <f ca="1">IFERROR(IF(IFERROR(SUMPRODUCT((Transactions!$L$9:$L$5005=$D$1)*(Transactions!$M$9:$M$5005=4)*ROW(Transactions!$L$9:$L$5005)),0)=0,"",INDEX(Transactions!$L:$L,IFERROR(SUMPRODUCT((Transactions!$L$9:$L$5005=$D$1)*(Transactions!$M$9:$M$5005=4)*ROW(Transactions!$L$9:$L$5005)),0))),"")</f>
        <v>2023</v>
      </c>
      <c r="N30" s="112">
        <v>45672</v>
      </c>
      <c r="O30" s="245" t="str">
        <v>MBA9</v>
      </c>
      <c r="P30" s="246">
        <v>2025</v>
      </c>
      <c r="Q30" s="246" t="str">
        <v>Expense</v>
      </c>
      <c r="R30" s="106" t="str">
        <v>Ed LOAN</v>
      </c>
      <c r="S30" s="246">
        <v>7406.73</v>
      </c>
      <c r="T30" s="247">
        <v>-7406.73</v>
      </c>
      <c r="U30">
        <v>0</v>
      </c>
      <c r="V30" s="374">
        <v>0</v>
      </c>
      <c r="X30" s="296" t="str" cm="1">
        <f t="array" aca="1" ref="X3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30" s="245" t="str" cm="1">
        <f t="array" aca="1" ref="Y3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30" s="246" t="str" cm="1">
        <f t="array" aca="1" ref="Z3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30" s="246" t="str" cm="1">
        <f t="array" aca="1" ref="AA3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30" s="106" t="str" cm="1">
        <f t="array" aca="1" ref="AB3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30" s="246" t="str" cm="1">
        <f t="array" aca="1" ref="AC3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30" s="247" t="str" cm="1">
        <f t="array" aca="1" ref="AD3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30" s="305" t="str" cm="1">
        <f t="array" aca="1" ref="AE3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31" spans="2:31" ht="16.5" customHeight="1" x14ac:dyDescent="0.2">
      <c r="C31" s="296">
        <f ca="1">IFERROR(IF(IFERROR(SUMPRODUCT((Transactions!$L$9:$L$5005=$D$1)*(Transactions!$M$9:$M$5005=5)*ROW(Transactions!$L$9:$L$5005)),0)=0,"",INDEX(Transactions!$C:$C,IFERROR(SUMPRODUCT((Transactions!$L$9:$L$5005=$D$1)*(Transactions!$M$9:$M$5005=5)*ROW(Transactions!$L$9:$L$5005)),0))),"")</f>
        <v>45028</v>
      </c>
      <c r="D31" s="104" t="str">
        <f ca="1">IFERROR(IF(IFERROR(SUMPRODUCT((Transactions!$L$9:$L$5005=$D$1)*(Transactions!$M$9:$M$5005=5)*ROW(Transactions!$L$9:$L$5005)),0)=0,"",INDEX(Transactions!$D:$D,IFERROR(SUMPRODUCT((Transactions!$L$9:$L$5005=$D$1)*(Transactions!$M$9:$M$5005=5)*ROW(Transactions!$L$9:$L$5005)),0))),"")</f>
        <v>E Bill</v>
      </c>
      <c r="E31" s="105" t="str">
        <f ca="1">IFERROR(IF(IFERROR(SUMPRODUCT((Transactions!$L$9:$L$5005=$D$1)*(Transactions!$M$9:$M$5005=5)*ROW(Transactions!$L$9:$L$5005)),0)=0,"",INDEX(Transactions!$F:$F,IFERROR(SUMPRODUCT((Transactions!$L$9:$L$5005=$D$1)*(Transactions!$M$9:$M$5005=5)*ROW(Transactions!$L$9:$L$5005)),0))),"")</f>
        <v>Expense</v>
      </c>
      <c r="F31" s="105" t="str">
        <f ca="1">IFERROR(IF(IFERROR(SUMPRODUCT((Transactions!$L$9:$L$5005=$D$1)*(Transactions!$M$9:$M$5005=5)*ROW(Transactions!$L$9:$L$5005)),0)=0,"",INDEX(Transactions!$G:$G,IFERROR(SUMPRODUCT((Transactions!$L$9:$L$5005=$D$1)*(Transactions!$M$9:$M$5005=5)*ROW(Transactions!$L$9:$L$5005)),0))),"")</f>
        <v>Home</v>
      </c>
      <c r="G31" s="106">
        <f ca="1">IFERROR(IF(IFERROR(SUMPRODUCT((Transactions!$L$9:$L$5005=$D$1)*(Transactions!$M$9:$M$5005=5)*ROW(Transactions!$L$9:$L$5005)),0)=0,"",INDEX(Transactions!$H:$H,IFERROR(SUMPRODUCT((Transactions!$L$9:$L$5005=$D$1)*(Transactions!$M$9:$M$5005=5)*ROW(Transactions!$L$9:$L$5005)),0))),"")</f>
        <v>1283</v>
      </c>
      <c r="H31" s="105">
        <f ca="1">IFERROR(IF(IFERROR(SUMPRODUCT((Transactions!$L$9:$L$5005=$D$1)*(Transactions!$M$9:$M$5005=5)*ROW(Transactions!$L$9:$L$5005)),0)=0,"",INDEX(Transactions!$J:$J,IFERROR(SUMPRODUCT((Transactions!$L$9:$L$5005=$D$1)*(Transactions!$M$9:$M$5005=5)*ROW(Transactions!$L$9:$L$5005)),0))),"")</f>
        <v>0</v>
      </c>
      <c r="I31" s="104">
        <f ca="1">IFERROR(IF(IFERROR(SUMPRODUCT((Transactions!$L$9:$L$5005=$D$1)*(Transactions!$M$9:$M$5005=5)*ROW(Transactions!$L$9:$L$5005)),0)=0,"",INDEX(Transactions!$K:$K,IFERROR(SUMPRODUCT((Transactions!$L$9:$L$5005=$D$1)*(Transactions!$M$9:$M$5005=5)*ROW(Transactions!$L$9:$L$5005)),0))),"")</f>
        <v>0</v>
      </c>
      <c r="J31" s="298">
        <f ca="1">IFERROR(IF(IFERROR(SUMPRODUCT((Transactions!$L$9:$L$5005=$D$1)*(Transactions!$M$9:$M$5005=5)*ROW(Transactions!$L$9:$L$5005)),0)=0,"",INDEX(Transactions!$L:$L,IFERROR(SUMPRODUCT((Transactions!$L$9:$L$5005=$D$1)*(Transactions!$M$9:$M$5005=5)*ROW(Transactions!$L$9:$L$5005)),0))),"")</f>
        <v>2023</v>
      </c>
      <c r="N31" s="112">
        <v>45692</v>
      </c>
      <c r="O31" s="245" t="str">
        <v>MBA10</v>
      </c>
      <c r="P31" s="246">
        <v>2025</v>
      </c>
      <c r="Q31" s="246" t="str">
        <v>Expense</v>
      </c>
      <c r="R31" s="106" t="str">
        <v>Ed LOAN</v>
      </c>
      <c r="S31" s="246">
        <v>7390.04</v>
      </c>
      <c r="T31" s="247">
        <v>-7390.04</v>
      </c>
      <c r="U31">
        <v>0</v>
      </c>
      <c r="V31" s="374">
        <v>0</v>
      </c>
      <c r="X31" s="296" t="str" cm="1">
        <f t="array" aca="1" ref="X3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31" s="245" t="str" cm="1">
        <f t="array" aca="1" ref="Y3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31" s="246" t="str" cm="1">
        <f t="array" aca="1" ref="Z3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31" s="246" t="str" cm="1">
        <f t="array" aca="1" ref="AA3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31" s="106" t="str" cm="1">
        <f t="array" aca="1" ref="AB3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31" s="246" t="str" cm="1">
        <f t="array" aca="1" ref="AC3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31" s="247" t="str" cm="1">
        <f t="array" aca="1" ref="AD3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31" s="305" t="str" cm="1">
        <f t="array" aca="1" ref="AE3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32" spans="2:31" ht="16.5" customHeight="1" x14ac:dyDescent="0.2">
      <c r="C32" s="297">
        <f ca="1">IFERROR(IF(IFERROR(SUMPRODUCT((Transactions!$L$9:$L$5005=$D$1)*(Transactions!$M$9:$M$5005=6)*ROW(Transactions!$L$9:$L$5005)),0)=0,"",INDEX(Transactions!$C:$C,IFERROR(SUMPRODUCT((Transactions!$L$9:$L$5005=$D$1)*(Transactions!$M$9:$M$5005=6)*ROW(Transactions!$L$9:$L$5005)),0))),"")</f>
        <v>45030</v>
      </c>
      <c r="D32" s="107" t="str">
        <f ca="1">IFERROR(IF(IFERROR(SUMPRODUCT((Transactions!$L$9:$L$5005=$D$1)*(Transactions!$M$9:$M$5005=6)*ROW(Transactions!$L$9:$L$5005)),0)=0,"",INDEX(Transactions!$D:$D,IFERROR(SUMPRODUCT((Transactions!$L$9:$L$5005=$D$1)*(Transactions!$M$9:$M$5005=6)*ROW(Transactions!$L$9:$L$5005)),0))),"")</f>
        <v>Pune: Expense</v>
      </c>
      <c r="E32" s="108" t="str">
        <f ca="1">IFERROR(IF(IFERROR(SUMPRODUCT((Transactions!$L$9:$L$5005=$D$1)*(Transactions!$M$9:$M$5005=6)*ROW(Transactions!$L$9:$L$5005)),0)=0,"",INDEX(Transactions!$F:$F,IFERROR(SUMPRODUCT((Transactions!$L$9:$L$5005=$D$1)*(Transactions!$M$9:$M$5005=6)*ROW(Transactions!$L$9:$L$5005)),0))),"")</f>
        <v>Expense</v>
      </c>
      <c r="F32" s="108" t="str">
        <f ca="1">IFERROR(IF(IFERROR(SUMPRODUCT((Transactions!$L$9:$L$5005=$D$1)*(Transactions!$M$9:$M$5005=6)*ROW(Transactions!$L$9:$L$5005)),0)=0,"",INDEX(Transactions!$G:$G,IFERROR(SUMPRODUCT((Transactions!$L$9:$L$5005=$D$1)*(Transactions!$M$9:$M$5005=6)*ROW(Transactions!$L$9:$L$5005)),0))),"")</f>
        <v>Rajan</v>
      </c>
      <c r="G32" s="109">
        <f ca="1">IFERROR(IF(IFERROR(SUMPRODUCT((Transactions!$L$9:$L$5005=$D$1)*(Transactions!$M$9:$M$5005=6)*ROW(Transactions!$L$9:$L$5005)),0)=0,"",INDEX(Transactions!$H:$H,IFERROR(SUMPRODUCT((Transactions!$L$9:$L$5005=$D$1)*(Transactions!$M$9:$M$5005=6)*ROW(Transactions!$L$9:$L$5005)),0))),"")</f>
        <v>2000</v>
      </c>
      <c r="H32" s="108">
        <f ca="1">IFERROR(IF(IFERROR(SUMPRODUCT((Transactions!$L$9:$L$5005=$D$1)*(Transactions!$M$9:$M$5005=6)*ROW(Transactions!$L$9:$L$5005)),0)=0,"",INDEX(Transactions!$J:$J,IFERROR(SUMPRODUCT((Transactions!$L$9:$L$5005=$D$1)*(Transactions!$M$9:$M$5005=6)*ROW(Transactions!$L$9:$L$5005)),0))),"")</f>
        <v>0</v>
      </c>
      <c r="I32" s="107">
        <f ca="1">IFERROR(IF(IFERROR(SUMPRODUCT((Transactions!$L$9:$L$5005=$D$1)*(Transactions!$M$9:$M$5005=6)*ROW(Transactions!$L$9:$L$5005)),0)=0,"",INDEX(Transactions!$K:$K,IFERROR(SUMPRODUCT((Transactions!$L$9:$L$5005=$D$1)*(Transactions!$M$9:$M$5005=6)*ROW(Transactions!$L$9:$L$5005)),0))),"")</f>
        <v>0</v>
      </c>
      <c r="J32" s="299">
        <f ca="1">IFERROR(IF(IFERROR(SUMPRODUCT((Transactions!$L$9:$L$5005=$D$1)*(Transactions!$M$9:$M$5005=6)*ROW(Transactions!$L$9:$L$5005)),0)=0,"",INDEX(Transactions!$L:$L,IFERROR(SUMPRODUCT((Transactions!$L$9:$L$5005=$D$1)*(Transactions!$M$9:$M$5005=6)*ROW(Transactions!$L$9:$L$5005)),0))),"")</f>
        <v>2023</v>
      </c>
      <c r="N32" s="112">
        <v>45734</v>
      </c>
      <c r="O32" s="245" t="str">
        <v>MBA11</v>
      </c>
      <c r="P32" s="246">
        <v>2025</v>
      </c>
      <c r="Q32" s="246" t="str">
        <v>Expense</v>
      </c>
      <c r="R32" s="106" t="str">
        <v>Ed LOAN</v>
      </c>
      <c r="S32" s="246">
        <v>7373.12</v>
      </c>
      <c r="T32" s="247">
        <v>-7373.12</v>
      </c>
      <c r="U32">
        <v>0</v>
      </c>
      <c r="V32" s="374">
        <v>0</v>
      </c>
      <c r="X32" s="296" t="str" cm="1">
        <f t="array" aca="1" ref="X3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32" s="245" t="str" cm="1">
        <f t="array" aca="1" ref="Y3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32" s="246" t="str" cm="1">
        <f t="array" aca="1" ref="Z3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32" s="246" t="str" cm="1">
        <f t="array" aca="1" ref="AA3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32" s="106" t="str" cm="1">
        <f t="array" aca="1" ref="AB3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32" s="246" t="str" cm="1">
        <f t="array" aca="1" ref="AC3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32" s="247" t="str" cm="1">
        <f t="array" aca="1" ref="AD3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32" s="305" t="str" cm="1">
        <f t="array" aca="1" ref="AE3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33" spans="3:31" ht="16.5" customHeight="1" x14ac:dyDescent="0.2">
      <c r="C33" s="296">
        <f ca="1">IFERROR(IF(IFERROR(SUMPRODUCT((Transactions!$L$9:$L$5005=$D$1)*(Transactions!$M$9:$M$5005=7)*ROW(Transactions!$L$9:$L$5005)),0)=0,"",INDEX(Transactions!$C:$C,IFERROR(SUMPRODUCT((Transactions!$L$9:$L$5005=$D$1)*(Transactions!$M$9:$M$5005=7)*ROW(Transactions!$L$9:$L$5005)),0))),"")</f>
        <v>45039</v>
      </c>
      <c r="D33" s="104" t="str">
        <f ca="1">IFERROR(IF(IFERROR(SUMPRODUCT((Transactions!$L$9:$L$5005=$D$1)*(Transactions!$M$9:$M$5005=7)*ROW(Transactions!$L$9:$L$5005)),0)=0,"",INDEX(Transactions!$D:$D,IFERROR(SUMPRODUCT((Transactions!$L$9:$L$5005=$D$1)*(Transactions!$M$9:$M$5005=7)*ROW(Transactions!$L$9:$L$5005)),0))),"")</f>
        <v>Data Science 9000</v>
      </c>
      <c r="E33" s="105" t="str">
        <f ca="1">IFERROR(IF(IFERROR(SUMPRODUCT((Transactions!$L$9:$L$5005=$D$1)*(Transactions!$M$9:$M$5005=7)*ROW(Transactions!$L$9:$L$5005)),0)=0,"",INDEX(Transactions!$F:$F,IFERROR(SUMPRODUCT((Transactions!$L$9:$L$5005=$D$1)*(Transactions!$M$9:$M$5005=7)*ROW(Transactions!$L$9:$L$5005)),0))),"")</f>
        <v>Expense</v>
      </c>
      <c r="F33" s="105" t="str">
        <f ca="1">IFERROR(IF(IFERROR(SUMPRODUCT((Transactions!$L$9:$L$5005=$D$1)*(Transactions!$M$9:$M$5005=7)*ROW(Transactions!$L$9:$L$5005)),0)=0,"",INDEX(Transactions!$G:$G,IFERROR(SUMPRODUCT((Transactions!$L$9:$L$5005=$D$1)*(Transactions!$M$9:$M$5005=7)*ROW(Transactions!$L$9:$L$5005)),0))),"")</f>
        <v>Rajan</v>
      </c>
      <c r="G33" s="106">
        <f ca="1">IFERROR(IF(IFERROR(SUMPRODUCT((Transactions!$L$9:$L$5005=$D$1)*(Transactions!$M$9:$M$5005=7)*ROW(Transactions!$L$9:$L$5005)),0)=0,"",INDEX(Transactions!$H:$H,IFERROR(SUMPRODUCT((Transactions!$L$9:$L$5005=$D$1)*(Transactions!$M$9:$M$5005=7)*ROW(Transactions!$L$9:$L$5005)),0))),"")</f>
        <v>9000</v>
      </c>
      <c r="H33" s="105">
        <f ca="1">IFERROR(IF(IFERROR(SUMPRODUCT((Transactions!$L$9:$L$5005=$D$1)*(Transactions!$M$9:$M$5005=7)*ROW(Transactions!$L$9:$L$5005)),0)=0,"",INDEX(Transactions!$J:$J,IFERROR(SUMPRODUCT((Transactions!$L$9:$L$5005=$D$1)*(Transactions!$M$9:$M$5005=7)*ROW(Transactions!$L$9:$L$5005)),0))),"")</f>
        <v>0</v>
      </c>
      <c r="I33" s="104">
        <f ca="1">IFERROR(IF(IFERROR(SUMPRODUCT((Transactions!$L$9:$L$5005=$D$1)*(Transactions!$M$9:$M$5005=7)*ROW(Transactions!$L$9:$L$5005)),0)=0,"",INDEX(Transactions!$K:$K,IFERROR(SUMPRODUCT((Transactions!$L$9:$L$5005=$D$1)*(Transactions!$M$9:$M$5005=7)*ROW(Transactions!$L$9:$L$5005)),0))),"")</f>
        <v>0</v>
      </c>
      <c r="J33" s="298">
        <f ca="1">IFERROR(IF(IFERROR(SUMPRODUCT((Transactions!$L$9:$L$5005=$D$1)*(Transactions!$M$9:$M$5005=7)*ROW(Transactions!$L$9:$L$5005)),0)=0,"",INDEX(Transactions!$L:$L,IFERROR(SUMPRODUCT((Transactions!$L$9:$L$5005=$D$1)*(Transactions!$M$9:$M$5005=7)*ROW(Transactions!$L$9:$L$5005)),0))),"")</f>
        <v>2023</v>
      </c>
      <c r="N33" s="112">
        <v>45752</v>
      </c>
      <c r="O33" s="245" t="str">
        <v>MBA12</v>
      </c>
      <c r="P33" s="246">
        <v>2025</v>
      </c>
      <c r="Q33" s="246" t="str">
        <v>Expense</v>
      </c>
      <c r="R33" s="106" t="str">
        <v>Ed LOAN</v>
      </c>
      <c r="S33" s="246">
        <v>7355.98</v>
      </c>
      <c r="T33" s="247">
        <v>-7355.98</v>
      </c>
      <c r="U33">
        <v>0</v>
      </c>
      <c r="V33" s="374">
        <v>0</v>
      </c>
      <c r="X33" s="296" t="str" cm="1">
        <f t="array" aca="1" ref="X3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33" s="245" t="str" cm="1">
        <f t="array" aca="1" ref="Y3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33" s="246" t="str" cm="1">
        <f t="array" aca="1" ref="Z3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33" s="246" t="str" cm="1">
        <f t="array" aca="1" ref="AA3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33" s="106" t="str" cm="1">
        <f t="array" aca="1" ref="AB3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33" s="246" t="str" cm="1">
        <f t="array" aca="1" ref="AC3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33" s="247" t="str" cm="1">
        <f t="array" aca="1" ref="AD3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33" s="305" t="str" cm="1">
        <f t="array" aca="1" ref="AE3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34" spans="3:31" ht="16.5" customHeight="1" x14ac:dyDescent="0.2">
      <c r="C34" s="297">
        <f ca="1">IFERROR(IF(IFERROR(SUMPRODUCT((Transactions!$L$9:$L$5005=$D$1)*(Transactions!$M$9:$M$5005=8)*ROW(Transactions!$L$9:$L$5005)),0)=0,"",INDEX(Transactions!$C:$C,IFERROR(SUMPRODUCT((Transactions!$L$9:$L$5005=$D$1)*(Transactions!$M$9:$M$5005=8)*ROW(Transactions!$L$9:$L$5005)),0))),"")</f>
        <v>45044</v>
      </c>
      <c r="D34" s="107" t="str">
        <f ca="1">IFERROR(IF(IFERROR(SUMPRODUCT((Transactions!$L$9:$L$5005=$D$1)*(Transactions!$M$9:$M$5005=8)*ROW(Transactions!$L$9:$L$5005)),0)=0,"",INDEX(Transactions!$D:$D,IFERROR(SUMPRODUCT((Transactions!$L$9:$L$5005=$D$1)*(Transactions!$M$9:$M$5005=8)*ROW(Transactions!$L$9:$L$5005)),0))),"")</f>
        <v>Cognizant Apr</v>
      </c>
      <c r="E34" s="108" t="str">
        <f ca="1">IFERROR(IF(IFERROR(SUMPRODUCT((Transactions!$L$9:$L$5005=$D$1)*(Transactions!$M$9:$M$5005=8)*ROW(Transactions!$L$9:$L$5005)),0)=0,"",INDEX(Transactions!$F:$F,IFERROR(SUMPRODUCT((Transactions!$L$9:$L$5005=$D$1)*(Transactions!$M$9:$M$5005=8)*ROW(Transactions!$L$9:$L$5005)),0))),"")</f>
        <v>Income</v>
      </c>
      <c r="F34" s="108" t="str">
        <f ca="1">IFERROR(IF(IFERROR(SUMPRODUCT((Transactions!$L$9:$L$5005=$D$1)*(Transactions!$M$9:$M$5005=8)*ROW(Transactions!$L$9:$L$5005)),0)=0,"",INDEX(Transactions!$G:$G,IFERROR(SUMPRODUCT((Transactions!$L$9:$L$5005=$D$1)*(Transactions!$M$9:$M$5005=8)*ROW(Transactions!$L$9:$L$5005)),0))),"")</f>
        <v>Salary</v>
      </c>
      <c r="G34" s="109">
        <f ca="1">IFERROR(IF(IFERROR(SUMPRODUCT((Transactions!$L$9:$L$5005=$D$1)*(Transactions!$M$9:$M$5005=8)*ROW(Transactions!$L$9:$L$5005)),0)=0,"",INDEX(Transactions!$H:$H,IFERROR(SUMPRODUCT((Transactions!$L$9:$L$5005=$D$1)*(Transactions!$M$9:$M$5005=8)*ROW(Transactions!$L$9:$L$5005)),0))),"")</f>
        <v>34000</v>
      </c>
      <c r="H34" s="108">
        <f ca="1">IFERROR(IF(IFERROR(SUMPRODUCT((Transactions!$L$9:$L$5005=$D$1)*(Transactions!$M$9:$M$5005=8)*ROW(Transactions!$L$9:$L$5005)),0)=0,"",INDEX(Transactions!$J:$J,IFERROR(SUMPRODUCT((Transactions!$L$9:$L$5005=$D$1)*(Transactions!$M$9:$M$5005=8)*ROW(Transactions!$L$9:$L$5005)),0))),"")</f>
        <v>0</v>
      </c>
      <c r="I34" s="107">
        <f ca="1">IFERROR(IF(IFERROR(SUMPRODUCT((Transactions!$L$9:$L$5005=$D$1)*(Transactions!$M$9:$M$5005=8)*ROW(Transactions!$L$9:$L$5005)),0)=0,"",INDEX(Transactions!$K:$K,IFERROR(SUMPRODUCT((Transactions!$L$9:$L$5005=$D$1)*(Transactions!$M$9:$M$5005=8)*ROW(Transactions!$L$9:$L$5005)),0))),"")</f>
        <v>0</v>
      </c>
      <c r="J34" s="299">
        <f ca="1">IFERROR(IF(IFERROR(SUMPRODUCT((Transactions!$L$9:$L$5005=$D$1)*(Transactions!$M$9:$M$5005=8)*ROW(Transactions!$L$9:$L$5005)),0)=0,"",INDEX(Transactions!$L:$L,IFERROR(SUMPRODUCT((Transactions!$L$9:$L$5005=$D$1)*(Transactions!$M$9:$M$5005=8)*ROW(Transactions!$L$9:$L$5005)),0))),"")</f>
        <v>2023</v>
      </c>
      <c r="N34" s="112"/>
      <c r="O34" s="245"/>
      <c r="P34" s="246"/>
      <c r="Q34" s="246"/>
      <c r="R34" s="106"/>
      <c r="S34" s="246"/>
      <c r="T34" s="247"/>
      <c r="X34" s="296" t="str" cm="1">
        <f t="array" aca="1" ref="X3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34" s="245" t="str" cm="1">
        <f t="array" aca="1" ref="Y3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34" s="246" t="str" cm="1">
        <f t="array" aca="1" ref="Z3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34" s="246" t="str" cm="1">
        <f t="array" aca="1" ref="AA3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34" s="106" t="str" cm="1">
        <f t="array" aca="1" ref="AB3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34" s="246" t="str" cm="1">
        <f t="array" aca="1" ref="AC3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34" s="247" t="str" cm="1">
        <f t="array" aca="1" ref="AD3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34" s="305" t="str" cm="1">
        <f t="array" aca="1" ref="AE3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35" spans="3:31" ht="16.5" customHeight="1" x14ac:dyDescent="0.2">
      <c r="C35" s="296">
        <f ca="1">IFERROR(IF(IFERROR(SUMPRODUCT((Transactions!$L$9:$L$5005=$D$1)*(Transactions!$M$9:$M$5005=9)*ROW(Transactions!$L$9:$L$5005)),0)=0,"",INDEX(Transactions!$C:$C,IFERROR(SUMPRODUCT((Transactions!$L$9:$L$5005=$D$1)*(Transactions!$M$9:$M$5005=9)*ROW(Transactions!$L$9:$L$5005)),0))),"")</f>
        <v>45047</v>
      </c>
      <c r="D35" s="104" t="str">
        <f ca="1">IFERROR(IF(IFERROR(SUMPRODUCT((Transactions!$L$9:$L$5005=$D$1)*(Transactions!$M$9:$M$5005=9)*ROW(Transactions!$L$9:$L$5005)),0)=0,"",INDEX(Transactions!$D:$D,IFERROR(SUMPRODUCT((Transactions!$L$9:$L$5005=$D$1)*(Transactions!$M$9:$M$5005=9)*ROW(Transactions!$L$9:$L$5005)),0))),"")</f>
        <v>Pune: May PG</v>
      </c>
      <c r="E35" s="105" t="str">
        <f ca="1">IFERROR(IF(IFERROR(SUMPRODUCT((Transactions!$L$9:$L$5005=$D$1)*(Transactions!$M$9:$M$5005=9)*ROW(Transactions!$L$9:$L$5005)),0)=0,"",INDEX(Transactions!$F:$F,IFERROR(SUMPRODUCT((Transactions!$L$9:$L$5005=$D$1)*(Transactions!$M$9:$M$5005=9)*ROW(Transactions!$L$9:$L$5005)),0))),"")</f>
        <v>Expense</v>
      </c>
      <c r="F35" s="105" t="str">
        <f ca="1">IFERROR(IF(IFERROR(SUMPRODUCT((Transactions!$L$9:$L$5005=$D$1)*(Transactions!$M$9:$M$5005=9)*ROW(Transactions!$L$9:$L$5005)),0)=0,"",INDEX(Transactions!$G:$G,IFERROR(SUMPRODUCT((Transactions!$L$9:$L$5005=$D$1)*(Transactions!$M$9:$M$5005=9)*ROW(Transactions!$L$9:$L$5005)),0))),"")</f>
        <v>Rajan</v>
      </c>
      <c r="G35" s="106">
        <f ca="1">IFERROR(IF(IFERROR(SUMPRODUCT((Transactions!$L$9:$L$5005=$D$1)*(Transactions!$M$9:$M$5005=9)*ROW(Transactions!$L$9:$L$5005)),0)=0,"",INDEX(Transactions!$H:$H,IFERROR(SUMPRODUCT((Transactions!$L$9:$L$5005=$D$1)*(Transactions!$M$9:$M$5005=9)*ROW(Transactions!$L$9:$L$5005)),0))),"")</f>
        <v>8000</v>
      </c>
      <c r="H35" s="105">
        <f ca="1">IFERROR(IF(IFERROR(SUMPRODUCT((Transactions!$L$9:$L$5005=$D$1)*(Transactions!$M$9:$M$5005=9)*ROW(Transactions!$L$9:$L$5005)),0)=0,"",INDEX(Transactions!$J:$J,IFERROR(SUMPRODUCT((Transactions!$L$9:$L$5005=$D$1)*(Transactions!$M$9:$M$5005=9)*ROW(Transactions!$L$9:$L$5005)),0))),"")</f>
        <v>0</v>
      </c>
      <c r="I35" s="104">
        <f ca="1">IFERROR(IF(IFERROR(SUMPRODUCT((Transactions!$L$9:$L$5005=$D$1)*(Transactions!$M$9:$M$5005=9)*ROW(Transactions!$L$9:$L$5005)),0)=0,"",INDEX(Transactions!$K:$K,IFERROR(SUMPRODUCT((Transactions!$L$9:$L$5005=$D$1)*(Transactions!$M$9:$M$5005=9)*ROW(Transactions!$L$9:$L$5005)),0))),"")</f>
        <v>0</v>
      </c>
      <c r="J35" s="298">
        <f ca="1">IFERROR(IF(IFERROR(SUMPRODUCT((Transactions!$L$9:$L$5005=$D$1)*(Transactions!$M$9:$M$5005=9)*ROW(Transactions!$L$9:$L$5005)),0)=0,"",INDEX(Transactions!$L:$L,IFERROR(SUMPRODUCT((Transactions!$L$9:$L$5005=$D$1)*(Transactions!$M$9:$M$5005=9)*ROW(Transactions!$L$9:$L$5005)),0))),"")</f>
        <v>2023</v>
      </c>
      <c r="N35" s="112"/>
      <c r="O35" s="245"/>
      <c r="P35" s="246"/>
      <c r="Q35" s="246"/>
      <c r="R35" s="106"/>
      <c r="S35" s="246"/>
      <c r="T35" s="247"/>
      <c r="X35" s="296" t="str" cm="1">
        <f t="array" aca="1" ref="X3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35" s="245" t="str" cm="1">
        <f t="array" aca="1" ref="Y3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35" s="246" t="str" cm="1">
        <f t="array" aca="1" ref="Z3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35" s="246" t="str" cm="1">
        <f t="array" aca="1" ref="AA3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35" s="106" t="str" cm="1">
        <f t="array" aca="1" ref="AB3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35" s="246" t="str" cm="1">
        <f t="array" aca="1" ref="AC3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35" s="247" t="str" cm="1">
        <f t="array" aca="1" ref="AD3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35" s="305" t="str" cm="1">
        <f t="array" aca="1" ref="AE3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36" spans="3:31" ht="16.5" customHeight="1" x14ac:dyDescent="0.2">
      <c r="C36" s="297">
        <f ca="1">IFERROR(IF(IFERROR(SUMPRODUCT((Transactions!$L$9:$L$5005=$D$1)*(Transactions!$M$9:$M$5005=10)*ROW(Transactions!$L$9:$L$5005)),0)=0,"",INDEX(Transactions!$C:$C,IFERROR(SUMPRODUCT((Transactions!$L$9:$L$5005=$D$1)*(Transactions!$M$9:$M$5005=10)*ROW(Transactions!$L$9:$L$5005)),0))),"")</f>
        <v>45047</v>
      </c>
      <c r="D36" s="107" t="str">
        <f ca="1">IFERROR(IF(IFERROR(SUMPRODUCT((Transactions!$L$9:$L$5005=$D$1)*(Transactions!$M$9:$M$5005=10)*ROW(Transactions!$L$9:$L$5005)),0)=0,"",INDEX(Transactions!$D:$D,IFERROR(SUMPRODUCT((Transactions!$L$9:$L$5005=$D$1)*(Transactions!$M$9:$M$5005=10)*ROW(Transactions!$L$9:$L$5005)),0))),"")</f>
        <v>Pune: Expense</v>
      </c>
      <c r="E36" s="108" t="str">
        <f ca="1">IFERROR(IF(IFERROR(SUMPRODUCT((Transactions!$L$9:$L$5005=$D$1)*(Transactions!$M$9:$M$5005=10)*ROW(Transactions!$L$9:$L$5005)),0)=0,"",INDEX(Transactions!$F:$F,IFERROR(SUMPRODUCT((Transactions!$L$9:$L$5005=$D$1)*(Transactions!$M$9:$M$5005=10)*ROW(Transactions!$L$9:$L$5005)),0))),"")</f>
        <v>Expense</v>
      </c>
      <c r="F36" s="108" t="str">
        <f ca="1">IFERROR(IF(IFERROR(SUMPRODUCT((Transactions!$L$9:$L$5005=$D$1)*(Transactions!$M$9:$M$5005=10)*ROW(Transactions!$L$9:$L$5005)),0)=0,"",INDEX(Transactions!$G:$G,IFERROR(SUMPRODUCT((Transactions!$L$9:$L$5005=$D$1)*(Transactions!$M$9:$M$5005=10)*ROW(Transactions!$L$9:$L$5005)),0))),"")</f>
        <v>Rajan</v>
      </c>
      <c r="G36" s="109">
        <f ca="1">IFERROR(IF(IFERROR(SUMPRODUCT((Transactions!$L$9:$L$5005=$D$1)*(Transactions!$M$9:$M$5005=10)*ROW(Transactions!$L$9:$L$5005)),0)=0,"",INDEX(Transactions!$H:$H,IFERROR(SUMPRODUCT((Transactions!$L$9:$L$5005=$D$1)*(Transactions!$M$9:$M$5005=10)*ROW(Transactions!$L$9:$L$5005)),0))),"")</f>
        <v>3000</v>
      </c>
      <c r="H36" s="108">
        <f ca="1">IFERROR(IF(IFERROR(SUMPRODUCT((Transactions!$L$9:$L$5005=$D$1)*(Transactions!$M$9:$M$5005=10)*ROW(Transactions!$L$9:$L$5005)),0)=0,"",INDEX(Transactions!$J:$J,IFERROR(SUMPRODUCT((Transactions!$L$9:$L$5005=$D$1)*(Transactions!$M$9:$M$5005=10)*ROW(Transactions!$L$9:$L$5005)),0))),"")</f>
        <v>0</v>
      </c>
      <c r="I36" s="107">
        <f ca="1">IFERROR(IF(IFERROR(SUMPRODUCT((Transactions!$L$9:$L$5005=$D$1)*(Transactions!$M$9:$M$5005=10)*ROW(Transactions!$L$9:$L$5005)),0)=0,"",INDEX(Transactions!$K:$K,IFERROR(SUMPRODUCT((Transactions!$L$9:$L$5005=$D$1)*(Transactions!$M$9:$M$5005=10)*ROW(Transactions!$L$9:$L$5005)),0))),"")</f>
        <v>0</v>
      </c>
      <c r="J36" s="299">
        <f ca="1">IFERROR(IF(IFERROR(SUMPRODUCT((Transactions!$L$9:$L$5005=$D$1)*(Transactions!$M$9:$M$5005=10)*ROW(Transactions!$L$9:$L$5005)),0)=0,"",INDEX(Transactions!$L:$L,IFERROR(SUMPRODUCT((Transactions!$L$9:$L$5005=$D$1)*(Transactions!$M$9:$M$5005=10)*ROW(Transactions!$L$9:$L$5005)),0))),"")</f>
        <v>2023</v>
      </c>
      <c r="N36" s="112"/>
      <c r="O36" s="245"/>
      <c r="P36" s="246"/>
      <c r="Q36" s="246"/>
      <c r="R36" s="106"/>
      <c r="S36" s="246"/>
      <c r="T36" s="247"/>
      <c r="X36" s="296" t="str" cm="1">
        <f t="array" aca="1" ref="X3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36" s="245" t="str" cm="1">
        <f t="array" aca="1" ref="Y3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36" s="246" t="str" cm="1">
        <f t="array" aca="1" ref="Z3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36" s="246" t="str" cm="1">
        <f t="array" aca="1" ref="AA3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36" s="106" t="str" cm="1">
        <f t="array" aca="1" ref="AB3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36" s="246" t="str" cm="1">
        <f t="array" aca="1" ref="AC3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36" s="247" t="str" cm="1">
        <f t="array" aca="1" ref="AD3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36" s="305" t="str" cm="1">
        <f t="array" aca="1" ref="AE3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37" spans="3:31" ht="16.5" customHeight="1" x14ac:dyDescent="0.2">
      <c r="C37" s="296">
        <f ca="1">IFERROR(IF(IFERROR(SUMPRODUCT((Transactions!$L$9:$L$5005=$D$1)*(Transactions!$M$9:$M$5005=11)*ROW(Transactions!$L$9:$L$5005)),0)=0,"",INDEX(Transactions!$C:$C,IFERROR(SUMPRODUCT((Transactions!$L$9:$L$5005=$D$1)*(Transactions!$M$9:$M$5005=11)*ROW(Transactions!$L$9:$L$5005)),0))),"")</f>
        <v>45049</v>
      </c>
      <c r="D37" s="104" t="str">
        <f ca="1">IFERROR(IF(IFERROR(SUMPRODUCT((Transactions!$L$9:$L$5005=$D$1)*(Transactions!$M$9:$M$5005=11)*ROW(Transactions!$L$9:$L$5005)),0)=0,"",INDEX(Transactions!$D:$D,IFERROR(SUMPRODUCT((Transactions!$L$9:$L$5005=$D$1)*(Transactions!$M$9:$M$5005=11)*ROW(Transactions!$L$9:$L$5005)),0))),"")</f>
        <v>MBA2</v>
      </c>
      <c r="E37" s="105" t="str">
        <f ca="1">IFERROR(IF(IFERROR(SUMPRODUCT((Transactions!$L$9:$L$5005=$D$1)*(Transactions!$M$9:$M$5005=11)*ROW(Transactions!$L$9:$L$5005)),0)=0,"",INDEX(Transactions!$F:$F,IFERROR(SUMPRODUCT((Transactions!$L$9:$L$5005=$D$1)*(Transactions!$M$9:$M$5005=11)*ROW(Transactions!$L$9:$L$5005)),0))),"")</f>
        <v>Expense</v>
      </c>
      <c r="F37" s="105" t="str">
        <f ca="1">IFERROR(IF(IFERROR(SUMPRODUCT((Transactions!$L$9:$L$5005=$D$1)*(Transactions!$M$9:$M$5005=11)*ROW(Transactions!$L$9:$L$5005)),0)=0,"",INDEX(Transactions!$G:$G,IFERROR(SUMPRODUCT((Transactions!$L$9:$L$5005=$D$1)*(Transactions!$M$9:$M$5005=11)*ROW(Transactions!$L$9:$L$5005)),0))),"")</f>
        <v>Ed LOAN</v>
      </c>
      <c r="G37" s="106">
        <f ca="1">IFERROR(IF(IFERROR(SUMPRODUCT((Transactions!$L$9:$L$5005=$D$1)*(Transactions!$M$9:$M$5005=11)*ROW(Transactions!$L$9:$L$5005)),0)=0,"",INDEX(Transactions!$H:$H,IFERROR(SUMPRODUCT((Transactions!$L$9:$L$5005=$D$1)*(Transactions!$M$9:$M$5005=11)*ROW(Transactions!$L$9:$L$5005)),0))),"")</f>
        <v>6881</v>
      </c>
      <c r="H37" s="105">
        <f ca="1">IFERROR(IF(IFERROR(SUMPRODUCT((Transactions!$L$9:$L$5005=$D$1)*(Transactions!$M$9:$M$5005=11)*ROW(Transactions!$L$9:$L$5005)),0)=0,"",INDEX(Transactions!$J:$J,IFERROR(SUMPRODUCT((Transactions!$L$9:$L$5005=$D$1)*(Transactions!$M$9:$M$5005=11)*ROW(Transactions!$L$9:$L$5005)),0))),"")</f>
        <v>0</v>
      </c>
      <c r="I37" s="104">
        <f ca="1">IFERROR(IF(IFERROR(SUMPRODUCT((Transactions!$L$9:$L$5005=$D$1)*(Transactions!$M$9:$M$5005=11)*ROW(Transactions!$L$9:$L$5005)),0)=0,"",INDEX(Transactions!$K:$K,IFERROR(SUMPRODUCT((Transactions!$L$9:$L$5005=$D$1)*(Transactions!$M$9:$M$5005=11)*ROW(Transactions!$L$9:$L$5005)),0))),"")</f>
        <v>0</v>
      </c>
      <c r="J37" s="298">
        <f ca="1">IFERROR(IF(IFERROR(SUMPRODUCT((Transactions!$L$9:$L$5005=$D$1)*(Transactions!$M$9:$M$5005=11)*ROW(Transactions!$L$9:$L$5005)),0)=0,"",INDEX(Transactions!$L:$L,IFERROR(SUMPRODUCT((Transactions!$L$9:$L$5005=$D$1)*(Transactions!$M$9:$M$5005=11)*ROW(Transactions!$L$9:$L$5005)),0))),"")</f>
        <v>2023</v>
      </c>
      <c r="N37" s="112"/>
      <c r="O37" s="245"/>
      <c r="P37" s="246"/>
      <c r="Q37" s="246"/>
      <c r="R37" s="106"/>
      <c r="S37" s="246"/>
      <c r="T37" s="247"/>
      <c r="X37" s="296" t="str" cm="1">
        <f t="array" aca="1" ref="X3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37" s="245" t="str" cm="1">
        <f t="array" aca="1" ref="Y3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37" s="246" t="str" cm="1">
        <f t="array" aca="1" ref="Z3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37" s="246" t="str" cm="1">
        <f t="array" aca="1" ref="AA3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37" s="106" t="str" cm="1">
        <f t="array" aca="1" ref="AB3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37" s="246" t="str" cm="1">
        <f t="array" aca="1" ref="AC3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37" s="247" t="str" cm="1">
        <f t="array" aca="1" ref="AD3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37" s="305" t="str" cm="1">
        <f t="array" aca="1" ref="AE3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38" spans="3:31" ht="16.5" customHeight="1" x14ac:dyDescent="0.2">
      <c r="C38" s="297">
        <f ca="1">IFERROR(IF(IFERROR(SUMPRODUCT((Transactions!$L$9:$L$5005=$D$1)*(Transactions!$M$9:$M$5005=12)*ROW(Transactions!$L$9:$L$5005)),0)=0,"",INDEX(Transactions!$C:$C,IFERROR(SUMPRODUCT((Transactions!$L$9:$L$5005=$D$1)*(Transactions!$M$9:$M$5005=12)*ROW(Transactions!$L$9:$L$5005)),0))),"")</f>
        <v>45049</v>
      </c>
      <c r="D38" s="107" t="str">
        <f ca="1">IFERROR(IF(IFERROR(SUMPRODUCT((Transactions!$L$9:$L$5005=$D$1)*(Transactions!$M$9:$M$5005=12)*ROW(Transactions!$L$9:$L$5005)),0)=0,"",INDEX(Transactions!$D:$D,IFERROR(SUMPRODUCT((Transactions!$L$9:$L$5005=$D$1)*(Transactions!$M$9:$M$5005=12)*ROW(Transactions!$L$9:$L$5005)),0))),"")</f>
        <v xml:space="preserve">May  </v>
      </c>
      <c r="E38" s="108" t="str">
        <f ca="1">IFERROR(IF(IFERROR(SUMPRODUCT((Transactions!$L$9:$L$5005=$D$1)*(Transactions!$M$9:$M$5005=12)*ROW(Transactions!$L$9:$L$5005)),0)=0,"",INDEX(Transactions!$F:$F,IFERROR(SUMPRODUCT((Transactions!$L$9:$L$5005=$D$1)*(Transactions!$M$9:$M$5005=12)*ROW(Transactions!$L$9:$L$5005)),0))),"")</f>
        <v>Expense</v>
      </c>
      <c r="F38" s="108" t="str">
        <f ca="1">IFERROR(IF(IFERROR(SUMPRODUCT((Transactions!$L$9:$L$5005=$D$1)*(Transactions!$M$9:$M$5005=12)*ROW(Transactions!$L$9:$L$5005)),0)=0,"",INDEX(Transactions!$G:$G,IFERROR(SUMPRODUCT((Transactions!$L$9:$L$5005=$D$1)*(Transactions!$M$9:$M$5005=12)*ROW(Transactions!$L$9:$L$5005)),0))),"")</f>
        <v>Pawan</v>
      </c>
      <c r="G38" s="109">
        <f ca="1">IFERROR(IF(IFERROR(SUMPRODUCT((Transactions!$L$9:$L$5005=$D$1)*(Transactions!$M$9:$M$5005=12)*ROW(Transactions!$L$9:$L$5005)),0)=0,"",INDEX(Transactions!$H:$H,IFERROR(SUMPRODUCT((Transactions!$L$9:$L$5005=$D$1)*(Transactions!$M$9:$M$5005=12)*ROW(Transactions!$L$9:$L$5005)),0))),"")</f>
        <v>4000</v>
      </c>
      <c r="H38" s="108">
        <f ca="1">IFERROR(IF(IFERROR(SUMPRODUCT((Transactions!$L$9:$L$5005=$D$1)*(Transactions!$M$9:$M$5005=12)*ROW(Transactions!$L$9:$L$5005)),0)=0,"",INDEX(Transactions!$J:$J,IFERROR(SUMPRODUCT((Transactions!$L$9:$L$5005=$D$1)*(Transactions!$M$9:$M$5005=12)*ROW(Transactions!$L$9:$L$5005)),0))),"")</f>
        <v>0</v>
      </c>
      <c r="I38" s="107">
        <f ca="1">IFERROR(IF(IFERROR(SUMPRODUCT((Transactions!$L$9:$L$5005=$D$1)*(Transactions!$M$9:$M$5005=12)*ROW(Transactions!$L$9:$L$5005)),0)=0,"",INDEX(Transactions!$K:$K,IFERROR(SUMPRODUCT((Transactions!$L$9:$L$5005=$D$1)*(Transactions!$M$9:$M$5005=12)*ROW(Transactions!$L$9:$L$5005)),0))),"")</f>
        <v>0</v>
      </c>
      <c r="J38" s="299">
        <f ca="1">IFERROR(IF(IFERROR(SUMPRODUCT((Transactions!$L$9:$L$5005=$D$1)*(Transactions!$M$9:$M$5005=12)*ROW(Transactions!$L$9:$L$5005)),0)=0,"",INDEX(Transactions!$L:$L,IFERROR(SUMPRODUCT((Transactions!$L$9:$L$5005=$D$1)*(Transactions!$M$9:$M$5005=12)*ROW(Transactions!$L$9:$L$5005)),0))),"")</f>
        <v>2023</v>
      </c>
      <c r="N38" s="112"/>
      <c r="O38" s="245"/>
      <c r="P38" s="246"/>
      <c r="Q38" s="246"/>
      <c r="R38" s="106"/>
      <c r="S38" s="246"/>
      <c r="T38" s="247"/>
      <c r="X38" s="296" t="str" cm="1">
        <f t="array" aca="1" ref="X3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38" s="245" t="str" cm="1">
        <f t="array" aca="1" ref="Y3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38" s="246" t="str" cm="1">
        <f t="array" aca="1" ref="Z3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38" s="246" t="str" cm="1">
        <f t="array" aca="1" ref="AA3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38" s="106" t="str" cm="1">
        <f t="array" aca="1" ref="AB3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38" s="246" t="str" cm="1">
        <f t="array" aca="1" ref="AC3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38" s="247" t="str" cm="1">
        <f t="array" aca="1" ref="AD3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38" s="305" t="str" cm="1">
        <f t="array" aca="1" ref="AE3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39" spans="3:31" ht="16.5" customHeight="1" x14ac:dyDescent="0.2">
      <c r="C39" s="296">
        <f ca="1">IFERROR(IF(IFERROR(SUMPRODUCT((Transactions!$L$9:$L$5005=$D$1)*(Transactions!$M$9:$M$5005=13)*ROW(Transactions!$L$9:$L$5005)),0)=0,"",INDEX(Transactions!$C:$C,IFERROR(SUMPRODUCT((Transactions!$L$9:$L$5005=$D$1)*(Transactions!$M$9:$M$5005=13)*ROW(Transactions!$L$9:$L$5005)),0))),"")</f>
        <v>45056</v>
      </c>
      <c r="D39" s="104" t="str">
        <f ca="1">IFERROR(IF(IFERROR(SUMPRODUCT((Transactions!$L$9:$L$5005=$D$1)*(Transactions!$M$9:$M$5005=13)*ROW(Transactions!$L$9:$L$5005)),0)=0,"",INDEX(Transactions!$D:$D,IFERROR(SUMPRODUCT((Transactions!$L$9:$L$5005=$D$1)*(Transactions!$M$9:$M$5005=13)*ROW(Transactions!$L$9:$L$5005)),0))),"")</f>
        <v>May</v>
      </c>
      <c r="E39" s="105" t="str">
        <f ca="1">IFERROR(IF(IFERROR(SUMPRODUCT((Transactions!$L$9:$L$5005=$D$1)*(Transactions!$M$9:$M$5005=13)*ROW(Transactions!$L$9:$L$5005)),0)=0,"",INDEX(Transactions!$F:$F,IFERROR(SUMPRODUCT((Transactions!$L$9:$L$5005=$D$1)*(Transactions!$M$9:$M$5005=13)*ROW(Transactions!$L$9:$L$5005)),0))),"")</f>
        <v>Investment</v>
      </c>
      <c r="F39" s="105" t="str">
        <f ca="1">IFERROR(IF(IFERROR(SUMPRODUCT((Transactions!$L$9:$L$5005=$D$1)*(Transactions!$M$9:$M$5005=13)*ROW(Transactions!$L$9:$L$5005)),0)=0,"",INDEX(Transactions!$G:$G,IFERROR(SUMPRODUCT((Transactions!$L$9:$L$5005=$D$1)*(Transactions!$M$9:$M$5005=13)*ROW(Transactions!$L$9:$L$5005)),0))),"")</f>
        <v>Saving</v>
      </c>
      <c r="G39" s="106">
        <f ca="1">IFERROR(IF(IFERROR(SUMPRODUCT((Transactions!$L$9:$L$5005=$D$1)*(Transactions!$M$9:$M$5005=13)*ROW(Transactions!$L$9:$L$5005)),0)=0,"",INDEX(Transactions!$H:$H,IFERROR(SUMPRODUCT((Transactions!$L$9:$L$5005=$D$1)*(Transactions!$M$9:$M$5005=13)*ROW(Transactions!$L$9:$L$5005)),0))),"")</f>
        <v>1000</v>
      </c>
      <c r="H39" s="105">
        <f ca="1">IFERROR(IF(IFERROR(SUMPRODUCT((Transactions!$L$9:$L$5005=$D$1)*(Transactions!$M$9:$M$5005=13)*ROW(Transactions!$L$9:$L$5005)),0)=0,"",INDEX(Transactions!$J:$J,IFERROR(SUMPRODUCT((Transactions!$L$9:$L$5005=$D$1)*(Transactions!$M$9:$M$5005=13)*ROW(Transactions!$L$9:$L$5005)),0))),"")</f>
        <v>0</v>
      </c>
      <c r="I39" s="104">
        <f ca="1">IFERROR(IF(IFERROR(SUMPRODUCT((Transactions!$L$9:$L$5005=$D$1)*(Transactions!$M$9:$M$5005=13)*ROW(Transactions!$L$9:$L$5005)),0)=0,"",INDEX(Transactions!$K:$K,IFERROR(SUMPRODUCT((Transactions!$L$9:$L$5005=$D$1)*(Transactions!$M$9:$M$5005=13)*ROW(Transactions!$L$9:$L$5005)),0))),"")</f>
        <v>0</v>
      </c>
      <c r="J39" s="298">
        <f ca="1">IFERROR(IF(IFERROR(SUMPRODUCT((Transactions!$L$9:$L$5005=$D$1)*(Transactions!$M$9:$M$5005=13)*ROW(Transactions!$L$9:$L$5005)),0)=0,"",INDEX(Transactions!$L:$L,IFERROR(SUMPRODUCT((Transactions!$L$9:$L$5005=$D$1)*(Transactions!$M$9:$M$5005=13)*ROW(Transactions!$L$9:$L$5005)),0))),"")</f>
        <v>2023</v>
      </c>
      <c r="N39" s="112"/>
      <c r="O39" s="245"/>
      <c r="P39" s="246"/>
      <c r="Q39" s="246"/>
      <c r="R39" s="106"/>
      <c r="S39" s="246"/>
      <c r="T39" s="247"/>
      <c r="X39" s="296" t="str" cm="1">
        <f t="array" aca="1" ref="X3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39" s="245" t="str" cm="1">
        <f t="array" aca="1" ref="Y3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39" s="246" t="str" cm="1">
        <f t="array" aca="1" ref="Z3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39" s="246" t="str" cm="1">
        <f t="array" aca="1" ref="AA3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39" s="106" t="str" cm="1">
        <f t="array" aca="1" ref="AB3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39" s="246" t="str" cm="1">
        <f t="array" aca="1" ref="AC3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39" s="247" t="str" cm="1">
        <f t="array" aca="1" ref="AD3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39" s="305" t="str" cm="1">
        <f t="array" aca="1" ref="AE3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40" spans="3:31" ht="16.5" customHeight="1" x14ac:dyDescent="0.2">
      <c r="C40" s="297">
        <f ca="1">IFERROR(IF(IFERROR(SUMPRODUCT((Transactions!$L$9:$L$5005=$D$1)*(Transactions!$M$9:$M$5005=14)*ROW(Transactions!$L$9:$L$5005)),0)=0,"",INDEX(Transactions!$C:$C,IFERROR(SUMPRODUCT((Transactions!$L$9:$L$5005=$D$1)*(Transactions!$M$9:$M$5005=14)*ROW(Transactions!$L$9:$L$5005)),0))),"")</f>
        <v>45067</v>
      </c>
      <c r="D40" s="107" t="str">
        <f ca="1">IFERROR(IF(IFERROR(SUMPRODUCT((Transactions!$L$9:$L$5005=$D$1)*(Transactions!$M$9:$M$5005=14)*ROW(Transactions!$L$9:$L$5005)),0)=0,"",INDEX(Transactions!$D:$D,IFERROR(SUMPRODUCT((Transactions!$L$9:$L$5005=$D$1)*(Transactions!$M$9:$M$5005=14)*ROW(Transactions!$L$9:$L$5005)),0))),"")</f>
        <v>Zerodha</v>
      </c>
      <c r="E40" s="108" t="str">
        <f ca="1">IFERROR(IF(IFERROR(SUMPRODUCT((Transactions!$L$9:$L$5005=$D$1)*(Transactions!$M$9:$M$5005=14)*ROW(Transactions!$L$9:$L$5005)),0)=0,"",INDEX(Transactions!$F:$F,IFERROR(SUMPRODUCT((Transactions!$L$9:$L$5005=$D$1)*(Transactions!$M$9:$M$5005=14)*ROW(Transactions!$L$9:$L$5005)),0))),"")</f>
        <v>Investment</v>
      </c>
      <c r="F40" s="108" t="str">
        <f ca="1">IFERROR(IF(IFERROR(SUMPRODUCT((Transactions!$L$9:$L$5005=$D$1)*(Transactions!$M$9:$M$5005=14)*ROW(Transactions!$L$9:$L$5005)),0)=0,"",INDEX(Transactions!$G:$G,IFERROR(SUMPRODUCT((Transactions!$L$9:$L$5005=$D$1)*(Transactions!$M$9:$M$5005=14)*ROW(Transactions!$L$9:$L$5005)),0))),"")</f>
        <v>Saving</v>
      </c>
      <c r="G40" s="109">
        <f ca="1">IFERROR(IF(IFERROR(SUMPRODUCT((Transactions!$L$9:$L$5005=$D$1)*(Transactions!$M$9:$M$5005=14)*ROW(Transactions!$L$9:$L$5005)),0)=0,"",INDEX(Transactions!$H:$H,IFERROR(SUMPRODUCT((Transactions!$L$9:$L$5005=$D$1)*(Transactions!$M$9:$M$5005=14)*ROW(Transactions!$L$9:$L$5005)),0))),"")</f>
        <v>1000</v>
      </c>
      <c r="H40" s="108">
        <f ca="1">IFERROR(IF(IFERROR(SUMPRODUCT((Transactions!$L$9:$L$5005=$D$1)*(Transactions!$M$9:$M$5005=14)*ROW(Transactions!$L$9:$L$5005)),0)=0,"",INDEX(Transactions!$J:$J,IFERROR(SUMPRODUCT((Transactions!$L$9:$L$5005=$D$1)*(Transactions!$M$9:$M$5005=14)*ROW(Transactions!$L$9:$L$5005)),0))),"")</f>
        <v>0</v>
      </c>
      <c r="I40" s="107">
        <f ca="1">IFERROR(IF(IFERROR(SUMPRODUCT((Transactions!$L$9:$L$5005=$D$1)*(Transactions!$M$9:$M$5005=14)*ROW(Transactions!$L$9:$L$5005)),0)=0,"",INDEX(Transactions!$K:$K,IFERROR(SUMPRODUCT((Transactions!$L$9:$L$5005=$D$1)*(Transactions!$M$9:$M$5005=14)*ROW(Transactions!$L$9:$L$5005)),0))),"")</f>
        <v>0</v>
      </c>
      <c r="J40" s="299">
        <f ca="1">IFERROR(IF(IFERROR(SUMPRODUCT((Transactions!$L$9:$L$5005=$D$1)*(Transactions!$M$9:$M$5005=14)*ROW(Transactions!$L$9:$L$5005)),0)=0,"",INDEX(Transactions!$L:$L,IFERROR(SUMPRODUCT((Transactions!$L$9:$L$5005=$D$1)*(Transactions!$M$9:$M$5005=14)*ROW(Transactions!$L$9:$L$5005)),0))),"")</f>
        <v>2023</v>
      </c>
      <c r="N40" s="112"/>
      <c r="O40" s="245"/>
      <c r="P40" s="246"/>
      <c r="Q40" s="246"/>
      <c r="R40" s="106"/>
      <c r="S40" s="246"/>
      <c r="T40" s="247"/>
      <c r="X40" s="296" t="str" cm="1">
        <f t="array" aca="1" ref="X4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40" s="245" t="str" cm="1">
        <f t="array" aca="1" ref="Y4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40" s="246" t="str" cm="1">
        <f t="array" aca="1" ref="Z4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40" s="246" t="str" cm="1">
        <f t="array" aca="1" ref="AA4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40" s="106" t="str" cm="1">
        <f t="array" aca="1" ref="AB4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40" s="246" t="str" cm="1">
        <f t="array" aca="1" ref="AC4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40" s="247" t="str" cm="1">
        <f t="array" aca="1" ref="AD4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40" s="305" t="str" cm="1">
        <f t="array" aca="1" ref="AE4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41" spans="3:31" ht="16.5" customHeight="1" x14ac:dyDescent="0.2">
      <c r="C41" s="296">
        <f ca="1">IFERROR(IF(IFERROR(SUMPRODUCT((Transactions!$L$9:$L$5005=$D$1)*(Transactions!$M$9:$M$5005=15)*ROW(Transactions!$L$9:$L$5005)),0)=0,"",INDEX(Transactions!$C:$C,IFERROR(SUMPRODUCT((Transactions!$L$9:$L$5005=$D$1)*(Transactions!$M$9:$M$5005=15)*ROW(Transactions!$L$9:$L$5005)),0))),"")</f>
        <v>45071</v>
      </c>
      <c r="D41" s="104" t="str">
        <f ca="1">IFERROR(IF(IFERROR(SUMPRODUCT((Transactions!$L$9:$L$5005=$D$1)*(Transactions!$M$9:$M$5005=15)*ROW(Transactions!$L$9:$L$5005)),0)=0,"",INDEX(Transactions!$D:$D,IFERROR(SUMPRODUCT((Transactions!$L$9:$L$5005=$D$1)*(Transactions!$M$9:$M$5005=15)*ROW(Transactions!$L$9:$L$5005)),0))),"")</f>
        <v>E bill</v>
      </c>
      <c r="E41" s="105" t="str">
        <f ca="1">IFERROR(IF(IFERROR(SUMPRODUCT((Transactions!$L$9:$L$5005=$D$1)*(Transactions!$M$9:$M$5005=15)*ROW(Transactions!$L$9:$L$5005)),0)=0,"",INDEX(Transactions!$F:$F,IFERROR(SUMPRODUCT((Transactions!$L$9:$L$5005=$D$1)*(Transactions!$M$9:$M$5005=15)*ROW(Transactions!$L$9:$L$5005)),0))),"")</f>
        <v>Expense</v>
      </c>
      <c r="F41" s="105" t="str">
        <f ca="1">IFERROR(IF(IFERROR(SUMPRODUCT((Transactions!$L$9:$L$5005=$D$1)*(Transactions!$M$9:$M$5005=15)*ROW(Transactions!$L$9:$L$5005)),0)=0,"",INDEX(Transactions!$G:$G,IFERROR(SUMPRODUCT((Transactions!$L$9:$L$5005=$D$1)*(Transactions!$M$9:$M$5005=15)*ROW(Transactions!$L$9:$L$5005)),0))),"")</f>
        <v>Home</v>
      </c>
      <c r="G41" s="106">
        <f ca="1">IFERROR(IF(IFERROR(SUMPRODUCT((Transactions!$L$9:$L$5005=$D$1)*(Transactions!$M$9:$M$5005=15)*ROW(Transactions!$L$9:$L$5005)),0)=0,"",INDEX(Transactions!$H:$H,IFERROR(SUMPRODUCT((Transactions!$L$9:$L$5005=$D$1)*(Transactions!$M$9:$M$5005=15)*ROW(Transactions!$L$9:$L$5005)),0))),"")</f>
        <v>354</v>
      </c>
      <c r="H41" s="105">
        <f ca="1">IFERROR(IF(IFERROR(SUMPRODUCT((Transactions!$L$9:$L$5005=$D$1)*(Transactions!$M$9:$M$5005=15)*ROW(Transactions!$L$9:$L$5005)),0)=0,"",INDEX(Transactions!$J:$J,IFERROR(SUMPRODUCT((Transactions!$L$9:$L$5005=$D$1)*(Transactions!$M$9:$M$5005=15)*ROW(Transactions!$L$9:$L$5005)),0))),"")</f>
        <v>0</v>
      </c>
      <c r="I41" s="104">
        <f ca="1">IFERROR(IF(IFERROR(SUMPRODUCT((Transactions!$L$9:$L$5005=$D$1)*(Transactions!$M$9:$M$5005=15)*ROW(Transactions!$L$9:$L$5005)),0)=0,"",INDEX(Transactions!$K:$K,IFERROR(SUMPRODUCT((Transactions!$L$9:$L$5005=$D$1)*(Transactions!$M$9:$M$5005=15)*ROW(Transactions!$L$9:$L$5005)),0))),"")</f>
        <v>0</v>
      </c>
      <c r="J41" s="298">
        <f ca="1">IFERROR(IF(IFERROR(SUMPRODUCT((Transactions!$L$9:$L$5005=$D$1)*(Transactions!$M$9:$M$5005=15)*ROW(Transactions!$L$9:$L$5005)),0)=0,"",INDEX(Transactions!$L:$L,IFERROR(SUMPRODUCT((Transactions!$L$9:$L$5005=$D$1)*(Transactions!$M$9:$M$5005=15)*ROW(Transactions!$L$9:$L$5005)),0))),"")</f>
        <v>2023</v>
      </c>
      <c r="N41" s="112"/>
      <c r="O41" s="245"/>
      <c r="P41" s="246"/>
      <c r="Q41" s="246"/>
      <c r="R41" s="106"/>
      <c r="S41" s="246"/>
      <c r="T41" s="247"/>
      <c r="X41" s="296" t="str" cm="1">
        <f t="array" aca="1" ref="X4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41" s="245" t="str" cm="1">
        <f t="array" aca="1" ref="Y4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41" s="246" t="str" cm="1">
        <f t="array" aca="1" ref="Z4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41" s="246" t="str" cm="1">
        <f t="array" aca="1" ref="AA4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41" s="106" t="str" cm="1">
        <f t="array" aca="1" ref="AB4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41" s="246" t="str" cm="1">
        <f t="array" aca="1" ref="AC4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41" s="247" t="str" cm="1">
        <f t="array" aca="1" ref="AD4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41" s="305" t="str" cm="1">
        <f t="array" aca="1" ref="AE4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42" spans="3:31" ht="16.5" customHeight="1" x14ac:dyDescent="0.2">
      <c r="C42" s="297">
        <f ca="1">IFERROR(IF(IFERROR(SUMPRODUCT((Transactions!$L$9:$L$5005=$D$1)*(Transactions!$M$9:$M$5005=16)*ROW(Transactions!$L$9:$L$5005)),0)=0,"",INDEX(Transactions!$C:$C,IFERROR(SUMPRODUCT((Transactions!$L$9:$L$5005=$D$1)*(Transactions!$M$9:$M$5005=16)*ROW(Transactions!$L$9:$L$5005)),0))),"")</f>
        <v>45073</v>
      </c>
      <c r="D42" s="107" t="str">
        <f ca="1">IFERROR(IF(IFERROR(SUMPRODUCT((Transactions!$L$9:$L$5005=$D$1)*(Transactions!$M$9:$M$5005=16)*ROW(Transactions!$L$9:$L$5005)),0)=0,"",INDEX(Transactions!$D:$D,IFERROR(SUMPRODUCT((Transactions!$L$9:$L$5005=$D$1)*(Transactions!$M$9:$M$5005=16)*ROW(Transactions!$L$9:$L$5005)),0))),"")</f>
        <v>Nisha-Amity Form</v>
      </c>
      <c r="E42" s="108" t="str">
        <f ca="1">IFERROR(IF(IFERROR(SUMPRODUCT((Transactions!$L$9:$L$5005=$D$1)*(Transactions!$M$9:$M$5005=16)*ROW(Transactions!$L$9:$L$5005)),0)=0,"",INDEX(Transactions!$F:$F,IFERROR(SUMPRODUCT((Transactions!$L$9:$L$5005=$D$1)*(Transactions!$M$9:$M$5005=16)*ROW(Transactions!$L$9:$L$5005)),0))),"")</f>
        <v>Expense</v>
      </c>
      <c r="F42" s="108" t="str">
        <f ca="1">IFERROR(IF(IFERROR(SUMPRODUCT((Transactions!$L$9:$L$5005=$D$1)*(Transactions!$M$9:$M$5005=16)*ROW(Transactions!$L$9:$L$5005)),0)=0,"",INDEX(Transactions!$G:$G,IFERROR(SUMPRODUCT((Transactions!$L$9:$L$5005=$D$1)*(Transactions!$M$9:$M$5005=16)*ROW(Transactions!$L$9:$L$5005)),0))),"")</f>
        <v>Nisha</v>
      </c>
      <c r="G42" s="109">
        <f ca="1">IFERROR(IF(IFERROR(SUMPRODUCT((Transactions!$L$9:$L$5005=$D$1)*(Transactions!$M$9:$M$5005=16)*ROW(Transactions!$L$9:$L$5005)),0)=0,"",INDEX(Transactions!$H:$H,IFERROR(SUMPRODUCT((Transactions!$L$9:$L$5005=$D$1)*(Transactions!$M$9:$M$5005=16)*ROW(Transactions!$L$9:$L$5005)),0))),"")</f>
        <v>1500</v>
      </c>
      <c r="H42" s="108">
        <f ca="1">IFERROR(IF(IFERROR(SUMPRODUCT((Transactions!$L$9:$L$5005=$D$1)*(Transactions!$M$9:$M$5005=16)*ROW(Transactions!$L$9:$L$5005)),0)=0,"",INDEX(Transactions!$J:$J,IFERROR(SUMPRODUCT((Transactions!$L$9:$L$5005=$D$1)*(Transactions!$M$9:$M$5005=16)*ROW(Transactions!$L$9:$L$5005)),0))),"")</f>
        <v>0</v>
      </c>
      <c r="I42" s="107" t="str">
        <f ca="1">IFERROR(IF(IFERROR(SUMPRODUCT((Transactions!$L$9:$L$5005=$D$1)*(Transactions!$M$9:$M$5005=16)*ROW(Transactions!$L$9:$L$5005)),0)=0,"",INDEX(Transactions!$K:$K,IFERROR(SUMPRODUCT((Transactions!$L$9:$L$5005=$D$1)*(Transactions!$M$9:$M$5005=16)*ROW(Transactions!$L$9:$L$5005)),0))),"")</f>
        <v>Papa</v>
      </c>
      <c r="J42" s="299">
        <f ca="1">IFERROR(IF(IFERROR(SUMPRODUCT((Transactions!$L$9:$L$5005=$D$1)*(Transactions!$M$9:$M$5005=16)*ROW(Transactions!$L$9:$L$5005)),0)=0,"",INDEX(Transactions!$L:$L,IFERROR(SUMPRODUCT((Transactions!$L$9:$L$5005=$D$1)*(Transactions!$M$9:$M$5005=16)*ROW(Transactions!$L$9:$L$5005)),0))),"")</f>
        <v>2023</v>
      </c>
      <c r="N42" s="112"/>
      <c r="O42" s="245"/>
      <c r="P42" s="246"/>
      <c r="Q42" s="246"/>
      <c r="R42" s="106"/>
      <c r="S42" s="246"/>
      <c r="T42" s="247"/>
      <c r="X42" s="296" t="str" cm="1">
        <f t="array" aca="1" ref="X4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42" s="245" t="str" cm="1">
        <f t="array" aca="1" ref="Y4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42" s="246" t="str" cm="1">
        <f t="array" aca="1" ref="Z4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42" s="246" t="str" cm="1">
        <f t="array" aca="1" ref="AA4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42" s="106" t="str" cm="1">
        <f t="array" aca="1" ref="AB4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42" s="246" t="str" cm="1">
        <f t="array" aca="1" ref="AC4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42" s="247" t="str" cm="1">
        <f t="array" aca="1" ref="AD4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42" s="305" t="str" cm="1">
        <f t="array" aca="1" ref="AE4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43" spans="3:31" ht="16.5" customHeight="1" x14ac:dyDescent="0.2">
      <c r="C43" s="296">
        <f ca="1">IFERROR(IF(IFERROR(SUMPRODUCT((Transactions!$L$9:$L$5005=$D$1)*(Transactions!$M$9:$M$5005=17)*ROW(Transactions!$L$9:$L$5005)),0)=0,"",INDEX(Transactions!$C:$C,IFERROR(SUMPRODUCT((Transactions!$L$9:$L$5005=$D$1)*(Transactions!$M$9:$M$5005=17)*ROW(Transactions!$L$9:$L$5005)),0))),"")</f>
        <v>45076</v>
      </c>
      <c r="D43" s="104" t="str">
        <f ca="1">IFERROR(IF(IFERROR(SUMPRODUCT((Transactions!$L$9:$L$5005=$D$1)*(Transactions!$M$9:$M$5005=17)*ROW(Transactions!$L$9:$L$5005)),0)=0,"",INDEX(Transactions!$D:$D,IFERROR(SUMPRODUCT((Transactions!$L$9:$L$5005=$D$1)*(Transactions!$M$9:$M$5005=17)*ROW(Transactions!$L$9:$L$5005)),0))),"")</f>
        <v>Cognizant May</v>
      </c>
      <c r="E43" s="105" t="str">
        <f ca="1">IFERROR(IF(IFERROR(SUMPRODUCT((Transactions!$L$9:$L$5005=$D$1)*(Transactions!$M$9:$M$5005=17)*ROW(Transactions!$L$9:$L$5005)),0)=0,"",INDEX(Transactions!$F:$F,IFERROR(SUMPRODUCT((Transactions!$L$9:$L$5005=$D$1)*(Transactions!$M$9:$M$5005=17)*ROW(Transactions!$L$9:$L$5005)),0))),"")</f>
        <v>Income</v>
      </c>
      <c r="F43" s="105" t="str">
        <f ca="1">IFERROR(IF(IFERROR(SUMPRODUCT((Transactions!$L$9:$L$5005=$D$1)*(Transactions!$M$9:$M$5005=17)*ROW(Transactions!$L$9:$L$5005)),0)=0,"",INDEX(Transactions!$G:$G,IFERROR(SUMPRODUCT((Transactions!$L$9:$L$5005=$D$1)*(Transactions!$M$9:$M$5005=17)*ROW(Transactions!$L$9:$L$5005)),0))),"")</f>
        <v>Salary</v>
      </c>
      <c r="G43" s="106">
        <f ca="1">IFERROR(IF(IFERROR(SUMPRODUCT((Transactions!$L$9:$L$5005=$D$1)*(Transactions!$M$9:$M$5005=17)*ROW(Transactions!$L$9:$L$5005)),0)=0,"",INDEX(Transactions!$H:$H,IFERROR(SUMPRODUCT((Transactions!$L$9:$L$5005=$D$1)*(Transactions!$M$9:$M$5005=17)*ROW(Transactions!$L$9:$L$5005)),0))),"")</f>
        <v>34000</v>
      </c>
      <c r="H43" s="105">
        <f ca="1">IFERROR(IF(IFERROR(SUMPRODUCT((Transactions!$L$9:$L$5005=$D$1)*(Transactions!$M$9:$M$5005=17)*ROW(Transactions!$L$9:$L$5005)),0)=0,"",INDEX(Transactions!$J:$J,IFERROR(SUMPRODUCT((Transactions!$L$9:$L$5005=$D$1)*(Transactions!$M$9:$M$5005=17)*ROW(Transactions!$L$9:$L$5005)),0))),"")</f>
        <v>0</v>
      </c>
      <c r="I43" s="104">
        <f ca="1">IFERROR(IF(IFERROR(SUMPRODUCT((Transactions!$L$9:$L$5005=$D$1)*(Transactions!$M$9:$M$5005=17)*ROW(Transactions!$L$9:$L$5005)),0)=0,"",INDEX(Transactions!$K:$K,IFERROR(SUMPRODUCT((Transactions!$L$9:$L$5005=$D$1)*(Transactions!$M$9:$M$5005=17)*ROW(Transactions!$L$9:$L$5005)),0))),"")</f>
        <v>0</v>
      </c>
      <c r="J43" s="298">
        <f ca="1">IFERROR(IF(IFERROR(SUMPRODUCT((Transactions!$L$9:$L$5005=$D$1)*(Transactions!$M$9:$M$5005=17)*ROW(Transactions!$L$9:$L$5005)),0)=0,"",INDEX(Transactions!$L:$L,IFERROR(SUMPRODUCT((Transactions!$L$9:$L$5005=$D$1)*(Transactions!$M$9:$M$5005=17)*ROW(Transactions!$L$9:$L$5005)),0))),"")</f>
        <v>2023</v>
      </c>
      <c r="N43" s="112"/>
      <c r="O43" s="245"/>
      <c r="P43" s="246"/>
      <c r="Q43" s="246"/>
      <c r="R43" s="106"/>
      <c r="S43" s="246"/>
      <c r="T43" s="247"/>
      <c r="X43" s="296" t="str" cm="1">
        <f t="array" aca="1" ref="X4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43" s="245" t="str" cm="1">
        <f t="array" aca="1" ref="Y4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43" s="246" t="str" cm="1">
        <f t="array" aca="1" ref="Z4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43" s="246" t="str" cm="1">
        <f t="array" aca="1" ref="AA4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43" s="106" t="str" cm="1">
        <f t="array" aca="1" ref="AB4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43" s="246" t="str" cm="1">
        <f t="array" aca="1" ref="AC4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43" s="247" t="str" cm="1">
        <f t="array" aca="1" ref="AD4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43" s="305" t="str" cm="1">
        <f t="array" aca="1" ref="AE4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44" spans="3:31" ht="16.5" customHeight="1" x14ac:dyDescent="0.2">
      <c r="C44" s="297">
        <f ca="1">IFERROR(IF(IFERROR(SUMPRODUCT((Transactions!$L$9:$L$5005=$D$1)*(Transactions!$M$9:$M$5005=18)*ROW(Transactions!$L$9:$L$5005)),0)=0,"",INDEX(Transactions!$C:$C,IFERROR(SUMPRODUCT((Transactions!$L$9:$L$5005=$D$1)*(Transactions!$M$9:$M$5005=18)*ROW(Transactions!$L$9:$L$5005)),0))),"")</f>
        <v>45078</v>
      </c>
      <c r="D44" s="107" t="str">
        <f ca="1">IFERROR(IF(IFERROR(SUMPRODUCT((Transactions!$L$9:$L$5005=$D$1)*(Transactions!$M$9:$M$5005=18)*ROW(Transactions!$L$9:$L$5005)),0)=0,"",INDEX(Transactions!$D:$D,IFERROR(SUMPRODUCT((Transactions!$L$9:$L$5005=$D$1)*(Transactions!$M$9:$M$5005=18)*ROW(Transactions!$L$9:$L$5005)),0))),"")</f>
        <v>Pune+Delhi: Expense</v>
      </c>
      <c r="E44" s="108" t="str">
        <f ca="1">IFERROR(IF(IFERROR(SUMPRODUCT((Transactions!$L$9:$L$5005=$D$1)*(Transactions!$M$9:$M$5005=18)*ROW(Transactions!$L$9:$L$5005)),0)=0,"",INDEX(Transactions!$F:$F,IFERROR(SUMPRODUCT((Transactions!$L$9:$L$5005=$D$1)*(Transactions!$M$9:$M$5005=18)*ROW(Transactions!$L$9:$L$5005)),0))),"")</f>
        <v>Expense</v>
      </c>
      <c r="F44" s="108" t="str">
        <f ca="1">IFERROR(IF(IFERROR(SUMPRODUCT((Transactions!$L$9:$L$5005=$D$1)*(Transactions!$M$9:$M$5005=18)*ROW(Transactions!$L$9:$L$5005)),0)=0,"",INDEX(Transactions!$G:$G,IFERROR(SUMPRODUCT((Transactions!$L$9:$L$5005=$D$1)*(Transactions!$M$9:$M$5005=18)*ROW(Transactions!$L$9:$L$5005)),0))),"")</f>
        <v>Rajan</v>
      </c>
      <c r="G44" s="109">
        <f ca="1">IFERROR(IF(IFERROR(SUMPRODUCT((Transactions!$L$9:$L$5005=$D$1)*(Transactions!$M$9:$M$5005=18)*ROW(Transactions!$L$9:$L$5005)),0)=0,"",INDEX(Transactions!$H:$H,IFERROR(SUMPRODUCT((Transactions!$L$9:$L$5005=$D$1)*(Transactions!$M$9:$M$5005=18)*ROW(Transactions!$L$9:$L$5005)),0))),"")</f>
        <v>10000</v>
      </c>
      <c r="H44" s="108">
        <f ca="1">IFERROR(IF(IFERROR(SUMPRODUCT((Transactions!$L$9:$L$5005=$D$1)*(Transactions!$M$9:$M$5005=18)*ROW(Transactions!$L$9:$L$5005)),0)=0,"",INDEX(Transactions!$J:$J,IFERROR(SUMPRODUCT((Transactions!$L$9:$L$5005=$D$1)*(Transactions!$M$9:$M$5005=18)*ROW(Transactions!$L$9:$L$5005)),0))),"")</f>
        <v>0</v>
      </c>
      <c r="I44" s="107">
        <f ca="1">IFERROR(IF(IFERROR(SUMPRODUCT((Transactions!$L$9:$L$5005=$D$1)*(Transactions!$M$9:$M$5005=18)*ROW(Transactions!$L$9:$L$5005)),0)=0,"",INDEX(Transactions!$K:$K,IFERROR(SUMPRODUCT((Transactions!$L$9:$L$5005=$D$1)*(Transactions!$M$9:$M$5005=18)*ROW(Transactions!$L$9:$L$5005)),0))),"")</f>
        <v>0</v>
      </c>
      <c r="J44" s="299">
        <f ca="1">IFERROR(IF(IFERROR(SUMPRODUCT((Transactions!$L$9:$L$5005=$D$1)*(Transactions!$M$9:$M$5005=18)*ROW(Transactions!$L$9:$L$5005)),0)=0,"",INDEX(Transactions!$L:$L,IFERROR(SUMPRODUCT((Transactions!$L$9:$L$5005=$D$1)*(Transactions!$M$9:$M$5005=18)*ROW(Transactions!$L$9:$L$5005)),0))),"")</f>
        <v>2023</v>
      </c>
      <c r="N44" s="112"/>
      <c r="O44" s="245"/>
      <c r="P44" s="246"/>
      <c r="Q44" s="246"/>
      <c r="R44" s="106"/>
      <c r="S44" s="246"/>
      <c r="T44" s="247"/>
      <c r="X44" s="296" t="str" cm="1">
        <f t="array" aca="1" ref="X4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44" s="245" t="str" cm="1">
        <f t="array" aca="1" ref="Y4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44" s="246" t="str" cm="1">
        <f t="array" aca="1" ref="Z4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44" s="246" t="str" cm="1">
        <f t="array" aca="1" ref="AA4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44" s="106" t="str" cm="1">
        <f t="array" aca="1" ref="AB4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44" s="246" t="str" cm="1">
        <f t="array" aca="1" ref="AC4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44" s="247" t="str" cm="1">
        <f t="array" aca="1" ref="AD4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44" s="305" t="str" cm="1">
        <f t="array" aca="1" ref="AE4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45" spans="3:31" ht="16.5" customHeight="1" x14ac:dyDescent="0.2">
      <c r="C45" s="296">
        <f ca="1">IFERROR(IF(IFERROR(SUMPRODUCT((Transactions!$L$9:$L$5005=$D$1)*(Transactions!$M$9:$M$5005=19)*ROW(Transactions!$L$9:$L$5005)),0)=0,"",INDEX(Transactions!$C:$C,IFERROR(SUMPRODUCT((Transactions!$L$9:$L$5005=$D$1)*(Transactions!$M$9:$M$5005=19)*ROW(Transactions!$L$9:$L$5005)),0))),"")</f>
        <v>45080</v>
      </c>
      <c r="D45" s="104" t="str">
        <f ca="1">IFERROR(IF(IFERROR(SUMPRODUCT((Transactions!$L$9:$L$5005=$D$1)*(Transactions!$M$9:$M$5005=19)*ROW(Transactions!$L$9:$L$5005)),0)=0,"",INDEX(Transactions!$D:$D,IFERROR(SUMPRODUCT((Transactions!$L$9:$L$5005=$D$1)*(Transactions!$M$9:$M$5005=19)*ROW(Transactions!$L$9:$L$5005)),0))),"")</f>
        <v>MBA3</v>
      </c>
      <c r="E45" s="105" t="str">
        <f ca="1">IFERROR(IF(IFERROR(SUMPRODUCT((Transactions!$L$9:$L$5005=$D$1)*(Transactions!$M$9:$M$5005=19)*ROW(Transactions!$L$9:$L$5005)),0)=0,"",INDEX(Transactions!$F:$F,IFERROR(SUMPRODUCT((Transactions!$L$9:$L$5005=$D$1)*(Transactions!$M$9:$M$5005=19)*ROW(Transactions!$L$9:$L$5005)),0))),"")</f>
        <v>Expense</v>
      </c>
      <c r="F45" s="105" t="str">
        <f ca="1">IFERROR(IF(IFERROR(SUMPRODUCT((Transactions!$L$9:$L$5005=$D$1)*(Transactions!$M$9:$M$5005=19)*ROW(Transactions!$L$9:$L$5005)),0)=0,"",INDEX(Transactions!$G:$G,IFERROR(SUMPRODUCT((Transactions!$L$9:$L$5005=$D$1)*(Transactions!$M$9:$M$5005=19)*ROW(Transactions!$L$9:$L$5005)),0))),"")</f>
        <v>Ed LOAN</v>
      </c>
      <c r="G45" s="106">
        <f ca="1">IFERROR(IF(IFERROR(SUMPRODUCT((Transactions!$L$9:$L$5005=$D$1)*(Transactions!$M$9:$M$5005=19)*ROW(Transactions!$L$9:$L$5005)),0)=0,"",INDEX(Transactions!$H:$H,IFERROR(SUMPRODUCT((Transactions!$L$9:$L$5005=$D$1)*(Transactions!$M$9:$M$5005=19)*ROW(Transactions!$L$9:$L$5005)),0))),"")</f>
        <v>6881</v>
      </c>
      <c r="H45" s="105">
        <f ca="1">IFERROR(IF(IFERROR(SUMPRODUCT((Transactions!$L$9:$L$5005=$D$1)*(Transactions!$M$9:$M$5005=19)*ROW(Transactions!$L$9:$L$5005)),0)=0,"",INDEX(Transactions!$J:$J,IFERROR(SUMPRODUCT((Transactions!$L$9:$L$5005=$D$1)*(Transactions!$M$9:$M$5005=19)*ROW(Transactions!$L$9:$L$5005)),0))),"")</f>
        <v>0</v>
      </c>
      <c r="I45" s="104">
        <f ca="1">IFERROR(IF(IFERROR(SUMPRODUCT((Transactions!$L$9:$L$5005=$D$1)*(Transactions!$M$9:$M$5005=19)*ROW(Transactions!$L$9:$L$5005)),0)=0,"",INDEX(Transactions!$K:$K,IFERROR(SUMPRODUCT((Transactions!$L$9:$L$5005=$D$1)*(Transactions!$M$9:$M$5005=19)*ROW(Transactions!$L$9:$L$5005)),0))),"")</f>
        <v>0</v>
      </c>
      <c r="J45" s="298">
        <f ca="1">IFERROR(IF(IFERROR(SUMPRODUCT((Transactions!$L$9:$L$5005=$D$1)*(Transactions!$M$9:$M$5005=19)*ROW(Transactions!$L$9:$L$5005)),0)=0,"",INDEX(Transactions!$L:$L,IFERROR(SUMPRODUCT((Transactions!$L$9:$L$5005=$D$1)*(Transactions!$M$9:$M$5005=19)*ROW(Transactions!$L$9:$L$5005)),0))),"")</f>
        <v>2023</v>
      </c>
      <c r="N45" s="112"/>
      <c r="O45" s="245"/>
      <c r="P45" s="246"/>
      <c r="Q45" s="246"/>
      <c r="R45" s="106"/>
      <c r="S45" s="246"/>
      <c r="T45" s="247"/>
      <c r="X45" s="296" t="str" cm="1">
        <f t="array" aca="1" ref="X4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45" s="245" t="str" cm="1">
        <f t="array" aca="1" ref="Y4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45" s="246" t="str" cm="1">
        <f t="array" aca="1" ref="Z4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45" s="246" t="str" cm="1">
        <f t="array" aca="1" ref="AA4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45" s="106" t="str" cm="1">
        <f t="array" aca="1" ref="AB4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45" s="246" t="str" cm="1">
        <f t="array" aca="1" ref="AC4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45" s="247" t="str" cm="1">
        <f t="array" aca="1" ref="AD4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45" s="305" t="str" cm="1">
        <f t="array" aca="1" ref="AE4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46" spans="3:31" ht="19.5" customHeight="1" x14ac:dyDescent="0.2">
      <c r="C46" s="297">
        <f ca="1">IFERROR(IF(IFERROR(SUMPRODUCT((Transactions!$L$9:$L$5005=$D$1)*(Transactions!$M$9:$M$5005=20)*ROW(Transactions!$L$9:$L$5005)),0)=0,"",INDEX(Transactions!$C:$C,IFERROR(SUMPRODUCT((Transactions!$L$9:$L$5005=$D$1)*(Transactions!$M$9:$M$5005=20)*ROW(Transactions!$L$9:$L$5005)),0))),"")</f>
        <v>45080</v>
      </c>
      <c r="D46" s="107" t="str">
        <f ca="1">IFERROR(IF(IFERROR(SUMPRODUCT((Transactions!$L$9:$L$5005=$D$1)*(Transactions!$M$9:$M$5005=20)*ROW(Transactions!$L$9:$L$5005)),0)=0,"",INDEX(Transactions!$D:$D,IFERROR(SUMPRODUCT((Transactions!$L$9:$L$5005=$D$1)*(Transactions!$M$9:$M$5005=20)*ROW(Transactions!$L$9:$L$5005)),0))),"")</f>
        <v>Pune: June PG</v>
      </c>
      <c r="E46" s="108" t="str">
        <f ca="1">IFERROR(IF(IFERROR(SUMPRODUCT((Transactions!$L$9:$L$5005=$D$1)*(Transactions!$M$9:$M$5005=20)*ROW(Transactions!$L$9:$L$5005)),0)=0,"",INDEX(Transactions!$F:$F,IFERROR(SUMPRODUCT((Transactions!$L$9:$L$5005=$D$1)*(Transactions!$M$9:$M$5005=20)*ROW(Transactions!$L$9:$L$5005)),0))),"")</f>
        <v>Expense</v>
      </c>
      <c r="F46" s="108" t="str">
        <f ca="1">IFERROR(IF(IFERROR(SUMPRODUCT((Transactions!$L$9:$L$5005=$D$1)*(Transactions!$M$9:$M$5005=20)*ROW(Transactions!$L$9:$L$5005)),0)=0,"",INDEX(Transactions!$G:$G,IFERROR(SUMPRODUCT((Transactions!$L$9:$L$5005=$D$1)*(Transactions!$M$9:$M$5005=20)*ROW(Transactions!$L$9:$L$5005)),0))),"")</f>
        <v>Rajan</v>
      </c>
      <c r="G46" s="109">
        <f ca="1">IFERROR(IF(IFERROR(SUMPRODUCT((Transactions!$L$9:$L$5005=$D$1)*(Transactions!$M$9:$M$5005=20)*ROW(Transactions!$L$9:$L$5005)),0)=0,"",INDEX(Transactions!$H:$H,IFERROR(SUMPRODUCT((Transactions!$L$9:$L$5005=$D$1)*(Transactions!$M$9:$M$5005=20)*ROW(Transactions!$L$9:$L$5005)),0))),"")</f>
        <v>8500</v>
      </c>
      <c r="H46" s="108">
        <f ca="1">IFERROR(IF(IFERROR(SUMPRODUCT((Transactions!$L$9:$L$5005=$D$1)*(Transactions!$M$9:$M$5005=20)*ROW(Transactions!$L$9:$L$5005)),0)=0,"",INDEX(Transactions!$J:$J,IFERROR(SUMPRODUCT((Transactions!$L$9:$L$5005=$D$1)*(Transactions!$M$9:$M$5005=20)*ROW(Transactions!$L$9:$L$5005)),0))),"")</f>
        <v>0</v>
      </c>
      <c r="I46" s="107">
        <f ca="1">IFERROR(IF(IFERROR(SUMPRODUCT((Transactions!$L$9:$L$5005=$D$1)*(Transactions!$M$9:$M$5005=20)*ROW(Transactions!$L$9:$L$5005)),0)=0,"",INDEX(Transactions!$K:$K,IFERROR(SUMPRODUCT((Transactions!$L$9:$L$5005=$D$1)*(Transactions!$M$9:$M$5005=20)*ROW(Transactions!$L$9:$L$5005)),0))),"")</f>
        <v>0</v>
      </c>
      <c r="J46" s="299">
        <f ca="1">IFERROR(IF(IFERROR(SUMPRODUCT((Transactions!$L$9:$L$5005=$D$1)*(Transactions!$M$9:$M$5005=20)*ROW(Transactions!$L$9:$L$5005)),0)=0,"",INDEX(Transactions!$L:$L,IFERROR(SUMPRODUCT((Transactions!$L$9:$L$5005=$D$1)*(Transactions!$M$9:$M$5005=20)*ROW(Transactions!$L$9:$L$5005)),0))),"")</f>
        <v>2023</v>
      </c>
      <c r="N46" s="112"/>
      <c r="O46" s="245"/>
      <c r="P46" s="246"/>
      <c r="Q46" s="246"/>
      <c r="R46" s="106"/>
      <c r="S46" s="246"/>
      <c r="T46" s="247"/>
      <c r="X46" s="296" t="str" cm="1">
        <f t="array" aca="1" ref="X4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46" s="245" t="str" cm="1">
        <f t="array" aca="1" ref="Y4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46" s="246" t="str" cm="1">
        <f t="array" aca="1" ref="Z4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46" s="246" t="str" cm="1">
        <f t="array" aca="1" ref="AA4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46" s="106" t="str" cm="1">
        <f t="array" aca="1" ref="AB4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46" s="246" t="str" cm="1">
        <f t="array" aca="1" ref="AC4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46" s="247" t="str" cm="1">
        <f t="array" aca="1" ref="AD4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46" s="305" t="str" cm="1">
        <f t="array" aca="1" ref="AE4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47" spans="3:31" x14ac:dyDescent="0.2">
      <c r="C47" s="296">
        <f ca="1">IFERROR(IF(IFERROR(SUMPRODUCT((Transactions!$L$9:$L$5005=$D$1)*(Transactions!$M$9:$M$5005=21)*ROW(Transactions!$L$9:$L$5005)),0)=0,"",INDEX(Transactions!$C:$C,IFERROR(SUMPRODUCT((Transactions!$L$9:$L$5005=$D$1)*(Transactions!$M$9:$M$5005=21)*ROW(Transactions!$L$9:$L$5005)),0))),"")</f>
        <v>45086</v>
      </c>
      <c r="D47" s="104" t="str">
        <f ca="1">IFERROR(IF(IFERROR(SUMPRODUCT((Transactions!$L$9:$L$5005=$D$1)*(Transactions!$M$9:$M$5005=21)*ROW(Transactions!$L$9:$L$5005)),0)=0,"",INDEX(Transactions!$D:$D,IFERROR(SUMPRODUCT((Transactions!$L$9:$L$5005=$D$1)*(Transactions!$M$9:$M$5005=21)*ROW(Transactions!$L$9:$L$5005)),0))),"")</f>
        <v xml:space="preserve">June  </v>
      </c>
      <c r="E47" s="105" t="str">
        <f ca="1">IFERROR(IF(IFERROR(SUMPRODUCT((Transactions!$L$9:$L$5005=$D$1)*(Transactions!$M$9:$M$5005=21)*ROW(Transactions!$L$9:$L$5005)),0)=0,"",INDEX(Transactions!$F:$F,IFERROR(SUMPRODUCT((Transactions!$L$9:$L$5005=$D$1)*(Transactions!$M$9:$M$5005=21)*ROW(Transactions!$L$9:$L$5005)),0))),"")</f>
        <v>Expense</v>
      </c>
      <c r="F47" s="105" t="str">
        <f ca="1">IFERROR(IF(IFERROR(SUMPRODUCT((Transactions!$L$9:$L$5005=$D$1)*(Transactions!$M$9:$M$5005=21)*ROW(Transactions!$L$9:$L$5005)),0)=0,"",INDEX(Transactions!$G:$G,IFERROR(SUMPRODUCT((Transactions!$L$9:$L$5005=$D$1)*(Transactions!$M$9:$M$5005=21)*ROW(Transactions!$L$9:$L$5005)),0))),"")</f>
        <v>Pawan</v>
      </c>
      <c r="G47" s="106">
        <f ca="1">IFERROR(IF(IFERROR(SUMPRODUCT((Transactions!$L$9:$L$5005=$D$1)*(Transactions!$M$9:$M$5005=21)*ROW(Transactions!$L$9:$L$5005)),0)=0,"",INDEX(Transactions!$H:$H,IFERROR(SUMPRODUCT((Transactions!$L$9:$L$5005=$D$1)*(Transactions!$M$9:$M$5005=21)*ROW(Transactions!$L$9:$L$5005)),0))),"")</f>
        <v>3500</v>
      </c>
      <c r="H47" s="105">
        <f ca="1">IFERROR(IF(IFERROR(SUMPRODUCT((Transactions!$L$9:$L$5005=$D$1)*(Transactions!$M$9:$M$5005=21)*ROW(Transactions!$L$9:$L$5005)),0)=0,"",INDEX(Transactions!$J:$J,IFERROR(SUMPRODUCT((Transactions!$L$9:$L$5005=$D$1)*(Transactions!$M$9:$M$5005=21)*ROW(Transactions!$L$9:$L$5005)),0))),"")</f>
        <v>0</v>
      </c>
      <c r="I47" s="104">
        <f ca="1">IFERROR(IF(IFERROR(SUMPRODUCT((Transactions!$L$9:$L$5005=$D$1)*(Transactions!$M$9:$M$5005=21)*ROW(Transactions!$L$9:$L$5005)),0)=0,"",INDEX(Transactions!$K:$K,IFERROR(SUMPRODUCT((Transactions!$L$9:$L$5005=$D$1)*(Transactions!$M$9:$M$5005=21)*ROW(Transactions!$L$9:$L$5005)),0))),"")</f>
        <v>0</v>
      </c>
      <c r="J47" s="298">
        <f ca="1">IFERROR(IF(IFERROR(SUMPRODUCT((Transactions!$L$9:$L$5005=$D$1)*(Transactions!$M$9:$M$5005=21)*ROW(Transactions!$L$9:$L$5005)),0)=0,"",INDEX(Transactions!$L:$L,IFERROR(SUMPRODUCT((Transactions!$L$9:$L$5005=$D$1)*(Transactions!$M$9:$M$5005=21)*ROW(Transactions!$L$9:$L$5005)),0))),"")</f>
        <v>2023</v>
      </c>
      <c r="N47" s="112"/>
      <c r="O47" s="245"/>
      <c r="P47" s="246"/>
      <c r="Q47" s="246"/>
      <c r="R47" s="106"/>
      <c r="S47" s="246"/>
      <c r="T47" s="247"/>
      <c r="X47" s="296" t="str" cm="1">
        <f t="array" aca="1" ref="X4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47" s="245" t="str" cm="1">
        <f t="array" aca="1" ref="Y4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47" s="246" t="str" cm="1">
        <f t="array" aca="1" ref="Z4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47" s="246" t="str" cm="1">
        <f t="array" aca="1" ref="AA4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47" s="106" t="str" cm="1">
        <f t="array" aca="1" ref="AB4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47" s="246" t="str" cm="1">
        <f t="array" aca="1" ref="AC4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47" s="247" t="str" cm="1">
        <f t="array" aca="1" ref="AD4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47" s="305" t="str" cm="1">
        <f t="array" aca="1" ref="AE4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48" spans="3:31" ht="13.5" customHeight="1" x14ac:dyDescent="0.2">
      <c r="C48" s="297">
        <f ca="1">IFERROR(IF(IFERROR(SUMPRODUCT((Transactions!$L$9:$L$5005=$D$1)*(Transactions!$M$9:$M$5005=22)*ROW(Transactions!$L$9:$L$5005)),0)=0,"",INDEX(Transactions!$C:$C,IFERROR(SUMPRODUCT((Transactions!$L$9:$L$5005=$D$1)*(Transactions!$M$9:$M$5005=22)*ROW(Transactions!$L$9:$L$5005)),0))),"")</f>
        <v>45087</v>
      </c>
      <c r="D48" s="107" t="str">
        <f ca="1">IFERROR(IF(IFERROR(SUMPRODUCT((Transactions!$L$9:$L$5005=$D$1)*(Transactions!$M$9:$M$5005=22)*ROW(Transactions!$L$9:$L$5005)),0)=0,"",INDEX(Transactions!$D:$D,IFERROR(SUMPRODUCT((Transactions!$L$9:$L$5005=$D$1)*(Transactions!$M$9:$M$5005=22)*ROW(Transactions!$L$9:$L$5005)),0))),"")</f>
        <v>June</v>
      </c>
      <c r="E48" s="108" t="str">
        <f ca="1">IFERROR(IF(IFERROR(SUMPRODUCT((Transactions!$L$9:$L$5005=$D$1)*(Transactions!$M$9:$M$5005=22)*ROW(Transactions!$L$9:$L$5005)),0)=0,"",INDEX(Transactions!$F:$F,IFERROR(SUMPRODUCT((Transactions!$L$9:$L$5005=$D$1)*(Transactions!$M$9:$M$5005=22)*ROW(Transactions!$L$9:$L$5005)),0))),"")</f>
        <v>Investment</v>
      </c>
      <c r="F48" s="108" t="str">
        <f ca="1">IFERROR(IF(IFERROR(SUMPRODUCT((Transactions!$L$9:$L$5005=$D$1)*(Transactions!$M$9:$M$5005=22)*ROW(Transactions!$L$9:$L$5005)),0)=0,"",INDEX(Transactions!$G:$G,IFERROR(SUMPRODUCT((Transactions!$L$9:$L$5005=$D$1)*(Transactions!$M$9:$M$5005=22)*ROW(Transactions!$L$9:$L$5005)),0))),"")</f>
        <v>Saving</v>
      </c>
      <c r="G48" s="109">
        <f ca="1">IFERROR(IF(IFERROR(SUMPRODUCT((Transactions!$L$9:$L$5005=$D$1)*(Transactions!$M$9:$M$5005=22)*ROW(Transactions!$L$9:$L$5005)),0)=0,"",INDEX(Transactions!$H:$H,IFERROR(SUMPRODUCT((Transactions!$L$9:$L$5005=$D$1)*(Transactions!$M$9:$M$5005=22)*ROW(Transactions!$L$9:$L$5005)),0))),"")</f>
        <v>1000</v>
      </c>
      <c r="H48" s="108">
        <f ca="1">IFERROR(IF(IFERROR(SUMPRODUCT((Transactions!$L$9:$L$5005=$D$1)*(Transactions!$M$9:$M$5005=22)*ROW(Transactions!$L$9:$L$5005)),0)=0,"",INDEX(Transactions!$J:$J,IFERROR(SUMPRODUCT((Transactions!$L$9:$L$5005=$D$1)*(Transactions!$M$9:$M$5005=22)*ROW(Transactions!$L$9:$L$5005)),0))),"")</f>
        <v>0</v>
      </c>
      <c r="I48" s="107">
        <f ca="1">IFERROR(IF(IFERROR(SUMPRODUCT((Transactions!$L$9:$L$5005=$D$1)*(Transactions!$M$9:$M$5005=22)*ROW(Transactions!$L$9:$L$5005)),0)=0,"",INDEX(Transactions!$K:$K,IFERROR(SUMPRODUCT((Transactions!$L$9:$L$5005=$D$1)*(Transactions!$M$9:$M$5005=22)*ROW(Transactions!$L$9:$L$5005)),0))),"")</f>
        <v>0</v>
      </c>
      <c r="J48" s="299">
        <f ca="1">IFERROR(IF(IFERROR(SUMPRODUCT((Transactions!$L$9:$L$5005=$D$1)*(Transactions!$M$9:$M$5005=22)*ROW(Transactions!$L$9:$L$5005)),0)=0,"",INDEX(Transactions!$L:$L,IFERROR(SUMPRODUCT((Transactions!$L$9:$L$5005=$D$1)*(Transactions!$M$9:$M$5005=22)*ROW(Transactions!$L$9:$L$5005)),0))),"")</f>
        <v>2023</v>
      </c>
      <c r="N48" s="112"/>
      <c r="O48" s="245"/>
      <c r="P48" s="246"/>
      <c r="Q48" s="246"/>
      <c r="R48" s="106"/>
      <c r="S48" s="246"/>
      <c r="T48" s="247"/>
      <c r="X48" s="296" t="str" cm="1">
        <f t="array" aca="1" ref="X4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48" s="245" t="str" cm="1">
        <f t="array" aca="1" ref="Y4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48" s="246" t="str" cm="1">
        <f t="array" aca="1" ref="Z4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48" s="246" t="str" cm="1">
        <f t="array" aca="1" ref="AA4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48" s="106" t="str" cm="1">
        <f t="array" aca="1" ref="AB4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48" s="246" t="str" cm="1">
        <f t="array" aca="1" ref="AC4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48" s="247" t="str" cm="1">
        <f t="array" aca="1" ref="AD4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48" s="305" t="str" cm="1">
        <f t="array" aca="1" ref="AE4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49" spans="3:31" ht="19.5" customHeight="1" x14ac:dyDescent="0.2">
      <c r="C49" s="296">
        <f ca="1">IFERROR(IF(IFERROR(SUMPRODUCT((Transactions!$L$9:$L$5005=$D$1)*(Transactions!$M$9:$M$5005=23)*ROW(Transactions!$L$9:$L$5005)),0)=0,"",INDEX(Transactions!$C:$C,IFERROR(SUMPRODUCT((Transactions!$L$9:$L$5005=$D$1)*(Transactions!$M$9:$M$5005=23)*ROW(Transactions!$L$9:$L$5005)),0))),"")</f>
        <v>45102</v>
      </c>
      <c r="D49" s="104" t="str">
        <f ca="1">IFERROR(IF(IFERROR(SUMPRODUCT((Transactions!$L$9:$L$5005=$D$1)*(Transactions!$M$9:$M$5005=23)*ROW(Transactions!$L$9:$L$5005)),0)=0,"",INDEX(Transactions!$D:$D,IFERROR(SUMPRODUCT((Transactions!$L$9:$L$5005=$D$1)*(Transactions!$M$9:$M$5005=23)*ROW(Transactions!$L$9:$L$5005)),0))),"")</f>
        <v>Delhi</v>
      </c>
      <c r="E49" s="105" t="str">
        <f ca="1">IFERROR(IF(IFERROR(SUMPRODUCT((Transactions!$L$9:$L$5005=$D$1)*(Transactions!$M$9:$M$5005=23)*ROW(Transactions!$L$9:$L$5005)),0)=0,"",INDEX(Transactions!$F:$F,IFERROR(SUMPRODUCT((Transactions!$L$9:$L$5005=$D$1)*(Transactions!$M$9:$M$5005=23)*ROW(Transactions!$L$9:$L$5005)),0))),"")</f>
        <v>Expense</v>
      </c>
      <c r="F49" s="105" t="str">
        <f ca="1">IFERROR(IF(IFERROR(SUMPRODUCT((Transactions!$L$9:$L$5005=$D$1)*(Transactions!$M$9:$M$5005=23)*ROW(Transactions!$L$9:$L$5005)),0)=0,"",INDEX(Transactions!$G:$G,IFERROR(SUMPRODUCT((Transactions!$L$9:$L$5005=$D$1)*(Transactions!$M$9:$M$5005=23)*ROW(Transactions!$L$9:$L$5005)),0))),"")</f>
        <v>Delhi</v>
      </c>
      <c r="G49" s="106">
        <f ca="1">IFERROR(IF(IFERROR(SUMPRODUCT((Transactions!$L$9:$L$5005=$D$1)*(Transactions!$M$9:$M$5005=23)*ROW(Transactions!$L$9:$L$5005)),0)=0,"",INDEX(Transactions!$H:$H,IFERROR(SUMPRODUCT((Transactions!$L$9:$L$5005=$D$1)*(Transactions!$M$9:$M$5005=23)*ROW(Transactions!$L$9:$L$5005)),0))),"")</f>
        <v>3000</v>
      </c>
      <c r="H49" s="105">
        <f ca="1">IFERROR(IF(IFERROR(SUMPRODUCT((Transactions!$L$9:$L$5005=$D$1)*(Transactions!$M$9:$M$5005=23)*ROW(Transactions!$L$9:$L$5005)),0)=0,"",INDEX(Transactions!$J:$J,IFERROR(SUMPRODUCT((Transactions!$L$9:$L$5005=$D$1)*(Transactions!$M$9:$M$5005=23)*ROW(Transactions!$L$9:$L$5005)),0))),"")</f>
        <v>0</v>
      </c>
      <c r="I49" s="104">
        <f ca="1">IFERROR(IF(IFERROR(SUMPRODUCT((Transactions!$L$9:$L$5005=$D$1)*(Transactions!$M$9:$M$5005=23)*ROW(Transactions!$L$9:$L$5005)),0)=0,"",INDEX(Transactions!$K:$K,IFERROR(SUMPRODUCT((Transactions!$L$9:$L$5005=$D$1)*(Transactions!$M$9:$M$5005=23)*ROW(Transactions!$L$9:$L$5005)),0))),"")</f>
        <v>0</v>
      </c>
      <c r="J49" s="298">
        <f ca="1">IFERROR(IF(IFERROR(SUMPRODUCT((Transactions!$L$9:$L$5005=$D$1)*(Transactions!$M$9:$M$5005=23)*ROW(Transactions!$L$9:$L$5005)),0)=0,"",INDEX(Transactions!$L:$L,IFERROR(SUMPRODUCT((Transactions!$L$9:$L$5005=$D$1)*(Transactions!$M$9:$M$5005=23)*ROW(Transactions!$L$9:$L$5005)),0))),"")</f>
        <v>2023</v>
      </c>
      <c r="N49" s="112"/>
      <c r="O49" s="245"/>
      <c r="P49" s="246"/>
      <c r="Q49" s="246"/>
      <c r="R49" s="106"/>
      <c r="S49" s="246"/>
      <c r="T49" s="247"/>
      <c r="X49" s="296" t="str" cm="1">
        <f t="array" aca="1" ref="X4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49" s="245" t="str" cm="1">
        <f t="array" aca="1" ref="Y4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49" s="246" t="str" cm="1">
        <f t="array" aca="1" ref="Z4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49" s="246" t="str" cm="1">
        <f t="array" aca="1" ref="AA4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49" s="106" t="str" cm="1">
        <f t="array" aca="1" ref="AB4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49" s="246" t="str" cm="1">
        <f t="array" aca="1" ref="AC4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49" s="247" t="str" cm="1">
        <f t="array" aca="1" ref="AD4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49" s="305" t="str" cm="1">
        <f t="array" aca="1" ref="AE4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50" spans="3:31" ht="16.5" customHeight="1" x14ac:dyDescent="0.2">
      <c r="C50" s="297">
        <f ca="1">IFERROR(IF(IFERROR(SUMPRODUCT((Transactions!$L$9:$L$5005=$D$1)*(Transactions!$M$9:$M$5005=24)*ROW(Transactions!$L$9:$L$5005)),0)=0,"",INDEX(Transactions!$C:$C,IFERROR(SUMPRODUCT((Transactions!$L$9:$L$5005=$D$1)*(Transactions!$M$9:$M$5005=24)*ROW(Transactions!$L$9:$L$5005)),0))),"")</f>
        <v>45107</v>
      </c>
      <c r="D50" s="107" t="str">
        <f ca="1">IFERROR(IF(IFERROR(SUMPRODUCT((Transactions!$L$9:$L$5005=$D$1)*(Transactions!$M$9:$M$5005=24)*ROW(Transactions!$L$9:$L$5005)),0)=0,"",INDEX(Transactions!$D:$D,IFERROR(SUMPRODUCT((Transactions!$L$9:$L$5005=$D$1)*(Transactions!$M$9:$M$5005=24)*ROW(Transactions!$L$9:$L$5005)),0))),"")</f>
        <v>Cognizant Jun</v>
      </c>
      <c r="E50" s="108" t="str">
        <f ca="1">IFERROR(IF(IFERROR(SUMPRODUCT((Transactions!$L$9:$L$5005=$D$1)*(Transactions!$M$9:$M$5005=24)*ROW(Transactions!$L$9:$L$5005)),0)=0,"",INDEX(Transactions!$F:$F,IFERROR(SUMPRODUCT((Transactions!$L$9:$L$5005=$D$1)*(Transactions!$M$9:$M$5005=24)*ROW(Transactions!$L$9:$L$5005)),0))),"")</f>
        <v>Income</v>
      </c>
      <c r="F50" s="108" t="str">
        <f ca="1">IFERROR(IF(IFERROR(SUMPRODUCT((Transactions!$L$9:$L$5005=$D$1)*(Transactions!$M$9:$M$5005=24)*ROW(Transactions!$L$9:$L$5005)),0)=0,"",INDEX(Transactions!$G:$G,IFERROR(SUMPRODUCT((Transactions!$L$9:$L$5005=$D$1)*(Transactions!$M$9:$M$5005=24)*ROW(Transactions!$L$9:$L$5005)),0))),"")</f>
        <v>Salary</v>
      </c>
      <c r="G50" s="109">
        <f ca="1">IFERROR(IF(IFERROR(SUMPRODUCT((Transactions!$L$9:$L$5005=$D$1)*(Transactions!$M$9:$M$5005=24)*ROW(Transactions!$L$9:$L$5005)),0)=0,"",INDEX(Transactions!$H:$H,IFERROR(SUMPRODUCT((Transactions!$L$9:$L$5005=$D$1)*(Transactions!$M$9:$M$5005=24)*ROW(Transactions!$L$9:$L$5005)),0))),"")</f>
        <v>34000</v>
      </c>
      <c r="H50" s="108">
        <f ca="1">IFERROR(IF(IFERROR(SUMPRODUCT((Transactions!$L$9:$L$5005=$D$1)*(Transactions!$M$9:$M$5005=24)*ROW(Transactions!$L$9:$L$5005)),0)=0,"",INDEX(Transactions!$J:$J,IFERROR(SUMPRODUCT((Transactions!$L$9:$L$5005=$D$1)*(Transactions!$M$9:$M$5005=24)*ROW(Transactions!$L$9:$L$5005)),0))),"")</f>
        <v>0</v>
      </c>
      <c r="I50" s="107">
        <f ca="1">IFERROR(IF(IFERROR(SUMPRODUCT((Transactions!$L$9:$L$5005=$D$1)*(Transactions!$M$9:$M$5005=24)*ROW(Transactions!$L$9:$L$5005)),0)=0,"",INDEX(Transactions!$K:$K,IFERROR(SUMPRODUCT((Transactions!$L$9:$L$5005=$D$1)*(Transactions!$M$9:$M$5005=24)*ROW(Transactions!$L$9:$L$5005)),0))),"")</f>
        <v>0</v>
      </c>
      <c r="J50" s="299">
        <f ca="1">IFERROR(IF(IFERROR(SUMPRODUCT((Transactions!$L$9:$L$5005=$D$1)*(Transactions!$M$9:$M$5005=24)*ROW(Transactions!$L$9:$L$5005)),0)=0,"",INDEX(Transactions!$L:$L,IFERROR(SUMPRODUCT((Transactions!$L$9:$L$5005=$D$1)*(Transactions!$M$9:$M$5005=24)*ROW(Transactions!$L$9:$L$5005)),0))),"")</f>
        <v>2023</v>
      </c>
      <c r="N50" s="112"/>
      <c r="O50" s="245"/>
      <c r="P50" s="246"/>
      <c r="Q50" s="246"/>
      <c r="R50" s="106"/>
      <c r="S50" s="246"/>
      <c r="T50" s="247"/>
      <c r="X50" s="296" t="str" cm="1">
        <f t="array" aca="1" ref="X5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50" s="245" t="str" cm="1">
        <f t="array" aca="1" ref="Y5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50" s="246" t="str" cm="1">
        <f t="array" aca="1" ref="Z5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50" s="246" t="str" cm="1">
        <f t="array" aca="1" ref="AA5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50" s="106" t="str" cm="1">
        <f t="array" aca="1" ref="AB5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50" s="246" t="str" cm="1">
        <f t="array" aca="1" ref="AC5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50" s="247" t="str" cm="1">
        <f t="array" aca="1" ref="AD5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50" s="305" t="str" cm="1">
        <f t="array" aca="1" ref="AE5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51" spans="3:31" ht="16.5" customHeight="1" x14ac:dyDescent="0.2">
      <c r="C51" s="296">
        <f ca="1">IFERROR(IF(IFERROR(SUMPRODUCT((Transactions!$L$9:$L$5005=$D$1)*(Transactions!$M$9:$M$5005=25)*ROW(Transactions!$L$9:$L$5005)),0)=0,"",INDEX(Transactions!$C:$C,IFERROR(SUMPRODUCT((Transactions!$L$9:$L$5005=$D$1)*(Transactions!$M$9:$M$5005=25)*ROW(Transactions!$L$9:$L$5005)),0))),"")</f>
        <v>45110</v>
      </c>
      <c r="D51" s="104" t="str">
        <f ca="1">IFERROR(IF(IFERROR(SUMPRODUCT((Transactions!$L$9:$L$5005=$D$1)*(Transactions!$M$9:$M$5005=25)*ROW(Transactions!$L$9:$L$5005)),0)=0,"",INDEX(Transactions!$D:$D,IFERROR(SUMPRODUCT((Transactions!$L$9:$L$5005=$D$1)*(Transactions!$M$9:$M$5005=25)*ROW(Transactions!$L$9:$L$5005)),0))),"")</f>
        <v>MBA4</v>
      </c>
      <c r="E51" s="105" t="str">
        <f ca="1">IFERROR(IF(IFERROR(SUMPRODUCT((Transactions!$L$9:$L$5005=$D$1)*(Transactions!$M$9:$M$5005=25)*ROW(Transactions!$L$9:$L$5005)),0)=0,"",INDEX(Transactions!$F:$F,IFERROR(SUMPRODUCT((Transactions!$L$9:$L$5005=$D$1)*(Transactions!$M$9:$M$5005=25)*ROW(Transactions!$L$9:$L$5005)),0))),"")</f>
        <v>Expense</v>
      </c>
      <c r="F51" s="105" t="str">
        <f ca="1">IFERROR(IF(IFERROR(SUMPRODUCT((Transactions!$L$9:$L$5005=$D$1)*(Transactions!$M$9:$M$5005=25)*ROW(Transactions!$L$9:$L$5005)),0)=0,"",INDEX(Transactions!$G:$G,IFERROR(SUMPRODUCT((Transactions!$L$9:$L$5005=$D$1)*(Transactions!$M$9:$M$5005=25)*ROW(Transactions!$L$9:$L$5005)),0))),"")</f>
        <v>Ed LOAN</v>
      </c>
      <c r="G51" s="106">
        <f ca="1">IFERROR(IF(IFERROR(SUMPRODUCT((Transactions!$L$9:$L$5005=$D$1)*(Transactions!$M$9:$M$5005=25)*ROW(Transactions!$L$9:$L$5005)),0)=0,"",INDEX(Transactions!$H:$H,IFERROR(SUMPRODUCT((Transactions!$L$9:$L$5005=$D$1)*(Transactions!$M$9:$M$5005=25)*ROW(Transactions!$L$9:$L$5005)),0))),"")</f>
        <v>6881</v>
      </c>
      <c r="H51" s="105">
        <f ca="1">IFERROR(IF(IFERROR(SUMPRODUCT((Transactions!$L$9:$L$5005=$D$1)*(Transactions!$M$9:$M$5005=25)*ROW(Transactions!$L$9:$L$5005)),0)=0,"",INDEX(Transactions!$J:$J,IFERROR(SUMPRODUCT((Transactions!$L$9:$L$5005=$D$1)*(Transactions!$M$9:$M$5005=25)*ROW(Transactions!$L$9:$L$5005)),0))),"")</f>
        <v>0</v>
      </c>
      <c r="I51" s="104">
        <f ca="1">IFERROR(IF(IFERROR(SUMPRODUCT((Transactions!$L$9:$L$5005=$D$1)*(Transactions!$M$9:$M$5005=25)*ROW(Transactions!$L$9:$L$5005)),0)=0,"",INDEX(Transactions!$K:$K,IFERROR(SUMPRODUCT((Transactions!$L$9:$L$5005=$D$1)*(Transactions!$M$9:$M$5005=25)*ROW(Transactions!$L$9:$L$5005)),0))),"")</f>
        <v>0</v>
      </c>
      <c r="J51" s="298">
        <f ca="1">IFERROR(IF(IFERROR(SUMPRODUCT((Transactions!$L$9:$L$5005=$D$1)*(Transactions!$M$9:$M$5005=25)*ROW(Transactions!$L$9:$L$5005)),0)=0,"",INDEX(Transactions!$L:$L,IFERROR(SUMPRODUCT((Transactions!$L$9:$L$5005=$D$1)*(Transactions!$M$9:$M$5005=25)*ROW(Transactions!$L$9:$L$5005)),0))),"")</f>
        <v>2023</v>
      </c>
      <c r="N51" s="112"/>
      <c r="O51" s="245"/>
      <c r="P51" s="246"/>
      <c r="Q51" s="246"/>
      <c r="R51" s="106"/>
      <c r="S51" s="246"/>
      <c r="T51" s="247"/>
      <c r="X51" s="296" t="str" cm="1">
        <f t="array" aca="1" ref="X5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51" s="245" t="str" cm="1">
        <f t="array" aca="1" ref="Y5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51" s="246" t="str" cm="1">
        <f t="array" aca="1" ref="Z5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51" s="246" t="str" cm="1">
        <f t="array" aca="1" ref="AA5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51" s="106" t="str" cm="1">
        <f t="array" aca="1" ref="AB5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51" s="246" t="str" cm="1">
        <f t="array" aca="1" ref="AC5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51" s="247" t="str" cm="1">
        <f t="array" aca="1" ref="AD5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51" s="305" t="str" cm="1">
        <f t="array" aca="1" ref="AE5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52" spans="3:31" ht="16.5" customHeight="1" x14ac:dyDescent="0.2">
      <c r="C52" s="297">
        <f ca="1">IFERROR(IF(IFERROR(SUMPRODUCT((Transactions!$L$9:$L$5005=$D$1)*(Transactions!$M$9:$M$5005=26)*ROW(Transactions!$L$9:$L$5005)),0)=0,"",INDEX(Transactions!$C:$C,IFERROR(SUMPRODUCT((Transactions!$L$9:$L$5005=$D$1)*(Transactions!$M$9:$M$5005=26)*ROW(Transactions!$L$9:$L$5005)),0))),"")</f>
        <v>45110</v>
      </c>
      <c r="D52" s="107" t="str">
        <f ca="1">IFERROR(IF(IFERROR(SUMPRODUCT((Transactions!$L$9:$L$5005=$D$1)*(Transactions!$M$9:$M$5005=26)*ROW(Transactions!$L$9:$L$5005)),0)=0,"",INDEX(Transactions!$D:$D,IFERROR(SUMPRODUCT((Transactions!$L$9:$L$5005=$D$1)*(Transactions!$M$9:$M$5005=26)*ROW(Transactions!$L$9:$L$5005)),0))),"")</f>
        <v xml:space="preserve">July  </v>
      </c>
      <c r="E52" s="108" t="str">
        <f ca="1">IFERROR(IF(IFERROR(SUMPRODUCT((Transactions!$L$9:$L$5005=$D$1)*(Transactions!$M$9:$M$5005=26)*ROW(Transactions!$L$9:$L$5005)),0)=0,"",INDEX(Transactions!$F:$F,IFERROR(SUMPRODUCT((Transactions!$L$9:$L$5005=$D$1)*(Transactions!$M$9:$M$5005=26)*ROW(Transactions!$L$9:$L$5005)),0))),"")</f>
        <v>Expense</v>
      </c>
      <c r="F52" s="108" t="str">
        <f ca="1">IFERROR(IF(IFERROR(SUMPRODUCT((Transactions!$L$9:$L$5005=$D$1)*(Transactions!$M$9:$M$5005=26)*ROW(Transactions!$L$9:$L$5005)),0)=0,"",INDEX(Transactions!$G:$G,IFERROR(SUMPRODUCT((Transactions!$L$9:$L$5005=$D$1)*(Transactions!$M$9:$M$5005=26)*ROW(Transactions!$L$9:$L$5005)),0))),"")</f>
        <v>Pawan</v>
      </c>
      <c r="G52" s="109">
        <f ca="1">IFERROR(IF(IFERROR(SUMPRODUCT((Transactions!$L$9:$L$5005=$D$1)*(Transactions!$M$9:$M$5005=26)*ROW(Transactions!$L$9:$L$5005)),0)=0,"",INDEX(Transactions!$H:$H,IFERROR(SUMPRODUCT((Transactions!$L$9:$L$5005=$D$1)*(Transactions!$M$9:$M$5005=26)*ROW(Transactions!$L$9:$L$5005)),0))),"")</f>
        <v>3500</v>
      </c>
      <c r="H52" s="108">
        <f ca="1">IFERROR(IF(IFERROR(SUMPRODUCT((Transactions!$L$9:$L$5005=$D$1)*(Transactions!$M$9:$M$5005=26)*ROW(Transactions!$L$9:$L$5005)),0)=0,"",INDEX(Transactions!$J:$J,IFERROR(SUMPRODUCT((Transactions!$L$9:$L$5005=$D$1)*(Transactions!$M$9:$M$5005=26)*ROW(Transactions!$L$9:$L$5005)),0))),"")</f>
        <v>0</v>
      </c>
      <c r="I52" s="107">
        <f ca="1">IFERROR(IF(IFERROR(SUMPRODUCT((Transactions!$L$9:$L$5005=$D$1)*(Transactions!$M$9:$M$5005=26)*ROW(Transactions!$L$9:$L$5005)),0)=0,"",INDEX(Transactions!$K:$K,IFERROR(SUMPRODUCT((Transactions!$L$9:$L$5005=$D$1)*(Transactions!$M$9:$M$5005=26)*ROW(Transactions!$L$9:$L$5005)),0))),"")</f>
        <v>0</v>
      </c>
      <c r="J52" s="299">
        <f ca="1">IFERROR(IF(IFERROR(SUMPRODUCT((Transactions!$L$9:$L$5005=$D$1)*(Transactions!$M$9:$M$5005=26)*ROW(Transactions!$L$9:$L$5005)),0)=0,"",INDEX(Transactions!$L:$L,IFERROR(SUMPRODUCT((Transactions!$L$9:$L$5005=$D$1)*(Transactions!$M$9:$M$5005=26)*ROW(Transactions!$L$9:$L$5005)),0))),"")</f>
        <v>2023</v>
      </c>
      <c r="N52" s="112"/>
      <c r="O52" s="245"/>
      <c r="P52" s="246"/>
      <c r="Q52" s="246"/>
      <c r="R52" s="106"/>
      <c r="S52" s="246"/>
      <c r="T52" s="247"/>
      <c r="X52" s="296" t="str" cm="1">
        <f t="array" aca="1" ref="X5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52" s="245" t="str" cm="1">
        <f t="array" aca="1" ref="Y5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52" s="246" t="str" cm="1">
        <f t="array" aca="1" ref="Z5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52" s="246" t="str" cm="1">
        <f t="array" aca="1" ref="AA5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52" s="106" t="str" cm="1">
        <f t="array" aca="1" ref="AB5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52" s="246" t="str" cm="1">
        <f t="array" aca="1" ref="AC5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52" s="247" t="str" cm="1">
        <f t="array" aca="1" ref="AD5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52" s="305" t="str" cm="1">
        <f t="array" aca="1" ref="AE5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53" spans="3:31" ht="16.5" customHeight="1" x14ac:dyDescent="0.2">
      <c r="C53" s="296">
        <f ca="1">IFERROR(IF(IFERROR(SUMPRODUCT((Transactions!$L$9:$L$5005=$D$1)*(Transactions!$M$9:$M$5005=27)*ROW(Transactions!$L$9:$L$5005)),0)=0,"",INDEX(Transactions!$C:$C,IFERROR(SUMPRODUCT((Transactions!$L$9:$L$5005=$D$1)*(Transactions!$M$9:$M$5005=27)*ROW(Transactions!$L$9:$L$5005)),0))),"")</f>
        <v>45117</v>
      </c>
      <c r="D53" s="104" t="str">
        <f ca="1">IFERROR(IF(IFERROR(SUMPRODUCT((Transactions!$L$9:$L$5005=$D$1)*(Transactions!$M$9:$M$5005=27)*ROW(Transactions!$L$9:$L$5005)),0)=0,"",INDEX(Transactions!$D:$D,IFERROR(SUMPRODUCT((Transactions!$L$9:$L$5005=$D$1)*(Transactions!$M$9:$M$5005=27)*ROW(Transactions!$L$9:$L$5005)),0))),"")</f>
        <v>July</v>
      </c>
      <c r="E53" s="105" t="str">
        <f ca="1">IFERROR(IF(IFERROR(SUMPRODUCT((Transactions!$L$9:$L$5005=$D$1)*(Transactions!$M$9:$M$5005=27)*ROW(Transactions!$L$9:$L$5005)),0)=0,"",INDEX(Transactions!$F:$F,IFERROR(SUMPRODUCT((Transactions!$L$9:$L$5005=$D$1)*(Transactions!$M$9:$M$5005=27)*ROW(Transactions!$L$9:$L$5005)),0))),"")</f>
        <v>Investment</v>
      </c>
      <c r="F53" s="105" t="str">
        <f ca="1">IFERROR(IF(IFERROR(SUMPRODUCT((Transactions!$L$9:$L$5005=$D$1)*(Transactions!$M$9:$M$5005=27)*ROW(Transactions!$L$9:$L$5005)),0)=0,"",INDEX(Transactions!$G:$G,IFERROR(SUMPRODUCT((Transactions!$L$9:$L$5005=$D$1)*(Transactions!$M$9:$M$5005=27)*ROW(Transactions!$L$9:$L$5005)),0))),"")</f>
        <v>Saving</v>
      </c>
      <c r="G53" s="106">
        <f ca="1">IFERROR(IF(IFERROR(SUMPRODUCT((Transactions!$L$9:$L$5005=$D$1)*(Transactions!$M$9:$M$5005=27)*ROW(Transactions!$L$9:$L$5005)),0)=0,"",INDEX(Transactions!$H:$H,IFERROR(SUMPRODUCT((Transactions!$L$9:$L$5005=$D$1)*(Transactions!$M$9:$M$5005=27)*ROW(Transactions!$L$9:$L$5005)),0))),"")</f>
        <v>1000</v>
      </c>
      <c r="H53" s="105">
        <f ca="1">IFERROR(IF(IFERROR(SUMPRODUCT((Transactions!$L$9:$L$5005=$D$1)*(Transactions!$M$9:$M$5005=27)*ROW(Transactions!$L$9:$L$5005)),0)=0,"",INDEX(Transactions!$J:$J,IFERROR(SUMPRODUCT((Transactions!$L$9:$L$5005=$D$1)*(Transactions!$M$9:$M$5005=27)*ROW(Transactions!$L$9:$L$5005)),0))),"")</f>
        <v>0</v>
      </c>
      <c r="I53" s="104">
        <f ca="1">IFERROR(IF(IFERROR(SUMPRODUCT((Transactions!$L$9:$L$5005=$D$1)*(Transactions!$M$9:$M$5005=27)*ROW(Transactions!$L$9:$L$5005)),0)=0,"",INDEX(Transactions!$K:$K,IFERROR(SUMPRODUCT((Transactions!$L$9:$L$5005=$D$1)*(Transactions!$M$9:$M$5005=27)*ROW(Transactions!$L$9:$L$5005)),0))),"")</f>
        <v>0</v>
      </c>
      <c r="J53" s="298">
        <f ca="1">IFERROR(IF(IFERROR(SUMPRODUCT((Transactions!$L$9:$L$5005=$D$1)*(Transactions!$M$9:$M$5005=27)*ROW(Transactions!$L$9:$L$5005)),0)=0,"",INDEX(Transactions!$L:$L,IFERROR(SUMPRODUCT((Transactions!$L$9:$L$5005=$D$1)*(Transactions!$M$9:$M$5005=27)*ROW(Transactions!$L$9:$L$5005)),0))),"")</f>
        <v>2023</v>
      </c>
      <c r="N53" s="112"/>
      <c r="O53" s="245"/>
      <c r="P53" s="246"/>
      <c r="Q53" s="246"/>
      <c r="R53" s="106"/>
      <c r="S53" s="246"/>
      <c r="T53" s="247"/>
      <c r="X53" s="296" t="str" cm="1">
        <f t="array" aca="1" ref="X5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53" s="245" t="str" cm="1">
        <f t="array" aca="1" ref="Y5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53" s="246" t="str" cm="1">
        <f t="array" aca="1" ref="Z5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53" s="246" t="str" cm="1">
        <f t="array" aca="1" ref="AA5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53" s="106" t="str" cm="1">
        <f t="array" aca="1" ref="AB5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53" s="246" t="str" cm="1">
        <f t="array" aca="1" ref="AC5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53" s="247" t="str" cm="1">
        <f t="array" aca="1" ref="AD5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53" s="305" t="str" cm="1">
        <f t="array" aca="1" ref="AE5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54" spans="3:31" ht="16.5" customHeight="1" x14ac:dyDescent="0.2">
      <c r="C54" s="297">
        <f ca="1">IFERROR(IF(IFERROR(SUMPRODUCT((Transactions!$L$9:$L$5005=$D$1)*(Transactions!$M$9:$M$5005=28)*ROW(Transactions!$L$9:$L$5005)),0)=0,"",INDEX(Transactions!$C:$C,IFERROR(SUMPRODUCT((Transactions!$L$9:$L$5005=$D$1)*(Transactions!$M$9:$M$5005=28)*ROW(Transactions!$L$9:$L$5005)),0))),"")</f>
        <v>45121</v>
      </c>
      <c r="D54" s="107" t="str">
        <f ca="1">IFERROR(IF(IFERROR(SUMPRODUCT((Transactions!$L$9:$L$5005=$D$1)*(Transactions!$M$9:$M$5005=28)*ROW(Transactions!$L$9:$L$5005)),0)=0,"",INDEX(Transactions!$D:$D,IFERROR(SUMPRODUCT((Transactions!$L$9:$L$5005=$D$1)*(Transactions!$M$9:$M$5005=28)*ROW(Transactions!$L$9:$L$5005)),0))),"")</f>
        <v>clg 1st sem fee</v>
      </c>
      <c r="E54" s="108" t="str">
        <f ca="1">IFERROR(IF(IFERROR(SUMPRODUCT((Transactions!$L$9:$L$5005=$D$1)*(Transactions!$M$9:$M$5005=28)*ROW(Transactions!$L$9:$L$5005)),0)=0,"",INDEX(Transactions!$F:$F,IFERROR(SUMPRODUCT((Transactions!$L$9:$L$5005=$D$1)*(Transactions!$M$9:$M$5005=28)*ROW(Transactions!$L$9:$L$5005)),0))),"")</f>
        <v>Expense</v>
      </c>
      <c r="F54" s="108" t="str">
        <f ca="1">IFERROR(IF(IFERROR(SUMPRODUCT((Transactions!$L$9:$L$5005=$D$1)*(Transactions!$M$9:$M$5005=28)*ROW(Transactions!$L$9:$L$5005)),0)=0,"",INDEX(Transactions!$G:$G,IFERROR(SUMPRODUCT((Transactions!$L$9:$L$5005=$D$1)*(Transactions!$M$9:$M$5005=28)*ROW(Transactions!$L$9:$L$5005)),0))),"")</f>
        <v>Nisha</v>
      </c>
      <c r="G54" s="109">
        <f ca="1">IFERROR(IF(IFERROR(SUMPRODUCT((Transactions!$L$9:$L$5005=$D$1)*(Transactions!$M$9:$M$5005=28)*ROW(Transactions!$L$9:$L$5005)),0)=0,"",INDEX(Transactions!$H:$H,IFERROR(SUMPRODUCT((Transactions!$L$9:$L$5005=$D$1)*(Transactions!$M$9:$M$5005=28)*ROW(Transactions!$L$9:$L$5005)),0))),"")</f>
        <v>30000</v>
      </c>
      <c r="H54" s="108">
        <f ca="1">IFERROR(IF(IFERROR(SUMPRODUCT((Transactions!$L$9:$L$5005=$D$1)*(Transactions!$M$9:$M$5005=28)*ROW(Transactions!$L$9:$L$5005)),0)=0,"",INDEX(Transactions!$J:$J,IFERROR(SUMPRODUCT((Transactions!$L$9:$L$5005=$D$1)*(Transactions!$M$9:$M$5005=28)*ROW(Transactions!$L$9:$L$5005)),0))),"")</f>
        <v>0</v>
      </c>
      <c r="I54" s="107" t="str">
        <f ca="1">IFERROR(IF(IFERROR(SUMPRODUCT((Transactions!$L$9:$L$5005=$D$1)*(Transactions!$M$9:$M$5005=28)*ROW(Transactions!$L$9:$L$5005)),0)=0,"",INDEX(Transactions!$K:$K,IFERROR(SUMPRODUCT((Transactions!$L$9:$L$5005=$D$1)*(Transactions!$M$9:$M$5005=28)*ROW(Transactions!$L$9:$L$5005)),0))),"")</f>
        <v>Papa</v>
      </c>
      <c r="J54" s="299">
        <f ca="1">IFERROR(IF(IFERROR(SUMPRODUCT((Transactions!$L$9:$L$5005=$D$1)*(Transactions!$M$9:$M$5005=28)*ROW(Transactions!$L$9:$L$5005)),0)=0,"",INDEX(Transactions!$L:$L,IFERROR(SUMPRODUCT((Transactions!$L$9:$L$5005=$D$1)*(Transactions!$M$9:$M$5005=28)*ROW(Transactions!$L$9:$L$5005)),0))),"")</f>
        <v>2023</v>
      </c>
      <c r="N54" s="112"/>
      <c r="O54" s="245"/>
      <c r="P54" s="246"/>
      <c r="Q54" s="246"/>
      <c r="R54" s="106"/>
      <c r="S54" s="246"/>
      <c r="T54" s="247"/>
      <c r="X54" s="296" t="str" cm="1">
        <f t="array" aca="1" ref="X5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54" s="245" t="str" cm="1">
        <f t="array" aca="1" ref="Y5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54" s="246" t="str" cm="1">
        <f t="array" aca="1" ref="Z5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54" s="246" t="str" cm="1">
        <f t="array" aca="1" ref="AA5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54" s="106" t="str" cm="1">
        <f t="array" aca="1" ref="AB5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54" s="246" t="str" cm="1">
        <f t="array" aca="1" ref="AC5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54" s="247" t="str" cm="1">
        <f t="array" aca="1" ref="AD5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54" s="305" t="str" cm="1">
        <f t="array" aca="1" ref="AE5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55" spans="3:31" ht="16.5" customHeight="1" x14ac:dyDescent="0.2">
      <c r="C55" s="296">
        <f ca="1">IFERROR(IF(IFERROR(SUMPRODUCT((Transactions!$L$9:$L$5005=$D$1)*(Transactions!$M$9:$M$5005=29)*ROW(Transactions!$L$9:$L$5005)),0)=0,"",INDEX(Transactions!$C:$C,IFERROR(SUMPRODUCT((Transactions!$L$9:$L$5005=$D$1)*(Transactions!$M$9:$M$5005=29)*ROW(Transactions!$L$9:$L$5005)),0))),"")</f>
        <v>45122</v>
      </c>
      <c r="D55" s="104" t="str">
        <f ca="1">IFERROR(IF(IFERROR(SUMPRODUCT((Transactions!$L$9:$L$5005=$D$1)*(Transactions!$M$9:$M$5005=29)*ROW(Transactions!$L$9:$L$5005)),0)=0,"",INDEX(Transactions!$D:$D,IFERROR(SUMPRODUCT((Transactions!$L$9:$L$5005=$D$1)*(Transactions!$M$9:$M$5005=29)*ROW(Transactions!$L$9:$L$5005)),0))),"")</f>
        <v>home, self</v>
      </c>
      <c r="E55" s="105" t="str">
        <f ca="1">IFERROR(IF(IFERROR(SUMPRODUCT((Transactions!$L$9:$L$5005=$D$1)*(Transactions!$M$9:$M$5005=29)*ROW(Transactions!$L$9:$L$5005)),0)=0,"",INDEX(Transactions!$F:$F,IFERROR(SUMPRODUCT((Transactions!$L$9:$L$5005=$D$1)*(Transactions!$M$9:$M$5005=29)*ROW(Transactions!$L$9:$L$5005)),0))),"")</f>
        <v>Expense</v>
      </c>
      <c r="F55" s="105" t="str">
        <f ca="1">IFERROR(IF(IFERROR(SUMPRODUCT((Transactions!$L$9:$L$5005=$D$1)*(Transactions!$M$9:$M$5005=29)*ROW(Transactions!$L$9:$L$5005)),0)=0,"",INDEX(Transactions!$G:$G,IFERROR(SUMPRODUCT((Transactions!$L$9:$L$5005=$D$1)*(Transactions!$M$9:$M$5005=29)*ROW(Transactions!$L$9:$L$5005)),0))),"")</f>
        <v>Recharge</v>
      </c>
      <c r="G55" s="106">
        <f ca="1">IFERROR(IF(IFERROR(SUMPRODUCT((Transactions!$L$9:$L$5005=$D$1)*(Transactions!$M$9:$M$5005=29)*ROW(Transactions!$L$9:$L$5005)),0)=0,"",INDEX(Transactions!$H:$H,IFERROR(SUMPRODUCT((Transactions!$L$9:$L$5005=$D$1)*(Transactions!$M$9:$M$5005=29)*ROW(Transactions!$L$9:$L$5005)),0))),"")</f>
        <v>1150</v>
      </c>
      <c r="H55" s="105">
        <f ca="1">IFERROR(IF(IFERROR(SUMPRODUCT((Transactions!$L$9:$L$5005=$D$1)*(Transactions!$M$9:$M$5005=29)*ROW(Transactions!$L$9:$L$5005)),0)=0,"",INDEX(Transactions!$J:$J,IFERROR(SUMPRODUCT((Transactions!$L$9:$L$5005=$D$1)*(Transactions!$M$9:$M$5005=29)*ROW(Transactions!$L$9:$L$5005)),0))),"")</f>
        <v>0</v>
      </c>
      <c r="I55" s="104">
        <f ca="1">IFERROR(IF(IFERROR(SUMPRODUCT((Transactions!$L$9:$L$5005=$D$1)*(Transactions!$M$9:$M$5005=29)*ROW(Transactions!$L$9:$L$5005)),0)=0,"",INDEX(Transactions!$K:$K,IFERROR(SUMPRODUCT((Transactions!$L$9:$L$5005=$D$1)*(Transactions!$M$9:$M$5005=29)*ROW(Transactions!$L$9:$L$5005)),0))),"")</f>
        <v>0</v>
      </c>
      <c r="J55" s="298">
        <f ca="1">IFERROR(IF(IFERROR(SUMPRODUCT((Transactions!$L$9:$L$5005=$D$1)*(Transactions!$M$9:$M$5005=29)*ROW(Transactions!$L$9:$L$5005)),0)=0,"",INDEX(Transactions!$L:$L,IFERROR(SUMPRODUCT((Transactions!$L$9:$L$5005=$D$1)*(Transactions!$M$9:$M$5005=29)*ROW(Transactions!$L$9:$L$5005)),0))),"")</f>
        <v>2023</v>
      </c>
      <c r="N55" s="112"/>
      <c r="O55" s="245"/>
      <c r="P55" s="246"/>
      <c r="Q55" s="246"/>
      <c r="R55" s="106"/>
      <c r="S55" s="246"/>
      <c r="T55" s="247"/>
      <c r="X55" s="296" t="str" cm="1">
        <f t="array" aca="1" ref="X5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55" s="245" t="str" cm="1">
        <f t="array" aca="1" ref="Y5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55" s="246" t="str" cm="1">
        <f t="array" aca="1" ref="Z5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55" s="246" t="str" cm="1">
        <f t="array" aca="1" ref="AA5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55" s="106" t="str" cm="1">
        <f t="array" aca="1" ref="AB5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55" s="246" t="str" cm="1">
        <f t="array" aca="1" ref="AC5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55" s="247" t="str" cm="1">
        <f t="array" aca="1" ref="AD5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55" s="305" t="str" cm="1">
        <f t="array" aca="1" ref="AE5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56" spans="3:31" ht="16.5" customHeight="1" x14ac:dyDescent="0.2">
      <c r="C56" s="297">
        <f ca="1">IFERROR(IF(IFERROR(SUMPRODUCT((Transactions!$L$9:$L$5005=$D$1)*(Transactions!$M$9:$M$5005=30)*ROW(Transactions!$L$9:$L$5005)),0)=0,"",INDEX(Transactions!$C:$C,IFERROR(SUMPRODUCT((Transactions!$L$9:$L$5005=$D$1)*(Transactions!$M$9:$M$5005=30)*ROW(Transactions!$L$9:$L$5005)),0))),"")</f>
        <v>45133</v>
      </c>
      <c r="D56" s="107">
        <f ca="1">IFERROR(IF(IFERROR(SUMPRODUCT((Transactions!$L$9:$L$5005=$D$1)*(Transactions!$M$9:$M$5005=30)*ROW(Transactions!$L$9:$L$5005)),0)=0,"",INDEX(Transactions!$D:$D,IFERROR(SUMPRODUCT((Transactions!$L$9:$L$5005=$D$1)*(Transactions!$M$9:$M$5005=30)*ROW(Transactions!$L$9:$L$5005)),0))),"")</f>
        <v>45139</v>
      </c>
      <c r="E56" s="108" t="str">
        <f ca="1">IFERROR(IF(IFERROR(SUMPRODUCT((Transactions!$L$9:$L$5005=$D$1)*(Transactions!$M$9:$M$5005=30)*ROW(Transactions!$L$9:$L$5005)),0)=0,"",INDEX(Transactions!$F:$F,IFERROR(SUMPRODUCT((Transactions!$L$9:$L$5005=$D$1)*(Transactions!$M$9:$M$5005=30)*ROW(Transactions!$L$9:$L$5005)),0))),"")</f>
        <v>Expense</v>
      </c>
      <c r="F56" s="108" t="str">
        <f ca="1">IFERROR(IF(IFERROR(SUMPRODUCT((Transactions!$L$9:$L$5005=$D$1)*(Transactions!$M$9:$M$5005=30)*ROW(Transactions!$L$9:$L$5005)),0)=0,"",INDEX(Transactions!$G:$G,IFERROR(SUMPRODUCT((Transactions!$L$9:$L$5005=$D$1)*(Transactions!$M$9:$M$5005=30)*ROW(Transactions!$L$9:$L$5005)),0))),"")</f>
        <v>Pawan</v>
      </c>
      <c r="G56" s="109">
        <f ca="1">IFERROR(IF(IFERROR(SUMPRODUCT((Transactions!$L$9:$L$5005=$D$1)*(Transactions!$M$9:$M$5005=30)*ROW(Transactions!$L$9:$L$5005)),0)=0,"",INDEX(Transactions!$H:$H,IFERROR(SUMPRODUCT((Transactions!$L$9:$L$5005=$D$1)*(Transactions!$M$9:$M$5005=30)*ROW(Transactions!$L$9:$L$5005)),0))),"")</f>
        <v>4000</v>
      </c>
      <c r="H56" s="108">
        <f ca="1">IFERROR(IF(IFERROR(SUMPRODUCT((Transactions!$L$9:$L$5005=$D$1)*(Transactions!$M$9:$M$5005=30)*ROW(Transactions!$L$9:$L$5005)),0)=0,"",INDEX(Transactions!$J:$J,IFERROR(SUMPRODUCT((Transactions!$L$9:$L$5005=$D$1)*(Transactions!$M$9:$M$5005=30)*ROW(Transactions!$L$9:$L$5005)),0))),"")</f>
        <v>0</v>
      </c>
      <c r="I56" s="107">
        <f ca="1">IFERROR(IF(IFERROR(SUMPRODUCT((Transactions!$L$9:$L$5005=$D$1)*(Transactions!$M$9:$M$5005=30)*ROW(Transactions!$L$9:$L$5005)),0)=0,"",INDEX(Transactions!$K:$K,IFERROR(SUMPRODUCT((Transactions!$L$9:$L$5005=$D$1)*(Transactions!$M$9:$M$5005=30)*ROW(Transactions!$L$9:$L$5005)),0))),"")</f>
        <v>0</v>
      </c>
      <c r="J56" s="299">
        <f ca="1">IFERROR(IF(IFERROR(SUMPRODUCT((Transactions!$L$9:$L$5005=$D$1)*(Transactions!$M$9:$M$5005=30)*ROW(Transactions!$L$9:$L$5005)),0)=0,"",INDEX(Transactions!$L:$L,IFERROR(SUMPRODUCT((Transactions!$L$9:$L$5005=$D$1)*(Transactions!$M$9:$M$5005=30)*ROW(Transactions!$L$9:$L$5005)),0))),"")</f>
        <v>2023</v>
      </c>
      <c r="N56" s="112"/>
      <c r="O56" s="245"/>
      <c r="P56" s="246"/>
      <c r="Q56" s="246"/>
      <c r="R56" s="106"/>
      <c r="S56" s="246"/>
      <c r="T56" s="247"/>
      <c r="X56" s="296" t="str" cm="1">
        <f t="array" aca="1" ref="X5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56" s="245" t="str" cm="1">
        <f t="array" aca="1" ref="Y5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56" s="246" t="str" cm="1">
        <f t="array" aca="1" ref="Z5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56" s="246" t="str" cm="1">
        <f t="array" aca="1" ref="AA5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56" s="106" t="str" cm="1">
        <f t="array" aca="1" ref="AB5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56" s="246" t="str" cm="1">
        <f t="array" aca="1" ref="AC5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56" s="247" t="str" cm="1">
        <f t="array" aca="1" ref="AD5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56" s="305" t="str" cm="1">
        <f t="array" aca="1" ref="AE5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57" spans="3:31" ht="16.5" customHeight="1" x14ac:dyDescent="0.2">
      <c r="C57" s="296">
        <f ca="1">IFERROR(IF(IFERROR(SUMPRODUCT((Transactions!$L$9:$L$5005=$D$1)*(Transactions!$M$9:$M$5005=31)*ROW(Transactions!$L$9:$L$5005)),0)=0,"",INDEX(Transactions!$C:$C,IFERROR(SUMPRODUCT((Transactions!$L$9:$L$5005=$D$1)*(Transactions!$M$9:$M$5005=31)*ROW(Transactions!$L$9:$L$5005)),0))),"")</f>
        <v>45133</v>
      </c>
      <c r="D57" s="104" t="str">
        <f ca="1">IFERROR(IF(IFERROR(SUMPRODUCT((Transactions!$L$9:$L$5005=$D$1)*(Transactions!$M$9:$M$5005=31)*ROW(Transactions!$L$9:$L$5005)),0)=0,"",INDEX(Transactions!$D:$D,IFERROR(SUMPRODUCT((Transactions!$L$9:$L$5005=$D$1)*(Transactions!$M$9:$M$5005=31)*ROW(Transactions!$L$9:$L$5005)),0))),"")</f>
        <v>Diwali tkt</v>
      </c>
      <c r="E57" s="105" t="str">
        <f ca="1">IFERROR(IF(IFERROR(SUMPRODUCT((Transactions!$L$9:$L$5005=$D$1)*(Transactions!$M$9:$M$5005=31)*ROW(Transactions!$L$9:$L$5005)),0)=0,"",INDEX(Transactions!$F:$F,IFERROR(SUMPRODUCT((Transactions!$L$9:$L$5005=$D$1)*(Transactions!$M$9:$M$5005=31)*ROW(Transactions!$L$9:$L$5005)),0))),"")</f>
        <v>Expense</v>
      </c>
      <c r="F57" s="105" t="str">
        <f ca="1">IFERROR(IF(IFERROR(SUMPRODUCT((Transactions!$L$9:$L$5005=$D$1)*(Transactions!$M$9:$M$5005=31)*ROW(Transactions!$L$9:$L$5005)),0)=0,"",INDEX(Transactions!$G:$G,IFERROR(SUMPRODUCT((Transactions!$L$9:$L$5005=$D$1)*(Transactions!$M$9:$M$5005=31)*ROW(Transactions!$L$9:$L$5005)),0))),"")</f>
        <v>Railway</v>
      </c>
      <c r="G57" s="106">
        <f ca="1">IFERROR(IF(IFERROR(SUMPRODUCT((Transactions!$L$9:$L$5005=$D$1)*(Transactions!$M$9:$M$5005=31)*ROW(Transactions!$L$9:$L$5005)),0)=0,"",INDEX(Transactions!$H:$H,IFERROR(SUMPRODUCT((Transactions!$L$9:$L$5005=$D$1)*(Transactions!$M$9:$M$5005=31)*ROW(Transactions!$L$9:$L$5005)),0))),"")</f>
        <v>5285</v>
      </c>
      <c r="H57" s="105">
        <f ca="1">IFERROR(IF(IFERROR(SUMPRODUCT((Transactions!$L$9:$L$5005=$D$1)*(Transactions!$M$9:$M$5005=31)*ROW(Transactions!$L$9:$L$5005)),0)=0,"",INDEX(Transactions!$J:$J,IFERROR(SUMPRODUCT((Transactions!$L$9:$L$5005=$D$1)*(Transactions!$M$9:$M$5005=31)*ROW(Transactions!$L$9:$L$5005)),0))),"")</f>
        <v>0</v>
      </c>
      <c r="I57" s="104">
        <f ca="1">IFERROR(IF(IFERROR(SUMPRODUCT((Transactions!$L$9:$L$5005=$D$1)*(Transactions!$M$9:$M$5005=31)*ROW(Transactions!$L$9:$L$5005)),0)=0,"",INDEX(Transactions!$K:$K,IFERROR(SUMPRODUCT((Transactions!$L$9:$L$5005=$D$1)*(Transactions!$M$9:$M$5005=31)*ROW(Transactions!$L$9:$L$5005)),0))),"")</f>
        <v>0</v>
      </c>
      <c r="J57" s="298">
        <f ca="1">IFERROR(IF(IFERROR(SUMPRODUCT((Transactions!$L$9:$L$5005=$D$1)*(Transactions!$M$9:$M$5005=31)*ROW(Transactions!$L$9:$L$5005)),0)=0,"",INDEX(Transactions!$L:$L,IFERROR(SUMPRODUCT((Transactions!$L$9:$L$5005=$D$1)*(Transactions!$M$9:$M$5005=31)*ROW(Transactions!$L$9:$L$5005)),0))),"")</f>
        <v>2023</v>
      </c>
      <c r="N57" s="112"/>
      <c r="O57" s="245"/>
      <c r="P57" s="246"/>
      <c r="Q57" s="246"/>
      <c r="R57" s="106"/>
      <c r="S57" s="246"/>
      <c r="T57" s="247"/>
      <c r="X57" s="296" t="str" cm="1">
        <f t="array" aca="1" ref="X5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57" s="245" t="str" cm="1">
        <f t="array" aca="1" ref="Y5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57" s="246" t="str" cm="1">
        <f t="array" aca="1" ref="Z5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57" s="246" t="str" cm="1">
        <f t="array" aca="1" ref="AA5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57" s="106" t="str" cm="1">
        <f t="array" aca="1" ref="AB5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57" s="246" t="str" cm="1">
        <f t="array" aca="1" ref="AC5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57" s="247" t="str" cm="1">
        <f t="array" aca="1" ref="AD5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57" s="305" t="str" cm="1">
        <f t="array" aca="1" ref="AE5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58" spans="3:31" ht="16.5" customHeight="1" x14ac:dyDescent="0.2">
      <c r="C58" s="297">
        <f ca="1">IFERROR(IF(IFERROR(SUMPRODUCT((Transactions!$L$9:$L$5005=$D$1)*(Transactions!$M$9:$M$5005=32)*ROW(Transactions!$L$9:$L$5005)),0)=0,"",INDEX(Transactions!$C:$C,IFERROR(SUMPRODUCT((Transactions!$L$9:$L$5005=$D$1)*(Transactions!$M$9:$M$5005=32)*ROW(Transactions!$L$9:$L$5005)),0))),"")</f>
        <v>45134</v>
      </c>
      <c r="D58" s="107" t="str">
        <f ca="1">IFERROR(IF(IFERROR(SUMPRODUCT((Transactions!$L$9:$L$5005=$D$1)*(Transactions!$M$9:$M$5005=32)*ROW(Transactions!$L$9:$L$5005)),0)=0,"",INDEX(Transactions!$D:$D,IFERROR(SUMPRODUCT((Transactions!$L$9:$L$5005=$D$1)*(Transactions!$M$9:$M$5005=32)*ROW(Transactions!$L$9:$L$5005)),0))),"")</f>
        <v>Nisha-Uniform</v>
      </c>
      <c r="E58" s="108" t="str">
        <f ca="1">IFERROR(IF(IFERROR(SUMPRODUCT((Transactions!$L$9:$L$5005=$D$1)*(Transactions!$M$9:$M$5005=32)*ROW(Transactions!$L$9:$L$5005)),0)=0,"",INDEX(Transactions!$F:$F,IFERROR(SUMPRODUCT((Transactions!$L$9:$L$5005=$D$1)*(Transactions!$M$9:$M$5005=32)*ROW(Transactions!$L$9:$L$5005)),0))),"")</f>
        <v>Expense</v>
      </c>
      <c r="F58" s="108" t="str">
        <f ca="1">IFERROR(IF(IFERROR(SUMPRODUCT((Transactions!$L$9:$L$5005=$D$1)*(Transactions!$M$9:$M$5005=32)*ROW(Transactions!$L$9:$L$5005)),0)=0,"",INDEX(Transactions!$G:$G,IFERROR(SUMPRODUCT((Transactions!$L$9:$L$5005=$D$1)*(Transactions!$M$9:$M$5005=32)*ROW(Transactions!$L$9:$L$5005)),0))),"")</f>
        <v>Nisha</v>
      </c>
      <c r="G58" s="109">
        <f ca="1">IFERROR(IF(IFERROR(SUMPRODUCT((Transactions!$L$9:$L$5005=$D$1)*(Transactions!$M$9:$M$5005=32)*ROW(Transactions!$L$9:$L$5005)),0)=0,"",INDEX(Transactions!$H:$H,IFERROR(SUMPRODUCT((Transactions!$L$9:$L$5005=$D$1)*(Transactions!$M$9:$M$5005=32)*ROW(Transactions!$L$9:$L$5005)),0))),"")</f>
        <v>6500</v>
      </c>
      <c r="H58" s="108">
        <f ca="1">IFERROR(IF(IFERROR(SUMPRODUCT((Transactions!$L$9:$L$5005=$D$1)*(Transactions!$M$9:$M$5005=32)*ROW(Transactions!$L$9:$L$5005)),0)=0,"",INDEX(Transactions!$J:$J,IFERROR(SUMPRODUCT((Transactions!$L$9:$L$5005=$D$1)*(Transactions!$M$9:$M$5005=32)*ROW(Transactions!$L$9:$L$5005)),0))),"")</f>
        <v>0</v>
      </c>
      <c r="I58" s="107" t="str">
        <f ca="1">IFERROR(IF(IFERROR(SUMPRODUCT((Transactions!$L$9:$L$5005=$D$1)*(Transactions!$M$9:$M$5005=32)*ROW(Transactions!$L$9:$L$5005)),0)=0,"",INDEX(Transactions!$K:$K,IFERROR(SUMPRODUCT((Transactions!$L$9:$L$5005=$D$1)*(Transactions!$M$9:$M$5005=32)*ROW(Transactions!$L$9:$L$5005)),0))),"")</f>
        <v>Papa</v>
      </c>
      <c r="J58" s="299">
        <f ca="1">IFERROR(IF(IFERROR(SUMPRODUCT((Transactions!$L$9:$L$5005=$D$1)*(Transactions!$M$9:$M$5005=32)*ROW(Transactions!$L$9:$L$5005)),0)=0,"",INDEX(Transactions!$L:$L,IFERROR(SUMPRODUCT((Transactions!$L$9:$L$5005=$D$1)*(Transactions!$M$9:$M$5005=32)*ROW(Transactions!$L$9:$L$5005)),0))),"")</f>
        <v>2023</v>
      </c>
      <c r="N58" s="112"/>
      <c r="O58" s="245"/>
      <c r="P58" s="246"/>
      <c r="Q58" s="246"/>
      <c r="R58" s="106"/>
      <c r="S58" s="246"/>
      <c r="T58" s="247"/>
      <c r="X58" s="296" t="str" cm="1">
        <f t="array" aca="1" ref="X5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58" s="245" t="str" cm="1">
        <f t="array" aca="1" ref="Y5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58" s="246" t="str" cm="1">
        <f t="array" aca="1" ref="Z5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58" s="246" t="str" cm="1">
        <f t="array" aca="1" ref="AA5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58" s="106" t="str" cm="1">
        <f t="array" aca="1" ref="AB5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58" s="246" t="str" cm="1">
        <f t="array" aca="1" ref="AC5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58" s="247" t="str" cm="1">
        <f t="array" aca="1" ref="AD5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58" s="305" t="str" cm="1">
        <f t="array" aca="1" ref="AE5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59" spans="3:31" ht="16.5" customHeight="1" x14ac:dyDescent="0.2">
      <c r="C59" s="296">
        <f ca="1">IFERROR(IF(IFERROR(SUMPRODUCT((Transactions!$L$9:$L$5005=$D$1)*(Transactions!$M$9:$M$5005=33)*ROW(Transactions!$L$9:$L$5005)),0)=0,"",INDEX(Transactions!$C:$C,IFERROR(SUMPRODUCT((Transactions!$L$9:$L$5005=$D$1)*(Transactions!$M$9:$M$5005=33)*ROW(Transactions!$L$9:$L$5005)),0))),"")</f>
        <v>45138</v>
      </c>
      <c r="D59" s="104" t="str">
        <f ca="1">IFERROR(IF(IFERROR(SUMPRODUCT((Transactions!$L$9:$L$5005=$D$1)*(Transactions!$M$9:$M$5005=33)*ROW(Transactions!$L$9:$L$5005)),0)=0,"",INDEX(Transactions!$D:$D,IFERROR(SUMPRODUCT((Transactions!$L$9:$L$5005=$D$1)*(Transactions!$M$9:$M$5005=33)*ROW(Transactions!$L$9:$L$5005)),0))),"")</f>
        <v>Paytm july23</v>
      </c>
      <c r="E59" s="105" t="str">
        <f ca="1">IFERROR(IF(IFERROR(SUMPRODUCT((Transactions!$L$9:$L$5005=$D$1)*(Transactions!$M$9:$M$5005=33)*ROW(Transactions!$L$9:$L$5005)),0)=0,"",INDEX(Transactions!$F:$F,IFERROR(SUMPRODUCT((Transactions!$L$9:$L$5005=$D$1)*(Transactions!$M$9:$M$5005=33)*ROW(Transactions!$L$9:$L$5005)),0))),"")</f>
        <v>Expense</v>
      </c>
      <c r="F59" s="105" t="str">
        <f ca="1">IFERROR(IF(IFERROR(SUMPRODUCT((Transactions!$L$9:$L$5005=$D$1)*(Transactions!$M$9:$M$5005=33)*ROW(Transactions!$L$9:$L$5005)),0)=0,"",INDEX(Transactions!$G:$G,IFERROR(SUMPRODUCT((Transactions!$L$9:$L$5005=$D$1)*(Transactions!$M$9:$M$5005=33)*ROW(Transactions!$L$9:$L$5005)),0))),"")</f>
        <v>Delhi</v>
      </c>
      <c r="G59" s="106">
        <f ca="1">IFERROR(IF(IFERROR(SUMPRODUCT((Transactions!$L$9:$L$5005=$D$1)*(Transactions!$M$9:$M$5005=33)*ROW(Transactions!$L$9:$L$5005)),0)=0,"",INDEX(Transactions!$H:$H,IFERROR(SUMPRODUCT((Transactions!$L$9:$L$5005=$D$1)*(Transactions!$M$9:$M$5005=33)*ROW(Transactions!$L$9:$L$5005)),0))),"")</f>
        <v>7810</v>
      </c>
      <c r="H59" s="105">
        <f ca="1">IFERROR(IF(IFERROR(SUMPRODUCT((Transactions!$L$9:$L$5005=$D$1)*(Transactions!$M$9:$M$5005=33)*ROW(Transactions!$L$9:$L$5005)),0)=0,"",INDEX(Transactions!$J:$J,IFERROR(SUMPRODUCT((Transactions!$L$9:$L$5005=$D$1)*(Transactions!$M$9:$M$5005=33)*ROW(Transactions!$L$9:$L$5005)),0))),"")</f>
        <v>0</v>
      </c>
      <c r="I59" s="104">
        <f ca="1">IFERROR(IF(IFERROR(SUMPRODUCT((Transactions!$L$9:$L$5005=$D$1)*(Transactions!$M$9:$M$5005=33)*ROW(Transactions!$L$9:$L$5005)),0)=0,"",INDEX(Transactions!$K:$K,IFERROR(SUMPRODUCT((Transactions!$L$9:$L$5005=$D$1)*(Transactions!$M$9:$M$5005=33)*ROW(Transactions!$L$9:$L$5005)),0))),"")</f>
        <v>0</v>
      </c>
      <c r="J59" s="298">
        <f ca="1">IFERROR(IF(IFERROR(SUMPRODUCT((Transactions!$L$9:$L$5005=$D$1)*(Transactions!$M$9:$M$5005=33)*ROW(Transactions!$L$9:$L$5005)),0)=0,"",INDEX(Transactions!$L:$L,IFERROR(SUMPRODUCT((Transactions!$L$9:$L$5005=$D$1)*(Transactions!$M$9:$M$5005=33)*ROW(Transactions!$L$9:$L$5005)),0))),"")</f>
        <v>2023</v>
      </c>
      <c r="N59" s="112"/>
      <c r="O59" s="245"/>
      <c r="P59" s="246"/>
      <c r="Q59" s="246"/>
      <c r="R59" s="106"/>
      <c r="S59" s="246"/>
      <c r="T59" s="247"/>
      <c r="X59" s="296" t="str" cm="1">
        <f t="array" aca="1" ref="X5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59" s="245" t="str" cm="1">
        <f t="array" aca="1" ref="Y5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59" s="246" t="str" cm="1">
        <f t="array" aca="1" ref="Z5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59" s="246" t="str" cm="1">
        <f t="array" aca="1" ref="AA5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59" s="106" t="str" cm="1">
        <f t="array" aca="1" ref="AB5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59" s="246" t="str" cm="1">
        <f t="array" aca="1" ref="AC5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59" s="247" t="str" cm="1">
        <f t="array" aca="1" ref="AD5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59" s="305" t="str" cm="1">
        <f t="array" aca="1" ref="AE5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60" spans="3:31" ht="16.5" customHeight="1" x14ac:dyDescent="0.2">
      <c r="C60" s="297">
        <f ca="1">IFERROR(IF(IFERROR(SUMPRODUCT((Transactions!$L$9:$L$5005=$D$1)*(Transactions!$M$9:$M$5005=34)*ROW(Transactions!$L$9:$L$5005)),0)=0,"",INDEX(Transactions!$C:$C,IFERROR(SUMPRODUCT((Transactions!$L$9:$L$5005=$D$1)*(Transactions!$M$9:$M$5005=34)*ROW(Transactions!$L$9:$L$5005)),0))),"")</f>
        <v>45138</v>
      </c>
      <c r="D60" s="107" t="str">
        <f ca="1">IFERROR(IF(IFERROR(SUMPRODUCT((Transactions!$L$9:$L$5005=$D$1)*(Transactions!$M$9:$M$5005=34)*ROW(Transactions!$L$9:$L$5005)),0)=0,"",INDEX(Transactions!$D:$D,IFERROR(SUMPRODUCT((Transactions!$L$9:$L$5005=$D$1)*(Transactions!$M$9:$M$5005=34)*ROW(Transactions!$L$9:$L$5005)),0))),"")</f>
        <v>Cognizant Jul</v>
      </c>
      <c r="E60" s="108" t="str">
        <f ca="1">IFERROR(IF(IFERROR(SUMPRODUCT((Transactions!$L$9:$L$5005=$D$1)*(Transactions!$M$9:$M$5005=34)*ROW(Transactions!$L$9:$L$5005)),0)=0,"",INDEX(Transactions!$F:$F,IFERROR(SUMPRODUCT((Transactions!$L$9:$L$5005=$D$1)*(Transactions!$M$9:$M$5005=34)*ROW(Transactions!$L$9:$L$5005)),0))),"")</f>
        <v>Income</v>
      </c>
      <c r="F60" s="108" t="str">
        <f ca="1">IFERROR(IF(IFERROR(SUMPRODUCT((Transactions!$L$9:$L$5005=$D$1)*(Transactions!$M$9:$M$5005=34)*ROW(Transactions!$L$9:$L$5005)),0)=0,"",INDEX(Transactions!$G:$G,IFERROR(SUMPRODUCT((Transactions!$L$9:$L$5005=$D$1)*(Transactions!$M$9:$M$5005=34)*ROW(Transactions!$L$9:$L$5005)),0))),"")</f>
        <v>Salary</v>
      </c>
      <c r="G60" s="109">
        <f ca="1">IFERROR(IF(IFERROR(SUMPRODUCT((Transactions!$L$9:$L$5005=$D$1)*(Transactions!$M$9:$M$5005=34)*ROW(Transactions!$L$9:$L$5005)),0)=0,"",INDEX(Transactions!$H:$H,IFERROR(SUMPRODUCT((Transactions!$L$9:$L$5005=$D$1)*(Transactions!$M$9:$M$5005=34)*ROW(Transactions!$L$9:$L$5005)),0))),"")</f>
        <v>34000</v>
      </c>
      <c r="H60" s="108">
        <f ca="1">IFERROR(IF(IFERROR(SUMPRODUCT((Transactions!$L$9:$L$5005=$D$1)*(Transactions!$M$9:$M$5005=34)*ROW(Transactions!$L$9:$L$5005)),0)=0,"",INDEX(Transactions!$J:$J,IFERROR(SUMPRODUCT((Transactions!$L$9:$L$5005=$D$1)*(Transactions!$M$9:$M$5005=34)*ROW(Transactions!$L$9:$L$5005)),0))),"")</f>
        <v>0</v>
      </c>
      <c r="I60" s="107">
        <f ca="1">IFERROR(IF(IFERROR(SUMPRODUCT((Transactions!$L$9:$L$5005=$D$1)*(Transactions!$M$9:$M$5005=34)*ROW(Transactions!$L$9:$L$5005)),0)=0,"",INDEX(Transactions!$K:$K,IFERROR(SUMPRODUCT((Transactions!$L$9:$L$5005=$D$1)*(Transactions!$M$9:$M$5005=34)*ROW(Transactions!$L$9:$L$5005)),0))),"")</f>
        <v>0</v>
      </c>
      <c r="J60" s="299">
        <f ca="1">IFERROR(IF(IFERROR(SUMPRODUCT((Transactions!$L$9:$L$5005=$D$1)*(Transactions!$M$9:$M$5005=34)*ROW(Transactions!$L$9:$L$5005)),0)=0,"",INDEX(Transactions!$L:$L,IFERROR(SUMPRODUCT((Transactions!$L$9:$L$5005=$D$1)*(Transactions!$M$9:$M$5005=34)*ROW(Transactions!$L$9:$L$5005)),0))),"")</f>
        <v>2023</v>
      </c>
      <c r="N60" s="112"/>
      <c r="O60" s="245"/>
      <c r="P60" s="246"/>
      <c r="Q60" s="246"/>
      <c r="R60" s="106"/>
      <c r="S60" s="246"/>
      <c r="T60" s="247"/>
      <c r="X60" s="296" t="str" cm="1">
        <f t="array" aca="1" ref="X6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60" s="245" t="str" cm="1">
        <f t="array" aca="1" ref="Y6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60" s="246" t="str" cm="1">
        <f t="array" aca="1" ref="Z6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60" s="246" t="str" cm="1">
        <f t="array" aca="1" ref="AA6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60" s="106" t="str" cm="1">
        <f t="array" aca="1" ref="AB6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60" s="246" t="str" cm="1">
        <f t="array" aca="1" ref="AC6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60" s="247" t="str" cm="1">
        <f t="array" aca="1" ref="AD6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60" s="305" t="str" cm="1">
        <f t="array" aca="1" ref="AE6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61" spans="3:31" ht="16.5" customHeight="1" x14ac:dyDescent="0.2">
      <c r="C61" s="296">
        <f ca="1">IFERROR(IF(IFERROR(SUMPRODUCT((Transactions!$L$9:$L$5005=$D$1)*(Transactions!$M$9:$M$5005=35)*ROW(Transactions!$L$9:$L$5005)),0)=0,"",INDEX(Transactions!$C:$C,IFERROR(SUMPRODUCT((Transactions!$L$9:$L$5005=$D$1)*(Transactions!$M$9:$M$5005=35)*ROW(Transactions!$L$9:$L$5005)),0))),"")</f>
        <v>45141</v>
      </c>
      <c r="D61" s="104" t="str">
        <f ca="1">IFERROR(IF(IFERROR(SUMPRODUCT((Transactions!$L$9:$L$5005=$D$1)*(Transactions!$M$9:$M$5005=35)*ROW(Transactions!$L$9:$L$5005)),0)=0,"",INDEX(Transactions!$D:$D,IFERROR(SUMPRODUCT((Transactions!$L$9:$L$5005=$D$1)*(Transactions!$M$9:$M$5005=35)*ROW(Transactions!$L$9:$L$5005)),0))),"")</f>
        <v>MBA5</v>
      </c>
      <c r="E61" s="105" t="str">
        <f ca="1">IFERROR(IF(IFERROR(SUMPRODUCT((Transactions!$L$9:$L$5005=$D$1)*(Transactions!$M$9:$M$5005=35)*ROW(Transactions!$L$9:$L$5005)),0)=0,"",INDEX(Transactions!$F:$F,IFERROR(SUMPRODUCT((Transactions!$L$9:$L$5005=$D$1)*(Transactions!$M$9:$M$5005=35)*ROW(Transactions!$L$9:$L$5005)),0))),"")</f>
        <v>Expense</v>
      </c>
      <c r="F61" s="105" t="str">
        <f ca="1">IFERROR(IF(IFERROR(SUMPRODUCT((Transactions!$L$9:$L$5005=$D$1)*(Transactions!$M$9:$M$5005=35)*ROW(Transactions!$L$9:$L$5005)),0)=0,"",INDEX(Transactions!$G:$G,IFERROR(SUMPRODUCT((Transactions!$L$9:$L$5005=$D$1)*(Transactions!$M$9:$M$5005=35)*ROW(Transactions!$L$9:$L$5005)),0))),"")</f>
        <v>Ed LOAN</v>
      </c>
      <c r="G61" s="106">
        <f ca="1">IFERROR(IF(IFERROR(SUMPRODUCT((Transactions!$L$9:$L$5005=$D$1)*(Transactions!$M$9:$M$5005=35)*ROW(Transactions!$L$9:$L$5005)),0)=0,"",INDEX(Transactions!$H:$H,IFERROR(SUMPRODUCT((Transactions!$L$9:$L$5005=$D$1)*(Transactions!$M$9:$M$5005=35)*ROW(Transactions!$L$9:$L$5005)),0))),"")</f>
        <v>6881</v>
      </c>
      <c r="H61" s="105">
        <f ca="1">IFERROR(IF(IFERROR(SUMPRODUCT((Transactions!$L$9:$L$5005=$D$1)*(Transactions!$M$9:$M$5005=35)*ROW(Transactions!$L$9:$L$5005)),0)=0,"",INDEX(Transactions!$J:$J,IFERROR(SUMPRODUCT((Transactions!$L$9:$L$5005=$D$1)*(Transactions!$M$9:$M$5005=35)*ROW(Transactions!$L$9:$L$5005)),0))),"")</f>
        <v>0</v>
      </c>
      <c r="I61" s="104">
        <f ca="1">IFERROR(IF(IFERROR(SUMPRODUCT((Transactions!$L$9:$L$5005=$D$1)*(Transactions!$M$9:$M$5005=35)*ROW(Transactions!$L$9:$L$5005)),0)=0,"",INDEX(Transactions!$K:$K,IFERROR(SUMPRODUCT((Transactions!$L$9:$L$5005=$D$1)*(Transactions!$M$9:$M$5005=35)*ROW(Transactions!$L$9:$L$5005)),0))),"")</f>
        <v>0</v>
      </c>
      <c r="J61" s="298">
        <f ca="1">IFERROR(IF(IFERROR(SUMPRODUCT((Transactions!$L$9:$L$5005=$D$1)*(Transactions!$M$9:$M$5005=35)*ROW(Transactions!$L$9:$L$5005)),0)=0,"",INDEX(Transactions!$L:$L,IFERROR(SUMPRODUCT((Transactions!$L$9:$L$5005=$D$1)*(Transactions!$M$9:$M$5005=35)*ROW(Transactions!$L$9:$L$5005)),0))),"")</f>
        <v>2023</v>
      </c>
      <c r="N61" s="112"/>
      <c r="O61" s="245"/>
      <c r="P61" s="246"/>
      <c r="Q61" s="246"/>
      <c r="R61" s="106"/>
      <c r="S61" s="246"/>
      <c r="T61" s="247"/>
      <c r="X61" s="296" t="str" cm="1">
        <f t="array" aca="1" ref="X6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61" s="245" t="str" cm="1">
        <f t="array" aca="1" ref="Y6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61" s="246" t="str" cm="1">
        <f t="array" aca="1" ref="Z6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61" s="246" t="str" cm="1">
        <f t="array" aca="1" ref="AA6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61" s="106" t="str" cm="1">
        <f t="array" aca="1" ref="AB6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61" s="246" t="str" cm="1">
        <f t="array" aca="1" ref="AC6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61" s="247" t="str" cm="1">
        <f t="array" aca="1" ref="AD6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61" s="305" t="str" cm="1">
        <f t="array" aca="1" ref="AE6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62" spans="3:31" ht="16.5" customHeight="1" x14ac:dyDescent="0.2">
      <c r="C62" s="297">
        <f ca="1">IFERROR(IF(IFERROR(SUMPRODUCT((Transactions!$L$9:$L$5005=$D$1)*(Transactions!$M$9:$M$5005=36)*ROW(Transactions!$L$9:$L$5005)),0)=0,"",INDEX(Transactions!$C:$C,IFERROR(SUMPRODUCT((Transactions!$L$9:$L$5005=$D$1)*(Transactions!$M$9:$M$5005=36)*ROW(Transactions!$L$9:$L$5005)),0))),"")</f>
        <v>45141</v>
      </c>
      <c r="D62" s="107" t="str">
        <f ca="1">IFERROR(IF(IFERROR(SUMPRODUCT((Transactions!$L$9:$L$5005=$D$1)*(Transactions!$M$9:$M$5005=36)*ROW(Transactions!$L$9:$L$5005)),0)=0,"",INDEX(Transactions!$D:$D,IFERROR(SUMPRODUCT((Transactions!$L$9:$L$5005=$D$1)*(Transactions!$M$9:$M$5005=36)*ROW(Transactions!$L$9:$L$5005)),0))),"")</f>
        <v>Nisha-colllege 1st Sem fee</v>
      </c>
      <c r="E62" s="108" t="str">
        <f ca="1">IFERROR(IF(IFERROR(SUMPRODUCT((Transactions!$L$9:$L$5005=$D$1)*(Transactions!$M$9:$M$5005=36)*ROW(Transactions!$L$9:$L$5005)),0)=0,"",INDEX(Transactions!$F:$F,IFERROR(SUMPRODUCT((Transactions!$L$9:$L$5005=$D$1)*(Transactions!$M$9:$M$5005=36)*ROW(Transactions!$L$9:$L$5005)),0))),"")</f>
        <v>Expense</v>
      </c>
      <c r="F62" s="108" t="str">
        <f ca="1">IFERROR(IF(IFERROR(SUMPRODUCT((Transactions!$L$9:$L$5005=$D$1)*(Transactions!$M$9:$M$5005=36)*ROW(Transactions!$L$9:$L$5005)),0)=0,"",INDEX(Transactions!$G:$G,IFERROR(SUMPRODUCT((Transactions!$L$9:$L$5005=$D$1)*(Transactions!$M$9:$M$5005=36)*ROW(Transactions!$L$9:$L$5005)),0))),"")</f>
        <v>Nisha</v>
      </c>
      <c r="G62" s="109">
        <f ca="1">IFERROR(IF(IFERROR(SUMPRODUCT((Transactions!$L$9:$L$5005=$D$1)*(Transactions!$M$9:$M$5005=36)*ROW(Transactions!$L$9:$L$5005)),0)=0,"",INDEX(Transactions!$H:$H,IFERROR(SUMPRODUCT((Transactions!$L$9:$L$5005=$D$1)*(Transactions!$M$9:$M$5005=36)*ROW(Transactions!$L$9:$L$5005)),0))),"")</f>
        <v>41500</v>
      </c>
      <c r="H62" s="108">
        <f ca="1">IFERROR(IF(IFERROR(SUMPRODUCT((Transactions!$L$9:$L$5005=$D$1)*(Transactions!$M$9:$M$5005=36)*ROW(Transactions!$L$9:$L$5005)),0)=0,"",INDEX(Transactions!$J:$J,IFERROR(SUMPRODUCT((Transactions!$L$9:$L$5005=$D$1)*(Transactions!$M$9:$M$5005=36)*ROW(Transactions!$L$9:$L$5005)),0))),"")</f>
        <v>0</v>
      </c>
      <c r="I62" s="107" t="str">
        <f ca="1">IFERROR(IF(IFERROR(SUMPRODUCT((Transactions!$L$9:$L$5005=$D$1)*(Transactions!$M$9:$M$5005=36)*ROW(Transactions!$L$9:$L$5005)),0)=0,"",INDEX(Transactions!$K:$K,IFERROR(SUMPRODUCT((Transactions!$L$9:$L$5005=$D$1)*(Transactions!$M$9:$M$5005=36)*ROW(Transactions!$L$9:$L$5005)),0))),"")</f>
        <v>Papa</v>
      </c>
      <c r="J62" s="299">
        <f ca="1">IFERROR(IF(IFERROR(SUMPRODUCT((Transactions!$L$9:$L$5005=$D$1)*(Transactions!$M$9:$M$5005=36)*ROW(Transactions!$L$9:$L$5005)),0)=0,"",INDEX(Transactions!$L:$L,IFERROR(SUMPRODUCT((Transactions!$L$9:$L$5005=$D$1)*(Transactions!$M$9:$M$5005=36)*ROW(Transactions!$L$9:$L$5005)),0))),"")</f>
        <v>2023</v>
      </c>
      <c r="N62" s="112"/>
      <c r="O62" s="245"/>
      <c r="P62" s="246"/>
      <c r="Q62" s="246"/>
      <c r="R62" s="106"/>
      <c r="S62" s="246"/>
      <c r="T62" s="247"/>
      <c r="X62" s="296" t="str" cm="1">
        <f t="array" aca="1" ref="X6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62" s="245" t="str" cm="1">
        <f t="array" aca="1" ref="Y6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62" s="246" t="str" cm="1">
        <f t="array" aca="1" ref="Z6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62" s="246" t="str" cm="1">
        <f t="array" aca="1" ref="AA6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62" s="106" t="str" cm="1">
        <f t="array" aca="1" ref="AB6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62" s="246" t="str" cm="1">
        <f t="array" aca="1" ref="AC6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62" s="247" t="str" cm="1">
        <f t="array" aca="1" ref="AD6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62" s="305" t="str" cm="1">
        <f t="array" aca="1" ref="AE6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63" spans="3:31" ht="16.5" customHeight="1" x14ac:dyDescent="0.2">
      <c r="C63" s="296">
        <f ca="1">IFERROR(IF(IFERROR(SUMPRODUCT((Transactions!$L$9:$L$5005=$D$1)*(Transactions!$M$9:$M$5005=37)*ROW(Transactions!$L$9:$L$5005)),0)=0,"",INDEX(Transactions!$C:$C,IFERROR(SUMPRODUCT((Transactions!$L$9:$L$5005=$D$1)*(Transactions!$M$9:$M$5005=37)*ROW(Transactions!$L$9:$L$5005)),0))),"")</f>
        <v>45145</v>
      </c>
      <c r="D63" s="104" t="str">
        <f ca="1">IFERROR(IF(IFERROR(SUMPRODUCT((Transactions!$L$9:$L$5005=$D$1)*(Transactions!$M$9:$M$5005=37)*ROW(Transactions!$L$9:$L$5005)),0)=0,"",INDEX(Transactions!$D:$D,IFERROR(SUMPRODUCT((Transactions!$L$9:$L$5005=$D$1)*(Transactions!$M$9:$M$5005=37)*ROW(Transactions!$L$9:$L$5005)),0))),"")</f>
        <v>Mathura tkt 526, 3327 delhi</v>
      </c>
      <c r="E63" s="105" t="str">
        <f ca="1">IFERROR(IF(IFERROR(SUMPRODUCT((Transactions!$L$9:$L$5005=$D$1)*(Transactions!$M$9:$M$5005=37)*ROW(Transactions!$L$9:$L$5005)),0)=0,"",INDEX(Transactions!$F:$F,IFERROR(SUMPRODUCT((Transactions!$L$9:$L$5005=$D$1)*(Transactions!$M$9:$M$5005=37)*ROW(Transactions!$L$9:$L$5005)),0))),"")</f>
        <v>Expense</v>
      </c>
      <c r="F63" s="105" t="str">
        <f ca="1">IFERROR(IF(IFERROR(SUMPRODUCT((Transactions!$L$9:$L$5005=$D$1)*(Transactions!$M$9:$M$5005=37)*ROW(Transactions!$L$9:$L$5005)),0)=0,"",INDEX(Transactions!$G:$G,IFERROR(SUMPRODUCT((Transactions!$L$9:$L$5005=$D$1)*(Transactions!$M$9:$M$5005=37)*ROW(Transactions!$L$9:$L$5005)),0))),"")</f>
        <v>Delhi</v>
      </c>
      <c r="G63" s="106">
        <f ca="1">IFERROR(IF(IFERROR(SUMPRODUCT((Transactions!$L$9:$L$5005=$D$1)*(Transactions!$M$9:$M$5005=37)*ROW(Transactions!$L$9:$L$5005)),0)=0,"",INDEX(Transactions!$H:$H,IFERROR(SUMPRODUCT((Transactions!$L$9:$L$5005=$D$1)*(Transactions!$M$9:$M$5005=37)*ROW(Transactions!$L$9:$L$5005)),0))),"")</f>
        <v>4000</v>
      </c>
      <c r="H63" s="105">
        <f ca="1">IFERROR(IF(IFERROR(SUMPRODUCT((Transactions!$L$9:$L$5005=$D$1)*(Transactions!$M$9:$M$5005=37)*ROW(Transactions!$L$9:$L$5005)),0)=0,"",INDEX(Transactions!$J:$J,IFERROR(SUMPRODUCT((Transactions!$L$9:$L$5005=$D$1)*(Transactions!$M$9:$M$5005=37)*ROW(Transactions!$L$9:$L$5005)),0))),"")</f>
        <v>0</v>
      </c>
      <c r="I63" s="104">
        <f ca="1">IFERROR(IF(IFERROR(SUMPRODUCT((Transactions!$L$9:$L$5005=$D$1)*(Transactions!$M$9:$M$5005=37)*ROW(Transactions!$L$9:$L$5005)),0)=0,"",INDEX(Transactions!$K:$K,IFERROR(SUMPRODUCT((Transactions!$L$9:$L$5005=$D$1)*(Transactions!$M$9:$M$5005=37)*ROW(Transactions!$L$9:$L$5005)),0))),"")</f>
        <v>0</v>
      </c>
      <c r="J63" s="298">
        <f ca="1">IFERROR(IF(IFERROR(SUMPRODUCT((Transactions!$L$9:$L$5005=$D$1)*(Transactions!$M$9:$M$5005=37)*ROW(Transactions!$L$9:$L$5005)),0)=0,"",INDEX(Transactions!$L:$L,IFERROR(SUMPRODUCT((Transactions!$L$9:$L$5005=$D$1)*(Transactions!$M$9:$M$5005=37)*ROW(Transactions!$L$9:$L$5005)),0))),"")</f>
        <v>2023</v>
      </c>
      <c r="N63" s="112"/>
      <c r="O63" s="245"/>
      <c r="P63" s="246"/>
      <c r="Q63" s="246"/>
      <c r="R63" s="106"/>
      <c r="S63" s="246"/>
      <c r="T63" s="247"/>
      <c r="X63" s="296" t="str" cm="1">
        <f t="array" aca="1" ref="X6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63" s="245" t="str" cm="1">
        <f t="array" aca="1" ref="Y6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63" s="246" t="str" cm="1">
        <f t="array" aca="1" ref="Z6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63" s="246" t="str" cm="1">
        <f t="array" aca="1" ref="AA6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63" s="106" t="str" cm="1">
        <f t="array" aca="1" ref="AB6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63" s="246" t="str" cm="1">
        <f t="array" aca="1" ref="AC6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63" s="247" t="str" cm="1">
        <f t="array" aca="1" ref="AD6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63" s="305" t="str" cm="1">
        <f t="array" aca="1" ref="AE6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64" spans="3:31" ht="16.5" customHeight="1" x14ac:dyDescent="0.2">
      <c r="C64" s="297">
        <f ca="1">IFERROR(IF(IFERROR(SUMPRODUCT((Transactions!$L$9:$L$5005=$D$1)*(Transactions!$M$9:$M$5005=38)*ROW(Transactions!$L$9:$L$5005)),0)=0,"",INDEX(Transactions!$C:$C,IFERROR(SUMPRODUCT((Transactions!$L$9:$L$5005=$D$1)*(Transactions!$M$9:$M$5005=38)*ROW(Transactions!$L$9:$L$5005)),0))),"")</f>
        <v>45148</v>
      </c>
      <c r="D64" s="107" t="str">
        <f ca="1">IFERROR(IF(IFERROR(SUMPRODUCT((Transactions!$L$9:$L$5005=$D$1)*(Transactions!$M$9:$M$5005=38)*ROW(Transactions!$L$9:$L$5005)),0)=0,"",INDEX(Transactions!$D:$D,IFERROR(SUMPRODUCT((Transactions!$L$9:$L$5005=$D$1)*(Transactions!$M$9:$M$5005=38)*ROW(Transactions!$L$9:$L$5005)),0))),"")</f>
        <v>August</v>
      </c>
      <c r="E64" s="108" t="str">
        <f ca="1">IFERROR(IF(IFERROR(SUMPRODUCT((Transactions!$L$9:$L$5005=$D$1)*(Transactions!$M$9:$M$5005=38)*ROW(Transactions!$L$9:$L$5005)),0)=0,"",INDEX(Transactions!$F:$F,IFERROR(SUMPRODUCT((Transactions!$L$9:$L$5005=$D$1)*(Transactions!$M$9:$M$5005=38)*ROW(Transactions!$L$9:$L$5005)),0))),"")</f>
        <v>Investment</v>
      </c>
      <c r="F64" s="108" t="str">
        <f ca="1">IFERROR(IF(IFERROR(SUMPRODUCT((Transactions!$L$9:$L$5005=$D$1)*(Transactions!$M$9:$M$5005=38)*ROW(Transactions!$L$9:$L$5005)),0)=0,"",INDEX(Transactions!$G:$G,IFERROR(SUMPRODUCT((Transactions!$L$9:$L$5005=$D$1)*(Transactions!$M$9:$M$5005=38)*ROW(Transactions!$L$9:$L$5005)),0))),"")</f>
        <v>Saving</v>
      </c>
      <c r="G64" s="109">
        <f ca="1">IFERROR(IF(IFERROR(SUMPRODUCT((Transactions!$L$9:$L$5005=$D$1)*(Transactions!$M$9:$M$5005=38)*ROW(Transactions!$L$9:$L$5005)),0)=0,"",INDEX(Transactions!$H:$H,IFERROR(SUMPRODUCT((Transactions!$L$9:$L$5005=$D$1)*(Transactions!$M$9:$M$5005=38)*ROW(Transactions!$L$9:$L$5005)),0))),"")</f>
        <v>1000</v>
      </c>
      <c r="H64" s="108">
        <f ca="1">IFERROR(IF(IFERROR(SUMPRODUCT((Transactions!$L$9:$L$5005=$D$1)*(Transactions!$M$9:$M$5005=38)*ROW(Transactions!$L$9:$L$5005)),0)=0,"",INDEX(Transactions!$J:$J,IFERROR(SUMPRODUCT((Transactions!$L$9:$L$5005=$D$1)*(Transactions!$M$9:$M$5005=38)*ROW(Transactions!$L$9:$L$5005)),0))),"")</f>
        <v>0</v>
      </c>
      <c r="I64" s="107">
        <f ca="1">IFERROR(IF(IFERROR(SUMPRODUCT((Transactions!$L$9:$L$5005=$D$1)*(Transactions!$M$9:$M$5005=38)*ROW(Transactions!$L$9:$L$5005)),0)=0,"",INDEX(Transactions!$K:$K,IFERROR(SUMPRODUCT((Transactions!$L$9:$L$5005=$D$1)*(Transactions!$M$9:$M$5005=38)*ROW(Transactions!$L$9:$L$5005)),0))),"")</f>
        <v>0</v>
      </c>
      <c r="J64" s="299">
        <f ca="1">IFERROR(IF(IFERROR(SUMPRODUCT((Transactions!$L$9:$L$5005=$D$1)*(Transactions!$M$9:$M$5005=38)*ROW(Transactions!$L$9:$L$5005)),0)=0,"",INDEX(Transactions!$L:$L,IFERROR(SUMPRODUCT((Transactions!$L$9:$L$5005=$D$1)*(Transactions!$M$9:$M$5005=38)*ROW(Transactions!$L$9:$L$5005)),0))),"")</f>
        <v>2023</v>
      </c>
      <c r="N64" s="112"/>
      <c r="O64" s="245"/>
      <c r="P64" s="246"/>
      <c r="Q64" s="246"/>
      <c r="R64" s="106"/>
      <c r="S64" s="246"/>
      <c r="T64" s="247"/>
      <c r="X64" s="296" t="str" cm="1">
        <f t="array" aca="1" ref="X6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64" s="245" t="str" cm="1">
        <f t="array" aca="1" ref="Y6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64" s="246" t="str" cm="1">
        <f t="array" aca="1" ref="Z6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64" s="246" t="str" cm="1">
        <f t="array" aca="1" ref="AA6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64" s="106" t="str" cm="1">
        <f t="array" aca="1" ref="AB6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64" s="246" t="str" cm="1">
        <f t="array" aca="1" ref="AC6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64" s="247" t="str" cm="1">
        <f t="array" aca="1" ref="AD6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64" s="305" t="str" cm="1">
        <f t="array" aca="1" ref="AE6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65" spans="3:31" ht="16.5" customHeight="1" x14ac:dyDescent="0.2">
      <c r="C65" s="296">
        <f ca="1">IFERROR(IF(IFERROR(SUMPRODUCT((Transactions!$L$9:$L$5005=$D$1)*(Transactions!$M$9:$M$5005=39)*ROW(Transactions!$L$9:$L$5005)),0)=0,"",INDEX(Transactions!$C:$C,IFERROR(SUMPRODUCT((Transactions!$L$9:$L$5005=$D$1)*(Transactions!$M$9:$M$5005=39)*ROW(Transactions!$L$9:$L$5005)),0))),"")</f>
        <v>45150</v>
      </c>
      <c r="D65" s="104" t="str">
        <f ca="1">IFERROR(IF(IFERROR(SUMPRODUCT((Transactions!$L$9:$L$5005=$D$1)*(Transactions!$M$9:$M$5005=39)*ROW(Transactions!$L$9:$L$5005)),0)=0,"",INDEX(Transactions!$D:$D,IFERROR(SUMPRODUCT((Transactions!$L$9:$L$5005=$D$1)*(Transactions!$M$9:$M$5005=39)*ROW(Transactions!$L$9:$L$5005)),0))),"")</f>
        <v>AUG_SEPT SELF</v>
      </c>
      <c r="E65" s="105" t="str">
        <f ca="1">IFERROR(IF(IFERROR(SUMPRODUCT((Transactions!$L$9:$L$5005=$D$1)*(Transactions!$M$9:$M$5005=39)*ROW(Transactions!$L$9:$L$5005)),0)=0,"",INDEX(Transactions!$F:$F,IFERROR(SUMPRODUCT((Transactions!$L$9:$L$5005=$D$1)*(Transactions!$M$9:$M$5005=39)*ROW(Transactions!$L$9:$L$5005)),0))),"")</f>
        <v>Expense</v>
      </c>
      <c r="F65" s="105" t="str">
        <f ca="1">IFERROR(IF(IFERROR(SUMPRODUCT((Transactions!$L$9:$L$5005=$D$1)*(Transactions!$M$9:$M$5005=39)*ROW(Transactions!$L$9:$L$5005)),0)=0,"",INDEX(Transactions!$G:$G,IFERROR(SUMPRODUCT((Transactions!$L$9:$L$5005=$D$1)*(Transactions!$M$9:$M$5005=39)*ROW(Transactions!$L$9:$L$5005)),0))),"")</f>
        <v>Delhi</v>
      </c>
      <c r="G65" s="106">
        <f ca="1">IFERROR(IF(IFERROR(SUMPRODUCT((Transactions!$L$9:$L$5005=$D$1)*(Transactions!$M$9:$M$5005=39)*ROW(Transactions!$L$9:$L$5005)),0)=0,"",INDEX(Transactions!$H:$H,IFERROR(SUMPRODUCT((Transactions!$L$9:$L$5005=$D$1)*(Transactions!$M$9:$M$5005=39)*ROW(Transactions!$L$9:$L$5005)),0))),"")</f>
        <v>5000</v>
      </c>
      <c r="H65" s="105">
        <f ca="1">IFERROR(IF(IFERROR(SUMPRODUCT((Transactions!$L$9:$L$5005=$D$1)*(Transactions!$M$9:$M$5005=39)*ROW(Transactions!$L$9:$L$5005)),0)=0,"",INDEX(Transactions!$J:$J,IFERROR(SUMPRODUCT((Transactions!$L$9:$L$5005=$D$1)*(Transactions!$M$9:$M$5005=39)*ROW(Transactions!$L$9:$L$5005)),0))),"")</f>
        <v>0</v>
      </c>
      <c r="I65" s="104">
        <f ca="1">IFERROR(IF(IFERROR(SUMPRODUCT((Transactions!$L$9:$L$5005=$D$1)*(Transactions!$M$9:$M$5005=39)*ROW(Transactions!$L$9:$L$5005)),0)=0,"",INDEX(Transactions!$K:$K,IFERROR(SUMPRODUCT((Transactions!$L$9:$L$5005=$D$1)*(Transactions!$M$9:$M$5005=39)*ROW(Transactions!$L$9:$L$5005)),0))),"")</f>
        <v>0</v>
      </c>
      <c r="J65" s="298">
        <f ca="1">IFERROR(IF(IFERROR(SUMPRODUCT((Transactions!$L$9:$L$5005=$D$1)*(Transactions!$M$9:$M$5005=39)*ROW(Transactions!$L$9:$L$5005)),0)=0,"",INDEX(Transactions!$L:$L,IFERROR(SUMPRODUCT((Transactions!$L$9:$L$5005=$D$1)*(Transactions!$M$9:$M$5005=39)*ROW(Transactions!$L$9:$L$5005)),0))),"")</f>
        <v>2023</v>
      </c>
      <c r="N65" s="112"/>
      <c r="O65" s="245"/>
      <c r="P65" s="246"/>
      <c r="Q65" s="246"/>
      <c r="R65" s="106"/>
      <c r="S65" s="246"/>
      <c r="T65" s="247"/>
      <c r="X65" s="296" t="str" cm="1">
        <f t="array" aca="1" ref="X6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65" s="245" t="str" cm="1">
        <f t="array" aca="1" ref="Y6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65" s="246" t="str" cm="1">
        <f t="array" aca="1" ref="Z6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65" s="246" t="str" cm="1">
        <f t="array" aca="1" ref="AA6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65" s="106" t="str" cm="1">
        <f t="array" aca="1" ref="AB6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65" s="246" t="str" cm="1">
        <f t="array" aca="1" ref="AC6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65" s="247" t="str" cm="1">
        <f t="array" aca="1" ref="AD6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65" s="305" t="str" cm="1">
        <f t="array" aca="1" ref="AE6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66" spans="3:31" ht="16.5" customHeight="1" x14ac:dyDescent="0.2">
      <c r="C66" s="297">
        <f ca="1">IFERROR(IF(IFERROR(SUMPRODUCT((Transactions!$L$9:$L$5005=$D$1)*(Transactions!$M$9:$M$5005=40)*ROW(Transactions!$L$9:$L$5005)),0)=0,"",INDEX(Transactions!$C:$C,IFERROR(SUMPRODUCT((Transactions!$L$9:$L$5005=$D$1)*(Transactions!$M$9:$M$5005=40)*ROW(Transactions!$L$9:$L$5005)),0))),"")</f>
        <v>45151</v>
      </c>
      <c r="D66" s="107" t="str">
        <f ca="1">IFERROR(IF(IFERROR(SUMPRODUCT((Transactions!$L$9:$L$5005=$D$1)*(Transactions!$M$9:$M$5005=40)*ROW(Transactions!$L$9:$L$5005)),0)=0,"",INDEX(Transactions!$D:$D,IFERROR(SUMPRODUCT((Transactions!$L$9:$L$5005=$D$1)*(Transactions!$M$9:$M$5005=40)*ROW(Transactions!$L$9:$L$5005)),0))),"")</f>
        <v>train tkt dli to ghar to delhi</v>
      </c>
      <c r="E66" s="108" t="str">
        <f ca="1">IFERROR(IF(IFERROR(SUMPRODUCT((Transactions!$L$9:$L$5005=$D$1)*(Transactions!$M$9:$M$5005=40)*ROW(Transactions!$L$9:$L$5005)),0)=0,"",INDEX(Transactions!$F:$F,IFERROR(SUMPRODUCT((Transactions!$L$9:$L$5005=$D$1)*(Transactions!$M$9:$M$5005=40)*ROW(Transactions!$L$9:$L$5005)),0))),"")</f>
        <v>Expense</v>
      </c>
      <c r="F66" s="108" t="str">
        <f ca="1">IFERROR(IF(IFERROR(SUMPRODUCT((Transactions!$L$9:$L$5005=$D$1)*(Transactions!$M$9:$M$5005=40)*ROW(Transactions!$L$9:$L$5005)),0)=0,"",INDEX(Transactions!$G:$G,IFERROR(SUMPRODUCT((Transactions!$L$9:$L$5005=$D$1)*(Transactions!$M$9:$M$5005=40)*ROW(Transactions!$L$9:$L$5005)),0))),"")</f>
        <v>Railway</v>
      </c>
      <c r="G66" s="109">
        <f ca="1">IFERROR(IF(IFERROR(SUMPRODUCT((Transactions!$L$9:$L$5005=$D$1)*(Transactions!$M$9:$M$5005=40)*ROW(Transactions!$L$9:$L$5005)),0)=0,"",INDEX(Transactions!$H:$H,IFERROR(SUMPRODUCT((Transactions!$L$9:$L$5005=$D$1)*(Transactions!$M$9:$M$5005=40)*ROW(Transactions!$L$9:$L$5005)),0))),"")</f>
        <v>2646</v>
      </c>
      <c r="H66" s="108">
        <f ca="1">IFERROR(IF(IFERROR(SUMPRODUCT((Transactions!$L$9:$L$5005=$D$1)*(Transactions!$M$9:$M$5005=40)*ROW(Transactions!$L$9:$L$5005)),0)=0,"",INDEX(Transactions!$J:$J,IFERROR(SUMPRODUCT((Transactions!$L$9:$L$5005=$D$1)*(Transactions!$M$9:$M$5005=40)*ROW(Transactions!$L$9:$L$5005)),0))),"")</f>
        <v>0</v>
      </c>
      <c r="I66" s="107">
        <f ca="1">IFERROR(IF(IFERROR(SUMPRODUCT((Transactions!$L$9:$L$5005=$D$1)*(Transactions!$M$9:$M$5005=40)*ROW(Transactions!$L$9:$L$5005)),0)=0,"",INDEX(Transactions!$K:$K,IFERROR(SUMPRODUCT((Transactions!$L$9:$L$5005=$D$1)*(Transactions!$M$9:$M$5005=40)*ROW(Transactions!$L$9:$L$5005)),0))),"")</f>
        <v>0</v>
      </c>
      <c r="J66" s="299">
        <f ca="1">IFERROR(IF(IFERROR(SUMPRODUCT((Transactions!$L$9:$L$5005=$D$1)*(Transactions!$M$9:$M$5005=40)*ROW(Transactions!$L$9:$L$5005)),0)=0,"",INDEX(Transactions!$L:$L,IFERROR(SUMPRODUCT((Transactions!$L$9:$L$5005=$D$1)*(Transactions!$M$9:$M$5005=40)*ROW(Transactions!$L$9:$L$5005)),0))),"")</f>
        <v>2023</v>
      </c>
      <c r="N66" s="112"/>
      <c r="O66" s="245"/>
      <c r="P66" s="246"/>
      <c r="Q66" s="246"/>
      <c r="R66" s="106"/>
      <c r="S66" s="246"/>
      <c r="T66" s="247"/>
      <c r="X66" s="296" t="str" cm="1">
        <f t="array" aca="1" ref="X6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66" s="245" t="str" cm="1">
        <f t="array" aca="1" ref="Y6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66" s="246" t="str" cm="1">
        <f t="array" aca="1" ref="Z6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66" s="246" t="str" cm="1">
        <f t="array" aca="1" ref="AA6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66" s="106" t="str" cm="1">
        <f t="array" aca="1" ref="AB6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66" s="246" t="str" cm="1">
        <f t="array" aca="1" ref="AC6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66" s="247" t="str" cm="1">
        <f t="array" aca="1" ref="AD6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66" s="305" t="str" cm="1">
        <f t="array" aca="1" ref="AE6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67" spans="3:31" ht="16.5" customHeight="1" x14ac:dyDescent="0.2">
      <c r="C67" s="296">
        <f ca="1">IFERROR(IF(IFERROR(SUMPRODUCT((Transactions!$L$9:$L$5005=$D$1)*(Transactions!$M$9:$M$5005=41)*ROW(Transactions!$L$9:$L$5005)),0)=0,"",INDEX(Transactions!$C:$C,IFERROR(SUMPRODUCT((Transactions!$L$9:$L$5005=$D$1)*(Transactions!$M$9:$M$5005=41)*ROW(Transactions!$L$9:$L$5005)),0))),"")</f>
        <v>45153</v>
      </c>
      <c r="D67" s="104" t="str">
        <f ca="1">IFERROR(IF(IFERROR(SUMPRODUCT((Transactions!$L$9:$L$5005=$D$1)*(Transactions!$M$9:$M$5005=41)*ROW(Transactions!$L$9:$L$5005)),0)=0,"",INDEX(Transactions!$D:$D,IFERROR(SUMPRODUCT((Transactions!$L$9:$L$5005=$D$1)*(Transactions!$M$9:$M$5005=41)*ROW(Transactions!$L$9:$L$5005)),0))),"")</f>
        <v>home, self: Mobile Recharge</v>
      </c>
      <c r="E67" s="105" t="str">
        <f ca="1">IFERROR(IF(IFERROR(SUMPRODUCT((Transactions!$L$9:$L$5005=$D$1)*(Transactions!$M$9:$M$5005=41)*ROW(Transactions!$L$9:$L$5005)),0)=0,"",INDEX(Transactions!$F:$F,IFERROR(SUMPRODUCT((Transactions!$L$9:$L$5005=$D$1)*(Transactions!$M$9:$M$5005=41)*ROW(Transactions!$L$9:$L$5005)),0))),"")</f>
        <v>Expense</v>
      </c>
      <c r="F67" s="105" t="str">
        <f ca="1">IFERROR(IF(IFERROR(SUMPRODUCT((Transactions!$L$9:$L$5005=$D$1)*(Transactions!$M$9:$M$5005=41)*ROW(Transactions!$L$9:$L$5005)),0)=0,"",INDEX(Transactions!$G:$G,IFERROR(SUMPRODUCT((Transactions!$L$9:$L$5005=$D$1)*(Transactions!$M$9:$M$5005=41)*ROW(Transactions!$L$9:$L$5005)),0))),"")</f>
        <v>Recharge</v>
      </c>
      <c r="G67" s="106">
        <f ca="1">IFERROR(IF(IFERROR(SUMPRODUCT((Transactions!$L$9:$L$5005=$D$1)*(Transactions!$M$9:$M$5005=41)*ROW(Transactions!$L$9:$L$5005)),0)=0,"",INDEX(Transactions!$H:$H,IFERROR(SUMPRODUCT((Transactions!$L$9:$L$5005=$D$1)*(Transactions!$M$9:$M$5005=41)*ROW(Transactions!$L$9:$L$5005)),0))),"")</f>
        <v>1150</v>
      </c>
      <c r="H67" s="105">
        <f ca="1">IFERROR(IF(IFERROR(SUMPRODUCT((Transactions!$L$9:$L$5005=$D$1)*(Transactions!$M$9:$M$5005=41)*ROW(Transactions!$L$9:$L$5005)),0)=0,"",INDEX(Transactions!$J:$J,IFERROR(SUMPRODUCT((Transactions!$L$9:$L$5005=$D$1)*(Transactions!$M$9:$M$5005=41)*ROW(Transactions!$L$9:$L$5005)),0))),"")</f>
        <v>0</v>
      </c>
      <c r="I67" s="104">
        <f ca="1">IFERROR(IF(IFERROR(SUMPRODUCT((Transactions!$L$9:$L$5005=$D$1)*(Transactions!$M$9:$M$5005=41)*ROW(Transactions!$L$9:$L$5005)),0)=0,"",INDEX(Transactions!$K:$K,IFERROR(SUMPRODUCT((Transactions!$L$9:$L$5005=$D$1)*(Transactions!$M$9:$M$5005=41)*ROW(Transactions!$L$9:$L$5005)),0))),"")</f>
        <v>0</v>
      </c>
      <c r="J67" s="298">
        <f ca="1">IFERROR(IF(IFERROR(SUMPRODUCT((Transactions!$L$9:$L$5005=$D$1)*(Transactions!$M$9:$M$5005=41)*ROW(Transactions!$L$9:$L$5005)),0)=0,"",INDEX(Transactions!$L:$L,IFERROR(SUMPRODUCT((Transactions!$L$9:$L$5005=$D$1)*(Transactions!$M$9:$M$5005=41)*ROW(Transactions!$L$9:$L$5005)),0))),"")</f>
        <v>2023</v>
      </c>
      <c r="N67" s="112"/>
      <c r="O67" s="245"/>
      <c r="P67" s="246"/>
      <c r="Q67" s="246"/>
      <c r="R67" s="106"/>
      <c r="S67" s="246"/>
      <c r="T67" s="247"/>
      <c r="X67" s="296" t="str" cm="1">
        <f t="array" aca="1" ref="X6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67" s="245" t="str" cm="1">
        <f t="array" aca="1" ref="Y6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67" s="246" t="str" cm="1">
        <f t="array" aca="1" ref="Z6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67" s="246" t="str" cm="1">
        <f t="array" aca="1" ref="AA6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67" s="106" t="str" cm="1">
        <f t="array" aca="1" ref="AB6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67" s="246" t="str" cm="1">
        <f t="array" aca="1" ref="AC6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67" s="247" t="str" cm="1">
        <f t="array" aca="1" ref="AD6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67" s="305" t="str" cm="1">
        <f t="array" aca="1" ref="AE6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68" spans="3:31" ht="16.5" customHeight="1" x14ac:dyDescent="0.2">
      <c r="C68" s="297">
        <f ca="1">IFERROR(IF(IFERROR(SUMPRODUCT((Transactions!$L$9:$L$5005=$D$1)*(Transactions!$M$9:$M$5005=42)*ROW(Transactions!$L$9:$L$5005)),0)=0,"",INDEX(Transactions!$C:$C,IFERROR(SUMPRODUCT((Transactions!$L$9:$L$5005=$D$1)*(Transactions!$M$9:$M$5005=42)*ROW(Transactions!$L$9:$L$5005)),0))),"")</f>
        <v>45160</v>
      </c>
      <c r="D68" s="107" t="str">
        <f ca="1">IFERROR(IF(IFERROR(SUMPRODUCT((Transactions!$L$9:$L$5005=$D$1)*(Transactions!$M$9:$M$5005=42)*ROW(Transactions!$L$9:$L$5005)),0)=0,"",INDEX(Transactions!$D:$D,IFERROR(SUMPRODUCT((Transactions!$L$9:$L$5005=$D$1)*(Transactions!$M$9:$M$5005=42)*ROW(Transactions!$L$9:$L$5005)),0))),"")</f>
        <v>Nisha Hostel-Hostel- AUG</v>
      </c>
      <c r="E68" s="108" t="str">
        <f ca="1">IFERROR(IF(IFERROR(SUMPRODUCT((Transactions!$L$9:$L$5005=$D$1)*(Transactions!$M$9:$M$5005=42)*ROW(Transactions!$L$9:$L$5005)),0)=0,"",INDEX(Transactions!$F:$F,IFERROR(SUMPRODUCT((Transactions!$L$9:$L$5005=$D$1)*(Transactions!$M$9:$M$5005=42)*ROW(Transactions!$L$9:$L$5005)),0))),"")</f>
        <v>Expense</v>
      </c>
      <c r="F68" s="108" t="str">
        <f ca="1">IFERROR(IF(IFERROR(SUMPRODUCT((Transactions!$L$9:$L$5005=$D$1)*(Transactions!$M$9:$M$5005=42)*ROW(Transactions!$L$9:$L$5005)),0)=0,"",INDEX(Transactions!$G:$G,IFERROR(SUMPRODUCT((Transactions!$L$9:$L$5005=$D$1)*(Transactions!$M$9:$M$5005=42)*ROW(Transactions!$L$9:$L$5005)),0))),"")</f>
        <v>Nisha</v>
      </c>
      <c r="G68" s="109">
        <f ca="1">IFERROR(IF(IFERROR(SUMPRODUCT((Transactions!$L$9:$L$5005=$D$1)*(Transactions!$M$9:$M$5005=42)*ROW(Transactions!$L$9:$L$5005)),0)=0,"",INDEX(Transactions!$H:$H,IFERROR(SUMPRODUCT((Transactions!$L$9:$L$5005=$D$1)*(Transactions!$M$9:$M$5005=42)*ROW(Transactions!$L$9:$L$5005)),0))),"")</f>
        <v>3165</v>
      </c>
      <c r="H68" s="108">
        <f ca="1">IFERROR(IF(IFERROR(SUMPRODUCT((Transactions!$L$9:$L$5005=$D$1)*(Transactions!$M$9:$M$5005=42)*ROW(Transactions!$L$9:$L$5005)),0)=0,"",INDEX(Transactions!$J:$J,IFERROR(SUMPRODUCT((Transactions!$L$9:$L$5005=$D$1)*(Transactions!$M$9:$M$5005=42)*ROW(Transactions!$L$9:$L$5005)),0))),"")</f>
        <v>0</v>
      </c>
      <c r="I68" s="107" t="str">
        <f ca="1">IFERROR(IF(IFERROR(SUMPRODUCT((Transactions!$L$9:$L$5005=$D$1)*(Transactions!$M$9:$M$5005=42)*ROW(Transactions!$L$9:$L$5005)),0)=0,"",INDEX(Transactions!$K:$K,IFERROR(SUMPRODUCT((Transactions!$L$9:$L$5005=$D$1)*(Transactions!$M$9:$M$5005=42)*ROW(Transactions!$L$9:$L$5005)),0))),"")</f>
        <v>Papa</v>
      </c>
      <c r="J68" s="299">
        <f ca="1">IFERROR(IF(IFERROR(SUMPRODUCT((Transactions!$L$9:$L$5005=$D$1)*(Transactions!$M$9:$M$5005=42)*ROW(Transactions!$L$9:$L$5005)),0)=0,"",INDEX(Transactions!$L:$L,IFERROR(SUMPRODUCT((Transactions!$L$9:$L$5005=$D$1)*(Transactions!$M$9:$M$5005=42)*ROW(Transactions!$L$9:$L$5005)),0))),"")</f>
        <v>2023</v>
      </c>
      <c r="N68" s="112"/>
      <c r="O68" s="245"/>
      <c r="P68" s="246"/>
      <c r="Q68" s="246"/>
      <c r="R68" s="106"/>
      <c r="S68" s="246"/>
      <c r="T68" s="247"/>
      <c r="X68" s="296" t="str" cm="1">
        <f t="array" aca="1" ref="X6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68" s="245" t="str" cm="1">
        <f t="array" aca="1" ref="Y6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68" s="246" t="str" cm="1">
        <f t="array" aca="1" ref="Z6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68" s="246" t="str" cm="1">
        <f t="array" aca="1" ref="AA6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68" s="106" t="str" cm="1">
        <f t="array" aca="1" ref="AB6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68" s="246" t="str" cm="1">
        <f t="array" aca="1" ref="AC6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68" s="247" t="str" cm="1">
        <f t="array" aca="1" ref="AD6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68" s="305" t="str" cm="1">
        <f t="array" aca="1" ref="AE6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69" spans="3:31" ht="16.5" customHeight="1" x14ac:dyDescent="0.2">
      <c r="C69" s="296">
        <f ca="1">IFERROR(IF(IFERROR(SUMPRODUCT((Transactions!$L$9:$L$5005=$D$1)*(Transactions!$M$9:$M$5005=43)*ROW(Transactions!$L$9:$L$5005)),0)=0,"",INDEX(Transactions!$C:$C,IFERROR(SUMPRODUCT((Transactions!$L$9:$L$5005=$D$1)*(Transactions!$M$9:$M$5005=43)*ROW(Transactions!$L$9:$L$5005)),0))),"")</f>
        <v>45162</v>
      </c>
      <c r="D69" s="104" t="str">
        <f ca="1">IFERROR(IF(IFERROR(SUMPRODUCT((Transactions!$L$9:$L$5005=$D$1)*(Transactions!$M$9:$M$5005=43)*ROW(Transactions!$L$9:$L$5005)),0)=0,"",INDEX(Transactions!$D:$D,IFERROR(SUMPRODUCT((Transactions!$L$9:$L$5005=$D$1)*(Transactions!$M$9:$M$5005=43)*ROW(Transactions!$L$9:$L$5005)),0))),"")</f>
        <v>Nisha Expense-aug sept</v>
      </c>
      <c r="E69" s="105" t="str">
        <f ca="1">IFERROR(IF(IFERROR(SUMPRODUCT((Transactions!$L$9:$L$5005=$D$1)*(Transactions!$M$9:$M$5005=43)*ROW(Transactions!$L$9:$L$5005)),0)=0,"",INDEX(Transactions!$F:$F,IFERROR(SUMPRODUCT((Transactions!$L$9:$L$5005=$D$1)*(Transactions!$M$9:$M$5005=43)*ROW(Transactions!$L$9:$L$5005)),0))),"")</f>
        <v>Expense</v>
      </c>
      <c r="F69" s="105" t="str">
        <f ca="1">IFERROR(IF(IFERROR(SUMPRODUCT((Transactions!$L$9:$L$5005=$D$1)*(Transactions!$M$9:$M$5005=43)*ROW(Transactions!$L$9:$L$5005)),0)=0,"",INDEX(Transactions!$G:$G,IFERROR(SUMPRODUCT((Transactions!$L$9:$L$5005=$D$1)*(Transactions!$M$9:$M$5005=43)*ROW(Transactions!$L$9:$L$5005)),0))),"")</f>
        <v>Nisha</v>
      </c>
      <c r="G69" s="106">
        <f ca="1">IFERROR(IF(IFERROR(SUMPRODUCT((Transactions!$L$9:$L$5005=$D$1)*(Transactions!$M$9:$M$5005=43)*ROW(Transactions!$L$9:$L$5005)),0)=0,"",INDEX(Transactions!$H:$H,IFERROR(SUMPRODUCT((Transactions!$L$9:$L$5005=$D$1)*(Transactions!$M$9:$M$5005=43)*ROW(Transactions!$L$9:$L$5005)),0))),"")</f>
        <v>2200</v>
      </c>
      <c r="H69" s="105">
        <f ca="1">IFERROR(IF(IFERROR(SUMPRODUCT((Transactions!$L$9:$L$5005=$D$1)*(Transactions!$M$9:$M$5005=43)*ROW(Transactions!$L$9:$L$5005)),0)=0,"",INDEX(Transactions!$J:$J,IFERROR(SUMPRODUCT((Transactions!$L$9:$L$5005=$D$1)*(Transactions!$M$9:$M$5005=43)*ROW(Transactions!$L$9:$L$5005)),0))),"")</f>
        <v>0</v>
      </c>
      <c r="I69" s="104" t="str">
        <f ca="1">IFERROR(IF(IFERROR(SUMPRODUCT((Transactions!$L$9:$L$5005=$D$1)*(Transactions!$M$9:$M$5005=43)*ROW(Transactions!$L$9:$L$5005)),0)=0,"",INDEX(Transactions!$K:$K,IFERROR(SUMPRODUCT((Transactions!$L$9:$L$5005=$D$1)*(Transactions!$M$9:$M$5005=43)*ROW(Transactions!$L$9:$L$5005)),0))),"")</f>
        <v>Papa</v>
      </c>
      <c r="J69" s="298">
        <f ca="1">IFERROR(IF(IFERROR(SUMPRODUCT((Transactions!$L$9:$L$5005=$D$1)*(Transactions!$M$9:$M$5005=43)*ROW(Transactions!$L$9:$L$5005)),0)=0,"",INDEX(Transactions!$L:$L,IFERROR(SUMPRODUCT((Transactions!$L$9:$L$5005=$D$1)*(Transactions!$M$9:$M$5005=43)*ROW(Transactions!$L$9:$L$5005)),0))),"")</f>
        <v>2023</v>
      </c>
      <c r="N69" s="112"/>
      <c r="O69" s="245"/>
      <c r="P69" s="246"/>
      <c r="Q69" s="246"/>
      <c r="R69" s="106"/>
      <c r="S69" s="246"/>
      <c r="T69" s="247"/>
      <c r="X69" s="296" t="str" cm="1">
        <f t="array" aca="1" ref="X6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69" s="245" t="str" cm="1">
        <f t="array" aca="1" ref="Y6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69" s="246" t="str" cm="1">
        <f t="array" aca="1" ref="Z6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69" s="246" t="str" cm="1">
        <f t="array" aca="1" ref="AA6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69" s="106" t="str" cm="1">
        <f t="array" aca="1" ref="AB6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69" s="246" t="str" cm="1">
        <f t="array" aca="1" ref="AC6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69" s="247" t="str" cm="1">
        <f t="array" aca="1" ref="AD6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69" s="305" t="str" cm="1">
        <f t="array" aca="1" ref="AE6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70" spans="3:31" ht="16.5" customHeight="1" x14ac:dyDescent="0.2">
      <c r="C70" s="297">
        <f ca="1">IFERROR(IF(IFERROR(SUMPRODUCT((Transactions!$L$9:$L$5005=$D$1)*(Transactions!$M$9:$M$5005=44)*ROW(Transactions!$L$9:$L$5005)),0)=0,"",INDEX(Transactions!$C:$C,IFERROR(SUMPRODUCT((Transactions!$L$9:$L$5005=$D$1)*(Transactions!$M$9:$M$5005=44)*ROW(Transactions!$L$9:$L$5005)),0))),"")</f>
        <v>45162</v>
      </c>
      <c r="D70" s="107" t="str">
        <f ca="1">IFERROR(IF(IFERROR(SUMPRODUCT((Transactions!$L$9:$L$5005=$D$1)*(Transactions!$M$9:$M$5005=44)*ROW(Transactions!$L$9:$L$5005)),0)=0,"",INDEX(Transactions!$D:$D,IFERROR(SUMPRODUCT((Transactions!$L$9:$L$5005=$D$1)*(Transactions!$M$9:$M$5005=44)*ROW(Transactions!$L$9:$L$5005)),0))),"")</f>
        <v>Nisha-Patne Arrangement</v>
      </c>
      <c r="E70" s="108" t="str">
        <f ca="1">IFERROR(IF(IFERROR(SUMPRODUCT((Transactions!$L$9:$L$5005=$D$1)*(Transactions!$M$9:$M$5005=44)*ROW(Transactions!$L$9:$L$5005)),0)=0,"",INDEX(Transactions!$F:$F,IFERROR(SUMPRODUCT((Transactions!$L$9:$L$5005=$D$1)*(Transactions!$M$9:$M$5005=44)*ROW(Transactions!$L$9:$L$5005)),0))),"")</f>
        <v>Expense</v>
      </c>
      <c r="F70" s="108" t="str">
        <f ca="1">IFERROR(IF(IFERROR(SUMPRODUCT((Transactions!$L$9:$L$5005=$D$1)*(Transactions!$M$9:$M$5005=44)*ROW(Transactions!$L$9:$L$5005)),0)=0,"",INDEX(Transactions!$G:$G,IFERROR(SUMPRODUCT((Transactions!$L$9:$L$5005=$D$1)*(Transactions!$M$9:$M$5005=44)*ROW(Transactions!$L$9:$L$5005)),0))),"")</f>
        <v>Nisha</v>
      </c>
      <c r="G70" s="109">
        <f ca="1">IFERROR(IF(IFERROR(SUMPRODUCT((Transactions!$L$9:$L$5005=$D$1)*(Transactions!$M$9:$M$5005=44)*ROW(Transactions!$L$9:$L$5005)),0)=0,"",INDEX(Transactions!$H:$H,IFERROR(SUMPRODUCT((Transactions!$L$9:$L$5005=$D$1)*(Transactions!$M$9:$M$5005=44)*ROW(Transactions!$L$9:$L$5005)),0))),"")</f>
        <v>1800</v>
      </c>
      <c r="H70" s="108">
        <f ca="1">IFERROR(IF(IFERROR(SUMPRODUCT((Transactions!$L$9:$L$5005=$D$1)*(Transactions!$M$9:$M$5005=44)*ROW(Transactions!$L$9:$L$5005)),0)=0,"",INDEX(Transactions!$J:$J,IFERROR(SUMPRODUCT((Transactions!$L$9:$L$5005=$D$1)*(Transactions!$M$9:$M$5005=44)*ROW(Transactions!$L$9:$L$5005)),0))),"")</f>
        <v>0</v>
      </c>
      <c r="I70" s="107" t="str">
        <f ca="1">IFERROR(IF(IFERROR(SUMPRODUCT((Transactions!$L$9:$L$5005=$D$1)*(Transactions!$M$9:$M$5005=44)*ROW(Transactions!$L$9:$L$5005)),0)=0,"",INDEX(Transactions!$K:$K,IFERROR(SUMPRODUCT((Transactions!$L$9:$L$5005=$D$1)*(Transactions!$M$9:$M$5005=44)*ROW(Transactions!$L$9:$L$5005)),0))),"")</f>
        <v>Papa</v>
      </c>
      <c r="J70" s="299">
        <f ca="1">IFERROR(IF(IFERROR(SUMPRODUCT((Transactions!$L$9:$L$5005=$D$1)*(Transactions!$M$9:$M$5005=44)*ROW(Transactions!$L$9:$L$5005)),0)=0,"",INDEX(Transactions!$L:$L,IFERROR(SUMPRODUCT((Transactions!$L$9:$L$5005=$D$1)*(Transactions!$M$9:$M$5005=44)*ROW(Transactions!$L$9:$L$5005)),0))),"")</f>
        <v>2023</v>
      </c>
      <c r="N70" s="112"/>
      <c r="O70" s="245"/>
      <c r="P70" s="246"/>
      <c r="Q70" s="246"/>
      <c r="R70" s="106"/>
      <c r="S70" s="246"/>
      <c r="T70" s="247"/>
      <c r="X70" s="296" t="str" cm="1">
        <f t="array" aca="1" ref="X7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70" s="245" t="str" cm="1">
        <f t="array" aca="1" ref="Y7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70" s="246" t="str" cm="1">
        <f t="array" aca="1" ref="Z7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70" s="246" t="str" cm="1">
        <f t="array" aca="1" ref="AA7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70" s="106" t="str" cm="1">
        <f t="array" aca="1" ref="AB7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70" s="246" t="str" cm="1">
        <f t="array" aca="1" ref="AC7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70" s="247" t="str" cm="1">
        <f t="array" aca="1" ref="AD7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70" s="305" t="str" cm="1">
        <f t="array" aca="1" ref="AE7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71" spans="3:31" ht="16.5" customHeight="1" x14ac:dyDescent="0.2">
      <c r="C71" s="296">
        <f ca="1">IFERROR(IF(IFERROR(SUMPRODUCT((Transactions!$L$9:$L$5005=$D$1)*(Transactions!$M$9:$M$5005=45)*ROW(Transactions!$L$9:$L$5005)),0)=0,"",INDEX(Transactions!$C:$C,IFERROR(SUMPRODUCT((Transactions!$L$9:$L$5005=$D$1)*(Transactions!$M$9:$M$5005=45)*ROW(Transactions!$L$9:$L$5005)),0))),"")</f>
        <v>45163</v>
      </c>
      <c r="D71" s="104">
        <f ca="1">IFERROR(IF(IFERROR(SUMPRODUCT((Transactions!$L$9:$L$5005=$D$1)*(Transactions!$M$9:$M$5005=45)*ROW(Transactions!$L$9:$L$5005)),0)=0,"",INDEX(Transactions!$D:$D,IFERROR(SUMPRODUCT((Transactions!$L$9:$L$5005=$D$1)*(Transactions!$M$9:$M$5005=45)*ROW(Transactions!$L$9:$L$5005)),0))),"")</f>
        <v>45170</v>
      </c>
      <c r="E71" s="105" t="str">
        <f ca="1">IFERROR(IF(IFERROR(SUMPRODUCT((Transactions!$L$9:$L$5005=$D$1)*(Transactions!$M$9:$M$5005=45)*ROW(Transactions!$L$9:$L$5005)),0)=0,"",INDEX(Transactions!$F:$F,IFERROR(SUMPRODUCT((Transactions!$L$9:$L$5005=$D$1)*(Transactions!$M$9:$M$5005=45)*ROW(Transactions!$L$9:$L$5005)),0))),"")</f>
        <v>Expense</v>
      </c>
      <c r="F71" s="105" t="str">
        <f ca="1">IFERROR(IF(IFERROR(SUMPRODUCT((Transactions!$L$9:$L$5005=$D$1)*(Transactions!$M$9:$M$5005=45)*ROW(Transactions!$L$9:$L$5005)),0)=0,"",INDEX(Transactions!$G:$G,IFERROR(SUMPRODUCT((Transactions!$L$9:$L$5005=$D$1)*(Transactions!$M$9:$M$5005=45)*ROW(Transactions!$L$9:$L$5005)),0))),"")</f>
        <v>Pawan</v>
      </c>
      <c r="G71" s="106">
        <f ca="1">IFERROR(IF(IFERROR(SUMPRODUCT((Transactions!$L$9:$L$5005=$D$1)*(Transactions!$M$9:$M$5005=45)*ROW(Transactions!$L$9:$L$5005)),0)=0,"",INDEX(Transactions!$H:$H,IFERROR(SUMPRODUCT((Transactions!$L$9:$L$5005=$D$1)*(Transactions!$M$9:$M$5005=45)*ROW(Transactions!$L$9:$L$5005)),0))),"")</f>
        <v>4000</v>
      </c>
      <c r="H71" s="105">
        <f ca="1">IFERROR(IF(IFERROR(SUMPRODUCT((Transactions!$L$9:$L$5005=$D$1)*(Transactions!$M$9:$M$5005=45)*ROW(Transactions!$L$9:$L$5005)),0)=0,"",INDEX(Transactions!$J:$J,IFERROR(SUMPRODUCT((Transactions!$L$9:$L$5005=$D$1)*(Transactions!$M$9:$M$5005=45)*ROW(Transactions!$L$9:$L$5005)),0))),"")</f>
        <v>0</v>
      </c>
      <c r="I71" s="104">
        <f ca="1">IFERROR(IF(IFERROR(SUMPRODUCT((Transactions!$L$9:$L$5005=$D$1)*(Transactions!$M$9:$M$5005=45)*ROW(Transactions!$L$9:$L$5005)),0)=0,"",INDEX(Transactions!$K:$K,IFERROR(SUMPRODUCT((Transactions!$L$9:$L$5005=$D$1)*(Transactions!$M$9:$M$5005=45)*ROW(Transactions!$L$9:$L$5005)),0))),"")</f>
        <v>0</v>
      </c>
      <c r="J71" s="298">
        <f ca="1">IFERROR(IF(IFERROR(SUMPRODUCT((Transactions!$L$9:$L$5005=$D$1)*(Transactions!$M$9:$M$5005=45)*ROW(Transactions!$L$9:$L$5005)),0)=0,"",INDEX(Transactions!$L:$L,IFERROR(SUMPRODUCT((Transactions!$L$9:$L$5005=$D$1)*(Transactions!$M$9:$M$5005=45)*ROW(Transactions!$L$9:$L$5005)),0))),"")</f>
        <v>2023</v>
      </c>
      <c r="N71" s="112"/>
      <c r="O71" s="245"/>
      <c r="P71" s="246"/>
      <c r="Q71" s="246"/>
      <c r="R71" s="106"/>
      <c r="S71" s="246"/>
      <c r="T71" s="247"/>
      <c r="X71" s="296" t="str" cm="1">
        <f t="array" aca="1" ref="X7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71" s="245" t="str" cm="1">
        <f t="array" aca="1" ref="Y7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71" s="246" t="str" cm="1">
        <f t="array" aca="1" ref="Z7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71" s="246" t="str" cm="1">
        <f t="array" aca="1" ref="AA7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71" s="106" t="str" cm="1">
        <f t="array" aca="1" ref="AB7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71" s="246" t="str" cm="1">
        <f t="array" aca="1" ref="AC7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71" s="247" t="str" cm="1">
        <f t="array" aca="1" ref="AD7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71" s="305" t="str" cm="1">
        <f t="array" aca="1" ref="AE7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72" spans="3:31" ht="16.5" customHeight="1" x14ac:dyDescent="0.2">
      <c r="C72" s="297">
        <f ca="1">IFERROR(IF(IFERROR(SUMPRODUCT((Transactions!$L$9:$L$5005=$D$1)*(Transactions!$M$9:$M$5005=46)*ROW(Transactions!$L$9:$L$5005)),0)=0,"",INDEX(Transactions!$C:$C,IFERROR(SUMPRODUCT((Transactions!$L$9:$L$5005=$D$1)*(Transactions!$M$9:$M$5005=46)*ROW(Transactions!$L$9:$L$5005)),0))),"")</f>
        <v>45163</v>
      </c>
      <c r="D72" s="107">
        <f ca="1">IFERROR(IF(IFERROR(SUMPRODUCT((Transactions!$L$9:$L$5005=$D$1)*(Transactions!$M$9:$M$5005=46)*ROW(Transactions!$L$9:$L$5005)),0)=0,"",INDEX(Transactions!$D:$D,IFERROR(SUMPRODUCT((Transactions!$L$9:$L$5005=$D$1)*(Transactions!$M$9:$M$5005=46)*ROW(Transactions!$L$9:$L$5005)),0))),"")</f>
        <v>45200</v>
      </c>
      <c r="E72" s="108" t="str">
        <f ca="1">IFERROR(IF(IFERROR(SUMPRODUCT((Transactions!$L$9:$L$5005=$D$1)*(Transactions!$M$9:$M$5005=46)*ROW(Transactions!$L$9:$L$5005)),0)=0,"",INDEX(Transactions!$F:$F,IFERROR(SUMPRODUCT((Transactions!$L$9:$L$5005=$D$1)*(Transactions!$M$9:$M$5005=46)*ROW(Transactions!$L$9:$L$5005)),0))),"")</f>
        <v>Expense</v>
      </c>
      <c r="F72" s="108" t="str">
        <f ca="1">IFERROR(IF(IFERROR(SUMPRODUCT((Transactions!$L$9:$L$5005=$D$1)*(Transactions!$M$9:$M$5005=46)*ROW(Transactions!$L$9:$L$5005)),0)=0,"",INDEX(Transactions!$G:$G,IFERROR(SUMPRODUCT((Transactions!$L$9:$L$5005=$D$1)*(Transactions!$M$9:$M$5005=46)*ROW(Transactions!$L$9:$L$5005)),0))),"")</f>
        <v>Pawan</v>
      </c>
      <c r="G72" s="109">
        <f ca="1">IFERROR(IF(IFERROR(SUMPRODUCT((Transactions!$L$9:$L$5005=$D$1)*(Transactions!$M$9:$M$5005=46)*ROW(Transactions!$L$9:$L$5005)),0)=0,"",INDEX(Transactions!$H:$H,IFERROR(SUMPRODUCT((Transactions!$L$9:$L$5005=$D$1)*(Transactions!$M$9:$M$5005=46)*ROW(Transactions!$L$9:$L$5005)),0))),"")</f>
        <v>5000</v>
      </c>
      <c r="H72" s="108">
        <f ca="1">IFERROR(IF(IFERROR(SUMPRODUCT((Transactions!$L$9:$L$5005=$D$1)*(Transactions!$M$9:$M$5005=46)*ROW(Transactions!$L$9:$L$5005)),0)=0,"",INDEX(Transactions!$J:$J,IFERROR(SUMPRODUCT((Transactions!$L$9:$L$5005=$D$1)*(Transactions!$M$9:$M$5005=46)*ROW(Transactions!$L$9:$L$5005)),0))),"")</f>
        <v>0</v>
      </c>
      <c r="I72" s="107">
        <f ca="1">IFERROR(IF(IFERROR(SUMPRODUCT((Transactions!$L$9:$L$5005=$D$1)*(Transactions!$M$9:$M$5005=46)*ROW(Transactions!$L$9:$L$5005)),0)=0,"",INDEX(Transactions!$K:$K,IFERROR(SUMPRODUCT((Transactions!$L$9:$L$5005=$D$1)*(Transactions!$M$9:$M$5005=46)*ROW(Transactions!$L$9:$L$5005)),0))),"")</f>
        <v>0</v>
      </c>
      <c r="J72" s="299">
        <f ca="1">IFERROR(IF(IFERROR(SUMPRODUCT((Transactions!$L$9:$L$5005=$D$1)*(Transactions!$M$9:$M$5005=46)*ROW(Transactions!$L$9:$L$5005)),0)=0,"",INDEX(Transactions!$L:$L,IFERROR(SUMPRODUCT((Transactions!$L$9:$L$5005=$D$1)*(Transactions!$M$9:$M$5005=46)*ROW(Transactions!$L$9:$L$5005)),0))),"")</f>
        <v>2023</v>
      </c>
      <c r="N72" s="112"/>
      <c r="O72" s="245"/>
      <c r="P72" s="246"/>
      <c r="Q72" s="246"/>
      <c r="R72" s="106"/>
      <c r="S72" s="246"/>
      <c r="T72" s="247"/>
      <c r="X72" s="296" t="str" cm="1">
        <f t="array" aca="1" ref="X7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72" s="245" t="str" cm="1">
        <f t="array" aca="1" ref="Y7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72" s="246" t="str" cm="1">
        <f t="array" aca="1" ref="Z7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72" s="246" t="str" cm="1">
        <f t="array" aca="1" ref="AA7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72" s="106" t="str" cm="1">
        <f t="array" aca="1" ref="AB7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72" s="246" t="str" cm="1">
        <f t="array" aca="1" ref="AC7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72" s="247" t="str" cm="1">
        <f t="array" aca="1" ref="AD7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72" s="305" t="str" cm="1">
        <f t="array" aca="1" ref="AE7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73" spans="3:31" ht="16.5" customHeight="1" x14ac:dyDescent="0.2">
      <c r="C73" s="296">
        <f ca="1">IFERROR(IF(IFERROR(SUMPRODUCT((Transactions!$L$9:$L$5005=$D$1)*(Transactions!$M$9:$M$5005=47)*ROW(Transactions!$L$9:$L$5005)),0)=0,"",INDEX(Transactions!$C:$C,IFERROR(SUMPRODUCT((Transactions!$L$9:$L$5005=$D$1)*(Transactions!$M$9:$M$5005=47)*ROW(Transactions!$L$9:$L$5005)),0))),"")</f>
        <v>45169</v>
      </c>
      <c r="D73" s="104" t="str">
        <f ca="1">IFERROR(IF(IFERROR(SUMPRODUCT((Transactions!$L$9:$L$5005=$D$1)*(Transactions!$M$9:$M$5005=47)*ROW(Transactions!$L$9:$L$5005)),0)=0,"",INDEX(Transactions!$D:$D,IFERROR(SUMPRODUCT((Transactions!$L$9:$L$5005=$D$1)*(Transactions!$M$9:$M$5005=47)*ROW(Transactions!$L$9:$L$5005)),0))),"")</f>
        <v>Delhi Paytm aug 23</v>
      </c>
      <c r="E73" s="105" t="str">
        <f ca="1">IFERROR(IF(IFERROR(SUMPRODUCT((Transactions!$L$9:$L$5005=$D$1)*(Transactions!$M$9:$M$5005=47)*ROW(Transactions!$L$9:$L$5005)),0)=0,"",INDEX(Transactions!$F:$F,IFERROR(SUMPRODUCT((Transactions!$L$9:$L$5005=$D$1)*(Transactions!$M$9:$M$5005=47)*ROW(Transactions!$L$9:$L$5005)),0))),"")</f>
        <v>Expense</v>
      </c>
      <c r="F73" s="105" t="str">
        <f ca="1">IFERROR(IF(IFERROR(SUMPRODUCT((Transactions!$L$9:$L$5005=$D$1)*(Transactions!$M$9:$M$5005=47)*ROW(Transactions!$L$9:$L$5005)),0)=0,"",INDEX(Transactions!$G:$G,IFERROR(SUMPRODUCT((Transactions!$L$9:$L$5005=$D$1)*(Transactions!$M$9:$M$5005=47)*ROW(Transactions!$L$9:$L$5005)),0))),"")</f>
        <v>Delhi</v>
      </c>
      <c r="G73" s="106">
        <f ca="1">IFERROR(IF(IFERROR(SUMPRODUCT((Transactions!$L$9:$L$5005=$D$1)*(Transactions!$M$9:$M$5005=47)*ROW(Transactions!$L$9:$L$5005)),0)=0,"",INDEX(Transactions!$H:$H,IFERROR(SUMPRODUCT((Transactions!$L$9:$L$5005=$D$1)*(Transactions!$M$9:$M$5005=47)*ROW(Transactions!$L$9:$L$5005)),0))),"")</f>
        <v>8500</v>
      </c>
      <c r="H73" s="105">
        <f ca="1">IFERROR(IF(IFERROR(SUMPRODUCT((Transactions!$L$9:$L$5005=$D$1)*(Transactions!$M$9:$M$5005=47)*ROW(Transactions!$L$9:$L$5005)),0)=0,"",INDEX(Transactions!$J:$J,IFERROR(SUMPRODUCT((Transactions!$L$9:$L$5005=$D$1)*(Transactions!$M$9:$M$5005=47)*ROW(Transactions!$L$9:$L$5005)),0))),"")</f>
        <v>0</v>
      </c>
      <c r="I73" s="104">
        <f ca="1">IFERROR(IF(IFERROR(SUMPRODUCT((Transactions!$L$9:$L$5005=$D$1)*(Transactions!$M$9:$M$5005=47)*ROW(Transactions!$L$9:$L$5005)),0)=0,"",INDEX(Transactions!$K:$K,IFERROR(SUMPRODUCT((Transactions!$L$9:$L$5005=$D$1)*(Transactions!$M$9:$M$5005=47)*ROW(Transactions!$L$9:$L$5005)),0))),"")</f>
        <v>0</v>
      </c>
      <c r="J73" s="298">
        <f ca="1">IFERROR(IF(IFERROR(SUMPRODUCT((Transactions!$L$9:$L$5005=$D$1)*(Transactions!$M$9:$M$5005=47)*ROW(Transactions!$L$9:$L$5005)),0)=0,"",INDEX(Transactions!$L:$L,IFERROR(SUMPRODUCT((Transactions!$L$9:$L$5005=$D$1)*(Transactions!$M$9:$M$5005=47)*ROW(Transactions!$L$9:$L$5005)),0))),"")</f>
        <v>2023</v>
      </c>
      <c r="N73" s="112"/>
      <c r="O73" s="245"/>
      <c r="P73" s="246"/>
      <c r="Q73" s="246"/>
      <c r="R73" s="106"/>
      <c r="S73" s="246"/>
      <c r="T73" s="247"/>
      <c r="X73" s="296" t="str" cm="1">
        <f t="array" aca="1" ref="X7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73" s="245" t="str" cm="1">
        <f t="array" aca="1" ref="Y7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73" s="246" t="str" cm="1">
        <f t="array" aca="1" ref="Z7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73" s="246" t="str" cm="1">
        <f t="array" aca="1" ref="AA7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73" s="106" t="str" cm="1">
        <f t="array" aca="1" ref="AB7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73" s="246" t="str" cm="1">
        <f t="array" aca="1" ref="AC7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73" s="247" t="str" cm="1">
        <f t="array" aca="1" ref="AD7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73" s="305" t="str" cm="1">
        <f t="array" aca="1" ref="AE7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74" spans="3:31" ht="16.5" customHeight="1" x14ac:dyDescent="0.2">
      <c r="C74" s="297">
        <f ca="1">IFERROR(IF(IFERROR(SUMPRODUCT((Transactions!$L$9:$L$5005=$D$1)*(Transactions!$M$9:$M$5005=48)*ROW(Transactions!$L$9:$L$5005)),0)=0,"",INDEX(Transactions!$C:$C,IFERROR(SUMPRODUCT((Transactions!$L$9:$L$5005=$D$1)*(Transactions!$M$9:$M$5005=48)*ROW(Transactions!$L$9:$L$5005)),0))),"")</f>
        <v>45169</v>
      </c>
      <c r="D74" s="107" t="str">
        <f ca="1">IFERROR(IF(IFERROR(SUMPRODUCT((Transactions!$L$9:$L$5005=$D$1)*(Transactions!$M$9:$M$5005=48)*ROW(Transactions!$L$9:$L$5005)),0)=0,"",INDEX(Transactions!$D:$D,IFERROR(SUMPRODUCT((Transactions!$L$9:$L$5005=$D$1)*(Transactions!$M$9:$M$5005=48)*ROW(Transactions!$L$9:$L$5005)),0))),"")</f>
        <v>Cognizant Aug</v>
      </c>
      <c r="E74" s="108" t="str">
        <f ca="1">IFERROR(IF(IFERROR(SUMPRODUCT((Transactions!$L$9:$L$5005=$D$1)*(Transactions!$M$9:$M$5005=48)*ROW(Transactions!$L$9:$L$5005)),0)=0,"",INDEX(Transactions!$F:$F,IFERROR(SUMPRODUCT((Transactions!$L$9:$L$5005=$D$1)*(Transactions!$M$9:$M$5005=48)*ROW(Transactions!$L$9:$L$5005)),0))),"")</f>
        <v>Income</v>
      </c>
      <c r="F74" s="108" t="str">
        <f ca="1">IFERROR(IF(IFERROR(SUMPRODUCT((Transactions!$L$9:$L$5005=$D$1)*(Transactions!$M$9:$M$5005=48)*ROW(Transactions!$L$9:$L$5005)),0)=0,"",INDEX(Transactions!$G:$G,IFERROR(SUMPRODUCT((Transactions!$L$9:$L$5005=$D$1)*(Transactions!$M$9:$M$5005=48)*ROW(Transactions!$L$9:$L$5005)),0))),"")</f>
        <v>Salary</v>
      </c>
      <c r="G74" s="109">
        <f ca="1">IFERROR(IF(IFERROR(SUMPRODUCT((Transactions!$L$9:$L$5005=$D$1)*(Transactions!$M$9:$M$5005=48)*ROW(Transactions!$L$9:$L$5005)),0)=0,"",INDEX(Transactions!$H:$H,IFERROR(SUMPRODUCT((Transactions!$L$9:$L$5005=$D$1)*(Transactions!$M$9:$M$5005=48)*ROW(Transactions!$L$9:$L$5005)),0))),"")</f>
        <v>34000</v>
      </c>
      <c r="H74" s="108">
        <f ca="1">IFERROR(IF(IFERROR(SUMPRODUCT((Transactions!$L$9:$L$5005=$D$1)*(Transactions!$M$9:$M$5005=48)*ROW(Transactions!$L$9:$L$5005)),0)=0,"",INDEX(Transactions!$J:$J,IFERROR(SUMPRODUCT((Transactions!$L$9:$L$5005=$D$1)*(Transactions!$M$9:$M$5005=48)*ROW(Transactions!$L$9:$L$5005)),0))),"")</f>
        <v>0</v>
      </c>
      <c r="I74" s="107">
        <f ca="1">IFERROR(IF(IFERROR(SUMPRODUCT((Transactions!$L$9:$L$5005=$D$1)*(Transactions!$M$9:$M$5005=48)*ROW(Transactions!$L$9:$L$5005)),0)=0,"",INDEX(Transactions!$K:$K,IFERROR(SUMPRODUCT((Transactions!$L$9:$L$5005=$D$1)*(Transactions!$M$9:$M$5005=48)*ROW(Transactions!$L$9:$L$5005)),0))),"")</f>
        <v>0</v>
      </c>
      <c r="J74" s="299">
        <f ca="1">IFERROR(IF(IFERROR(SUMPRODUCT((Transactions!$L$9:$L$5005=$D$1)*(Transactions!$M$9:$M$5005=48)*ROW(Transactions!$L$9:$L$5005)),0)=0,"",INDEX(Transactions!$L:$L,IFERROR(SUMPRODUCT((Transactions!$L$9:$L$5005=$D$1)*(Transactions!$M$9:$M$5005=48)*ROW(Transactions!$L$9:$L$5005)),0))),"")</f>
        <v>2023</v>
      </c>
      <c r="N74" s="112"/>
      <c r="O74" s="245"/>
      <c r="P74" s="246"/>
      <c r="Q74" s="246"/>
      <c r="R74" s="106"/>
      <c r="S74" s="246"/>
      <c r="T74" s="247"/>
      <c r="X74" s="296" t="str" cm="1">
        <f t="array" aca="1" ref="X7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74" s="245" t="str" cm="1">
        <f t="array" aca="1" ref="Y7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74" s="246" t="str" cm="1">
        <f t="array" aca="1" ref="Z7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74" s="246" t="str" cm="1">
        <f t="array" aca="1" ref="AA7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74" s="106" t="str" cm="1">
        <f t="array" aca="1" ref="AB7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74" s="246" t="str" cm="1">
        <f t="array" aca="1" ref="AC7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74" s="247" t="str" cm="1">
        <f t="array" aca="1" ref="AD7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74" s="305" t="str" cm="1">
        <f t="array" aca="1" ref="AE7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75" spans="3:31" ht="16.5" customHeight="1" x14ac:dyDescent="0.2">
      <c r="C75" s="296">
        <f ca="1">IFERROR(IF(IFERROR(SUMPRODUCT((Transactions!$L$9:$L$5005=$D$1)*(Transactions!$M$9:$M$5005=49)*ROW(Transactions!$L$9:$L$5005)),0)=0,"",INDEX(Transactions!$C:$C,IFERROR(SUMPRODUCT((Transactions!$L$9:$L$5005=$D$1)*(Transactions!$M$9:$M$5005=49)*ROW(Transactions!$L$9:$L$5005)),0))),"")</f>
        <v>45172</v>
      </c>
      <c r="D75" s="104" t="str">
        <f ca="1">IFERROR(IF(IFERROR(SUMPRODUCT((Transactions!$L$9:$L$5005=$D$1)*(Transactions!$M$9:$M$5005=49)*ROW(Transactions!$L$9:$L$5005)),0)=0,"",INDEX(Transactions!$D:$D,IFERROR(SUMPRODUCT((Transactions!$L$9:$L$5005=$D$1)*(Transactions!$M$9:$M$5005=49)*ROW(Transactions!$L$9:$L$5005)),0))),"")</f>
        <v>MBA6</v>
      </c>
      <c r="E75" s="105" t="str">
        <f ca="1">IFERROR(IF(IFERROR(SUMPRODUCT((Transactions!$L$9:$L$5005=$D$1)*(Transactions!$M$9:$M$5005=49)*ROW(Transactions!$L$9:$L$5005)),0)=0,"",INDEX(Transactions!$F:$F,IFERROR(SUMPRODUCT((Transactions!$L$9:$L$5005=$D$1)*(Transactions!$M$9:$M$5005=49)*ROW(Transactions!$L$9:$L$5005)),0))),"")</f>
        <v>Expense</v>
      </c>
      <c r="F75" s="105" t="str">
        <f ca="1">IFERROR(IF(IFERROR(SUMPRODUCT((Transactions!$L$9:$L$5005=$D$1)*(Transactions!$M$9:$M$5005=49)*ROW(Transactions!$L$9:$L$5005)),0)=0,"",INDEX(Transactions!$G:$G,IFERROR(SUMPRODUCT((Transactions!$L$9:$L$5005=$D$1)*(Transactions!$M$9:$M$5005=49)*ROW(Transactions!$L$9:$L$5005)),0))),"")</f>
        <v>Ed LOAN</v>
      </c>
      <c r="G75" s="106">
        <f ca="1">IFERROR(IF(IFERROR(SUMPRODUCT((Transactions!$L$9:$L$5005=$D$1)*(Transactions!$M$9:$M$5005=49)*ROW(Transactions!$L$9:$L$5005)),0)=0,"",INDEX(Transactions!$H:$H,IFERROR(SUMPRODUCT((Transactions!$L$9:$L$5005=$D$1)*(Transactions!$M$9:$M$5005=49)*ROW(Transactions!$L$9:$L$5005)),0))),"")</f>
        <v>6881</v>
      </c>
      <c r="H75" s="105">
        <f ca="1">IFERROR(IF(IFERROR(SUMPRODUCT((Transactions!$L$9:$L$5005=$D$1)*(Transactions!$M$9:$M$5005=49)*ROW(Transactions!$L$9:$L$5005)),0)=0,"",INDEX(Transactions!$J:$J,IFERROR(SUMPRODUCT((Transactions!$L$9:$L$5005=$D$1)*(Transactions!$M$9:$M$5005=49)*ROW(Transactions!$L$9:$L$5005)),0))),"")</f>
        <v>0</v>
      </c>
      <c r="I75" s="104">
        <f ca="1">IFERROR(IF(IFERROR(SUMPRODUCT((Transactions!$L$9:$L$5005=$D$1)*(Transactions!$M$9:$M$5005=49)*ROW(Transactions!$L$9:$L$5005)),0)=0,"",INDEX(Transactions!$K:$K,IFERROR(SUMPRODUCT((Transactions!$L$9:$L$5005=$D$1)*(Transactions!$M$9:$M$5005=49)*ROW(Transactions!$L$9:$L$5005)),0))),"")</f>
        <v>0</v>
      </c>
      <c r="J75" s="298">
        <f ca="1">IFERROR(IF(IFERROR(SUMPRODUCT((Transactions!$L$9:$L$5005=$D$1)*(Transactions!$M$9:$M$5005=49)*ROW(Transactions!$L$9:$L$5005)),0)=0,"",INDEX(Transactions!$L:$L,IFERROR(SUMPRODUCT((Transactions!$L$9:$L$5005=$D$1)*(Transactions!$M$9:$M$5005=49)*ROW(Transactions!$L$9:$L$5005)),0))),"")</f>
        <v>2023</v>
      </c>
      <c r="N75" s="112"/>
      <c r="O75" s="245"/>
      <c r="P75" s="246"/>
      <c r="Q75" s="246"/>
      <c r="R75" s="106"/>
      <c r="S75" s="246"/>
      <c r="T75" s="247"/>
      <c r="X75" s="296" t="str" cm="1">
        <f t="array" aca="1" ref="X7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75" s="245" t="str" cm="1">
        <f t="array" aca="1" ref="Y7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75" s="246" t="str" cm="1">
        <f t="array" aca="1" ref="Z7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75" s="246" t="str" cm="1">
        <f t="array" aca="1" ref="AA7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75" s="106" t="str" cm="1">
        <f t="array" aca="1" ref="AB7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75" s="246" t="str" cm="1">
        <f t="array" aca="1" ref="AC7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75" s="247" t="str" cm="1">
        <f t="array" aca="1" ref="AD7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75" s="305" t="str" cm="1">
        <f t="array" aca="1" ref="AE7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76" spans="3:31" ht="16.5" customHeight="1" x14ac:dyDescent="0.2">
      <c r="C76" s="297">
        <f ca="1">IFERROR(IF(IFERROR(SUMPRODUCT((Transactions!$L$9:$L$5005=$D$1)*(Transactions!$M$9:$M$5005=50)*ROW(Transactions!$L$9:$L$5005)),0)=0,"",INDEX(Transactions!$C:$C,IFERROR(SUMPRODUCT((Transactions!$L$9:$L$5005=$D$1)*(Transactions!$M$9:$M$5005=50)*ROW(Transactions!$L$9:$L$5005)),0))),"")</f>
        <v>45172</v>
      </c>
      <c r="D76" s="107" t="str">
        <f ca="1">IFERROR(IF(IFERROR(SUMPRODUCT((Transactions!$L$9:$L$5005=$D$1)*(Transactions!$M$9:$M$5005=50)*ROW(Transactions!$L$9:$L$5005)),0)=0,"",INDEX(Transactions!$D:$D,IFERROR(SUMPRODUCT((Transactions!$L$9:$L$5005=$D$1)*(Transactions!$M$9:$M$5005=50)*ROW(Transactions!$L$9:$L$5005)),0))),"")</f>
        <v>electric bill</v>
      </c>
      <c r="E76" s="108" t="str">
        <f ca="1">IFERROR(IF(IFERROR(SUMPRODUCT((Transactions!$L$9:$L$5005=$D$1)*(Transactions!$M$9:$M$5005=50)*ROW(Transactions!$L$9:$L$5005)),0)=0,"",INDEX(Transactions!$F:$F,IFERROR(SUMPRODUCT((Transactions!$L$9:$L$5005=$D$1)*(Transactions!$M$9:$M$5005=50)*ROW(Transactions!$L$9:$L$5005)),0))),"")</f>
        <v>Expense</v>
      </c>
      <c r="F76" s="108" t="str">
        <f ca="1">IFERROR(IF(IFERROR(SUMPRODUCT((Transactions!$L$9:$L$5005=$D$1)*(Transactions!$M$9:$M$5005=50)*ROW(Transactions!$L$9:$L$5005)),0)=0,"",INDEX(Transactions!$G:$G,IFERROR(SUMPRODUCT((Transactions!$L$9:$L$5005=$D$1)*(Transactions!$M$9:$M$5005=50)*ROW(Transactions!$L$9:$L$5005)),0))),"")</f>
        <v>Home</v>
      </c>
      <c r="G76" s="109">
        <f ca="1">IFERROR(IF(IFERROR(SUMPRODUCT((Transactions!$L$9:$L$5005=$D$1)*(Transactions!$M$9:$M$5005=50)*ROW(Transactions!$L$9:$L$5005)),0)=0,"",INDEX(Transactions!$H:$H,IFERROR(SUMPRODUCT((Transactions!$L$9:$L$5005=$D$1)*(Transactions!$M$9:$M$5005=50)*ROW(Transactions!$L$9:$L$5005)),0))),"")</f>
        <v>1390</v>
      </c>
      <c r="H76" s="108">
        <f ca="1">IFERROR(IF(IFERROR(SUMPRODUCT((Transactions!$L$9:$L$5005=$D$1)*(Transactions!$M$9:$M$5005=50)*ROW(Transactions!$L$9:$L$5005)),0)=0,"",INDEX(Transactions!$J:$J,IFERROR(SUMPRODUCT((Transactions!$L$9:$L$5005=$D$1)*(Transactions!$M$9:$M$5005=50)*ROW(Transactions!$L$9:$L$5005)),0))),"")</f>
        <v>0</v>
      </c>
      <c r="I76" s="107">
        <f ca="1">IFERROR(IF(IFERROR(SUMPRODUCT((Transactions!$L$9:$L$5005=$D$1)*(Transactions!$M$9:$M$5005=50)*ROW(Transactions!$L$9:$L$5005)),0)=0,"",INDEX(Transactions!$K:$K,IFERROR(SUMPRODUCT((Transactions!$L$9:$L$5005=$D$1)*(Transactions!$M$9:$M$5005=50)*ROW(Transactions!$L$9:$L$5005)),0))),"")</f>
        <v>0</v>
      </c>
      <c r="J76" s="299">
        <f ca="1">IFERROR(IF(IFERROR(SUMPRODUCT((Transactions!$L$9:$L$5005=$D$1)*(Transactions!$M$9:$M$5005=50)*ROW(Transactions!$L$9:$L$5005)),0)=0,"",INDEX(Transactions!$L:$L,IFERROR(SUMPRODUCT((Transactions!$L$9:$L$5005=$D$1)*(Transactions!$M$9:$M$5005=50)*ROW(Transactions!$L$9:$L$5005)),0))),"")</f>
        <v>2023</v>
      </c>
      <c r="N76" s="112"/>
      <c r="O76" s="245"/>
      <c r="P76" s="246"/>
      <c r="Q76" s="246"/>
      <c r="R76" s="106"/>
      <c r="S76" s="246"/>
      <c r="T76" s="247"/>
      <c r="X76" s="296" t="str" cm="1">
        <f t="array" aca="1" ref="X7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76" s="245" t="str" cm="1">
        <f t="array" aca="1" ref="Y7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76" s="246" t="str" cm="1">
        <f t="array" aca="1" ref="Z7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76" s="246" t="str" cm="1">
        <f t="array" aca="1" ref="AA7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76" s="106" t="str" cm="1">
        <f t="array" aca="1" ref="AB7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76" s="246" t="str" cm="1">
        <f t="array" aca="1" ref="AC7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76" s="247" t="str" cm="1">
        <f t="array" aca="1" ref="AD7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76" s="305" t="str" cm="1">
        <f t="array" aca="1" ref="AE7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77" spans="3:31" ht="16.5" customHeight="1" x14ac:dyDescent="0.2">
      <c r="C77" s="296">
        <f ca="1">IFERROR(IF(IFERROR(SUMPRODUCT((Transactions!$L$9:$L$5005=$D$1)*(Transactions!$M$9:$M$5005=51)*ROW(Transactions!$L$9:$L$5005)),0)=0,"",INDEX(Transactions!$C:$C,IFERROR(SUMPRODUCT((Transactions!$L$9:$L$5005=$D$1)*(Transactions!$M$9:$M$5005=51)*ROW(Transactions!$L$9:$L$5005)),0))),"")</f>
        <v>45179</v>
      </c>
      <c r="D77" s="104" t="str">
        <f ca="1">IFERROR(IF(IFERROR(SUMPRODUCT((Transactions!$L$9:$L$5005=$D$1)*(Transactions!$M$9:$M$5005=51)*ROW(Transactions!$L$9:$L$5005)),0)=0,"",INDEX(Transactions!$D:$D,IFERROR(SUMPRODUCT((Transactions!$L$9:$L$5005=$D$1)*(Transactions!$M$9:$M$5005=51)*ROW(Transactions!$L$9:$L$5005)),0))),"")</f>
        <v>September</v>
      </c>
      <c r="E77" s="105" t="str">
        <f ca="1">IFERROR(IF(IFERROR(SUMPRODUCT((Transactions!$L$9:$L$5005=$D$1)*(Transactions!$M$9:$M$5005=51)*ROW(Transactions!$L$9:$L$5005)),0)=0,"",INDEX(Transactions!$F:$F,IFERROR(SUMPRODUCT((Transactions!$L$9:$L$5005=$D$1)*(Transactions!$M$9:$M$5005=51)*ROW(Transactions!$L$9:$L$5005)),0))),"")</f>
        <v>Investment</v>
      </c>
      <c r="F77" s="105" t="str">
        <f ca="1">IFERROR(IF(IFERROR(SUMPRODUCT((Transactions!$L$9:$L$5005=$D$1)*(Transactions!$M$9:$M$5005=51)*ROW(Transactions!$L$9:$L$5005)),0)=0,"",INDEX(Transactions!$G:$G,IFERROR(SUMPRODUCT((Transactions!$L$9:$L$5005=$D$1)*(Transactions!$M$9:$M$5005=51)*ROW(Transactions!$L$9:$L$5005)),0))),"")</f>
        <v>Saving</v>
      </c>
      <c r="G77" s="106">
        <f ca="1">IFERROR(IF(IFERROR(SUMPRODUCT((Transactions!$L$9:$L$5005=$D$1)*(Transactions!$M$9:$M$5005=51)*ROW(Transactions!$L$9:$L$5005)),0)=0,"",INDEX(Transactions!$H:$H,IFERROR(SUMPRODUCT((Transactions!$L$9:$L$5005=$D$1)*(Transactions!$M$9:$M$5005=51)*ROW(Transactions!$L$9:$L$5005)),0))),"")</f>
        <v>1376</v>
      </c>
      <c r="H77" s="105">
        <f ca="1">IFERROR(IF(IFERROR(SUMPRODUCT((Transactions!$L$9:$L$5005=$D$1)*(Transactions!$M$9:$M$5005=51)*ROW(Transactions!$L$9:$L$5005)),0)=0,"",INDEX(Transactions!$J:$J,IFERROR(SUMPRODUCT((Transactions!$L$9:$L$5005=$D$1)*(Transactions!$M$9:$M$5005=51)*ROW(Transactions!$L$9:$L$5005)),0))),"")</f>
        <v>0</v>
      </c>
      <c r="I77" s="104">
        <f ca="1">IFERROR(IF(IFERROR(SUMPRODUCT((Transactions!$L$9:$L$5005=$D$1)*(Transactions!$M$9:$M$5005=51)*ROW(Transactions!$L$9:$L$5005)),0)=0,"",INDEX(Transactions!$K:$K,IFERROR(SUMPRODUCT((Transactions!$L$9:$L$5005=$D$1)*(Transactions!$M$9:$M$5005=51)*ROW(Transactions!$L$9:$L$5005)),0))),"")</f>
        <v>0</v>
      </c>
      <c r="J77" s="298">
        <f ca="1">IFERROR(IF(IFERROR(SUMPRODUCT((Transactions!$L$9:$L$5005=$D$1)*(Transactions!$M$9:$M$5005=51)*ROW(Transactions!$L$9:$L$5005)),0)=0,"",INDEX(Transactions!$L:$L,IFERROR(SUMPRODUCT((Transactions!$L$9:$L$5005=$D$1)*(Transactions!$M$9:$M$5005=51)*ROW(Transactions!$L$9:$L$5005)),0))),"")</f>
        <v>2023</v>
      </c>
      <c r="N77" s="112"/>
      <c r="O77" s="245"/>
      <c r="P77" s="246"/>
      <c r="Q77" s="246"/>
      <c r="R77" s="106"/>
      <c r="S77" s="246"/>
      <c r="T77" s="247"/>
      <c r="X77" s="296" t="str" cm="1">
        <f t="array" aca="1" ref="X7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77" s="245" t="str" cm="1">
        <f t="array" aca="1" ref="Y7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77" s="246" t="str" cm="1">
        <f t="array" aca="1" ref="Z7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77" s="246" t="str" cm="1">
        <f t="array" aca="1" ref="AA7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77" s="106" t="str" cm="1">
        <f t="array" aca="1" ref="AB7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77" s="246" t="str" cm="1">
        <f t="array" aca="1" ref="AC7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77" s="247" t="str" cm="1">
        <f t="array" aca="1" ref="AD7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77" s="305" t="str" cm="1">
        <f t="array" aca="1" ref="AE7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78" spans="3:31" ht="16.5" customHeight="1" x14ac:dyDescent="0.2">
      <c r="C78" s="297">
        <f ca="1">IFERROR(IF(IFERROR(SUMPRODUCT((Transactions!$L$9:$L$5005=$D$1)*(Transactions!$M$9:$M$5005=52)*ROW(Transactions!$L$9:$L$5005)),0)=0,"",INDEX(Transactions!$C:$C,IFERROR(SUMPRODUCT((Transactions!$L$9:$L$5005=$D$1)*(Transactions!$M$9:$M$5005=52)*ROW(Transactions!$L$9:$L$5005)),0))),"")</f>
        <v>45184</v>
      </c>
      <c r="D78" s="107" t="str">
        <f ca="1">IFERROR(IF(IFERROR(SUMPRODUCT((Transactions!$L$9:$L$5005=$D$1)*(Transactions!$M$9:$M$5005=52)*ROW(Transactions!$L$9:$L$5005)),0)=0,"",INDEX(Transactions!$D:$D,IFERROR(SUMPRODUCT((Transactions!$L$9:$L$5005=$D$1)*(Transactions!$M$9:$M$5005=52)*ROW(Transactions!$L$9:$L$5005)),0))),"")</f>
        <v>Medicine</v>
      </c>
      <c r="E78" s="108" t="str">
        <f ca="1">IFERROR(IF(IFERROR(SUMPRODUCT((Transactions!$L$9:$L$5005=$D$1)*(Transactions!$M$9:$M$5005=52)*ROW(Transactions!$L$9:$L$5005)),0)=0,"",INDEX(Transactions!$F:$F,IFERROR(SUMPRODUCT((Transactions!$L$9:$L$5005=$D$1)*(Transactions!$M$9:$M$5005=52)*ROW(Transactions!$L$9:$L$5005)),0))),"")</f>
        <v>Expense</v>
      </c>
      <c r="F78" s="108" t="str">
        <f ca="1">IFERROR(IF(IFERROR(SUMPRODUCT((Transactions!$L$9:$L$5005=$D$1)*(Transactions!$M$9:$M$5005=52)*ROW(Transactions!$L$9:$L$5005)),0)=0,"",INDEX(Transactions!$G:$G,IFERROR(SUMPRODUCT((Transactions!$L$9:$L$5005=$D$1)*(Transactions!$M$9:$M$5005=52)*ROW(Transactions!$L$9:$L$5005)),0))),"")</f>
        <v>Home</v>
      </c>
      <c r="G78" s="109">
        <f ca="1">IFERROR(IF(IFERROR(SUMPRODUCT((Transactions!$L$9:$L$5005=$D$1)*(Transactions!$M$9:$M$5005=52)*ROW(Transactions!$L$9:$L$5005)),0)=0,"",INDEX(Transactions!$H:$H,IFERROR(SUMPRODUCT((Transactions!$L$9:$L$5005=$D$1)*(Transactions!$M$9:$M$5005=52)*ROW(Transactions!$L$9:$L$5005)),0))),"")</f>
        <v>807</v>
      </c>
      <c r="H78" s="108">
        <f ca="1">IFERROR(IF(IFERROR(SUMPRODUCT((Transactions!$L$9:$L$5005=$D$1)*(Transactions!$M$9:$M$5005=52)*ROW(Transactions!$L$9:$L$5005)),0)=0,"",INDEX(Transactions!$J:$J,IFERROR(SUMPRODUCT((Transactions!$L$9:$L$5005=$D$1)*(Transactions!$M$9:$M$5005=52)*ROW(Transactions!$L$9:$L$5005)),0))),"")</f>
        <v>0</v>
      </c>
      <c r="I78" s="107">
        <f ca="1">IFERROR(IF(IFERROR(SUMPRODUCT((Transactions!$L$9:$L$5005=$D$1)*(Transactions!$M$9:$M$5005=52)*ROW(Transactions!$L$9:$L$5005)),0)=0,"",INDEX(Transactions!$K:$K,IFERROR(SUMPRODUCT((Transactions!$L$9:$L$5005=$D$1)*(Transactions!$M$9:$M$5005=52)*ROW(Transactions!$L$9:$L$5005)),0))),"")</f>
        <v>0</v>
      </c>
      <c r="J78" s="299">
        <f ca="1">IFERROR(IF(IFERROR(SUMPRODUCT((Transactions!$L$9:$L$5005=$D$1)*(Transactions!$M$9:$M$5005=52)*ROW(Transactions!$L$9:$L$5005)),0)=0,"",INDEX(Transactions!$L:$L,IFERROR(SUMPRODUCT((Transactions!$L$9:$L$5005=$D$1)*(Transactions!$M$9:$M$5005=52)*ROW(Transactions!$L$9:$L$5005)),0))),"")</f>
        <v>2023</v>
      </c>
      <c r="N78" s="112"/>
      <c r="O78" s="245"/>
      <c r="P78" s="246"/>
      <c r="Q78" s="246"/>
      <c r="R78" s="106"/>
      <c r="S78" s="246"/>
      <c r="T78" s="247"/>
      <c r="X78" s="296" t="str" cm="1">
        <f t="array" aca="1" ref="X7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78" s="245" t="str" cm="1">
        <f t="array" aca="1" ref="Y7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78" s="246" t="str" cm="1">
        <f t="array" aca="1" ref="Z7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78" s="246" t="str" cm="1">
        <f t="array" aca="1" ref="AA7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78" s="106" t="str" cm="1">
        <f t="array" aca="1" ref="AB7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78" s="246" t="str" cm="1">
        <f t="array" aca="1" ref="AC7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78" s="247" t="str" cm="1">
        <f t="array" aca="1" ref="AD7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78" s="305" t="str" cm="1">
        <f t="array" aca="1" ref="AE7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79" spans="3:31" ht="16.5" customHeight="1" x14ac:dyDescent="0.2">
      <c r="C79" s="296">
        <f ca="1">IFERROR(IF(IFERROR(SUMPRODUCT((Transactions!$L$9:$L$5005=$D$1)*(Transactions!$M$9:$M$5005=53)*ROW(Transactions!$L$9:$L$5005)),0)=0,"",INDEX(Transactions!$C:$C,IFERROR(SUMPRODUCT((Transactions!$L$9:$L$5005=$D$1)*(Transactions!$M$9:$M$5005=53)*ROW(Transactions!$L$9:$L$5005)),0))),"")</f>
        <v>45184</v>
      </c>
      <c r="D79" s="104" t="str">
        <f ca="1">IFERROR(IF(IFERROR(SUMPRODUCT((Transactions!$L$9:$L$5005=$D$1)*(Transactions!$M$9:$M$5005=53)*ROW(Transactions!$L$9:$L$5005)),0)=0,"",INDEX(Transactions!$D:$D,IFERROR(SUMPRODUCT((Transactions!$L$9:$L$5005=$D$1)*(Transactions!$M$9:$M$5005=53)*ROW(Transactions!$L$9:$L$5005)),0))),"")</f>
        <v>Mobile Recharge: home, self</v>
      </c>
      <c r="E79" s="105" t="str">
        <f ca="1">IFERROR(IF(IFERROR(SUMPRODUCT((Transactions!$L$9:$L$5005=$D$1)*(Transactions!$M$9:$M$5005=53)*ROW(Transactions!$L$9:$L$5005)),0)=0,"",INDEX(Transactions!$F:$F,IFERROR(SUMPRODUCT((Transactions!$L$9:$L$5005=$D$1)*(Transactions!$M$9:$M$5005=53)*ROW(Transactions!$L$9:$L$5005)),0))),"")</f>
        <v>Expense</v>
      </c>
      <c r="F79" s="105" t="str">
        <f ca="1">IFERROR(IF(IFERROR(SUMPRODUCT((Transactions!$L$9:$L$5005=$D$1)*(Transactions!$M$9:$M$5005=53)*ROW(Transactions!$L$9:$L$5005)),0)=0,"",INDEX(Transactions!$G:$G,IFERROR(SUMPRODUCT((Transactions!$L$9:$L$5005=$D$1)*(Transactions!$M$9:$M$5005=53)*ROW(Transactions!$L$9:$L$5005)),0))),"")</f>
        <v>Recharge</v>
      </c>
      <c r="G79" s="106">
        <f ca="1">IFERROR(IF(IFERROR(SUMPRODUCT((Transactions!$L$9:$L$5005=$D$1)*(Transactions!$M$9:$M$5005=53)*ROW(Transactions!$L$9:$L$5005)),0)=0,"",INDEX(Transactions!$H:$H,IFERROR(SUMPRODUCT((Transactions!$L$9:$L$5005=$D$1)*(Transactions!$M$9:$M$5005=53)*ROW(Transactions!$L$9:$L$5005)),0))),"")</f>
        <v>1150</v>
      </c>
      <c r="H79" s="105">
        <f ca="1">IFERROR(IF(IFERROR(SUMPRODUCT((Transactions!$L$9:$L$5005=$D$1)*(Transactions!$M$9:$M$5005=53)*ROW(Transactions!$L$9:$L$5005)),0)=0,"",INDEX(Transactions!$J:$J,IFERROR(SUMPRODUCT((Transactions!$L$9:$L$5005=$D$1)*(Transactions!$M$9:$M$5005=53)*ROW(Transactions!$L$9:$L$5005)),0))),"")</f>
        <v>0</v>
      </c>
      <c r="I79" s="104">
        <f ca="1">IFERROR(IF(IFERROR(SUMPRODUCT((Transactions!$L$9:$L$5005=$D$1)*(Transactions!$M$9:$M$5005=53)*ROW(Transactions!$L$9:$L$5005)),0)=0,"",INDEX(Transactions!$K:$K,IFERROR(SUMPRODUCT((Transactions!$L$9:$L$5005=$D$1)*(Transactions!$M$9:$M$5005=53)*ROW(Transactions!$L$9:$L$5005)),0))),"")</f>
        <v>0</v>
      </c>
      <c r="J79" s="298">
        <f ca="1">IFERROR(IF(IFERROR(SUMPRODUCT((Transactions!$L$9:$L$5005=$D$1)*(Transactions!$M$9:$M$5005=53)*ROW(Transactions!$L$9:$L$5005)),0)=0,"",INDEX(Transactions!$L:$L,IFERROR(SUMPRODUCT((Transactions!$L$9:$L$5005=$D$1)*(Transactions!$M$9:$M$5005=53)*ROW(Transactions!$L$9:$L$5005)),0))),"")</f>
        <v>2023</v>
      </c>
      <c r="N79" s="112"/>
      <c r="O79" s="245"/>
      <c r="P79" s="246"/>
      <c r="Q79" s="246"/>
      <c r="R79" s="106"/>
      <c r="S79" s="246"/>
      <c r="T79" s="247"/>
      <c r="X79" s="296" t="str" cm="1">
        <f t="array" aca="1" ref="X7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79" s="245" t="str" cm="1">
        <f t="array" aca="1" ref="Y7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79" s="246" t="str" cm="1">
        <f t="array" aca="1" ref="Z7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79" s="246" t="str" cm="1">
        <f t="array" aca="1" ref="AA7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79" s="106" t="str" cm="1">
        <f t="array" aca="1" ref="AB7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79" s="246" t="str" cm="1">
        <f t="array" aca="1" ref="AC7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79" s="247" t="str" cm="1">
        <f t="array" aca="1" ref="AD7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79" s="305" t="str" cm="1">
        <f t="array" aca="1" ref="AE7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80" spans="3:31" ht="16.5" customHeight="1" x14ac:dyDescent="0.2">
      <c r="C80" s="297">
        <f ca="1">IFERROR(IF(IFERROR(SUMPRODUCT((Transactions!$L$9:$L$5005=$D$1)*(Transactions!$M$9:$M$5005=54)*ROW(Transactions!$L$9:$L$5005)),0)=0,"",INDEX(Transactions!$C:$C,IFERROR(SUMPRODUCT((Transactions!$L$9:$L$5005=$D$1)*(Transactions!$M$9:$M$5005=54)*ROW(Transactions!$L$9:$L$5005)),0))),"")</f>
        <v>45186</v>
      </c>
      <c r="D80" s="107" t="str">
        <f ca="1">IFERROR(IF(IFERROR(SUMPRODUCT((Transactions!$L$9:$L$5005=$D$1)*(Transactions!$M$9:$M$5005=54)*ROW(Transactions!$L$9:$L$5005)),0)=0,"",INDEX(Transactions!$D:$D,IFERROR(SUMPRODUCT((Transactions!$L$9:$L$5005=$D$1)*(Transactions!$M$9:$M$5005=54)*ROW(Transactions!$L$9:$L$5005)),0))),"")</f>
        <v>sept-oct : Nisha Expense</v>
      </c>
      <c r="E80" s="108" t="str">
        <f ca="1">IFERROR(IF(IFERROR(SUMPRODUCT((Transactions!$L$9:$L$5005=$D$1)*(Transactions!$M$9:$M$5005=54)*ROW(Transactions!$L$9:$L$5005)),0)=0,"",INDEX(Transactions!$F:$F,IFERROR(SUMPRODUCT((Transactions!$L$9:$L$5005=$D$1)*(Transactions!$M$9:$M$5005=54)*ROW(Transactions!$L$9:$L$5005)),0))),"")</f>
        <v>Expense</v>
      </c>
      <c r="F80" s="108" t="str">
        <f ca="1">IFERROR(IF(IFERROR(SUMPRODUCT((Transactions!$L$9:$L$5005=$D$1)*(Transactions!$M$9:$M$5005=54)*ROW(Transactions!$L$9:$L$5005)),0)=0,"",INDEX(Transactions!$G:$G,IFERROR(SUMPRODUCT((Transactions!$L$9:$L$5005=$D$1)*(Transactions!$M$9:$M$5005=54)*ROW(Transactions!$L$9:$L$5005)),0))),"")</f>
        <v>Nisha</v>
      </c>
      <c r="G80" s="109">
        <f ca="1">IFERROR(IF(IFERROR(SUMPRODUCT((Transactions!$L$9:$L$5005=$D$1)*(Transactions!$M$9:$M$5005=54)*ROW(Transactions!$L$9:$L$5005)),0)=0,"",INDEX(Transactions!$H:$H,IFERROR(SUMPRODUCT((Transactions!$L$9:$L$5005=$D$1)*(Transactions!$M$9:$M$5005=54)*ROW(Transactions!$L$9:$L$5005)),0))),"")</f>
        <v>1000</v>
      </c>
      <c r="H80" s="108">
        <f ca="1">IFERROR(IF(IFERROR(SUMPRODUCT((Transactions!$L$9:$L$5005=$D$1)*(Transactions!$M$9:$M$5005=54)*ROW(Transactions!$L$9:$L$5005)),0)=0,"",INDEX(Transactions!$J:$J,IFERROR(SUMPRODUCT((Transactions!$L$9:$L$5005=$D$1)*(Transactions!$M$9:$M$5005=54)*ROW(Transactions!$L$9:$L$5005)),0))),"")</f>
        <v>0</v>
      </c>
      <c r="I80" s="107">
        <f ca="1">IFERROR(IF(IFERROR(SUMPRODUCT((Transactions!$L$9:$L$5005=$D$1)*(Transactions!$M$9:$M$5005=54)*ROW(Transactions!$L$9:$L$5005)),0)=0,"",INDEX(Transactions!$K:$K,IFERROR(SUMPRODUCT((Transactions!$L$9:$L$5005=$D$1)*(Transactions!$M$9:$M$5005=54)*ROW(Transactions!$L$9:$L$5005)),0))),"")</f>
        <v>0</v>
      </c>
      <c r="J80" s="299">
        <f ca="1">IFERROR(IF(IFERROR(SUMPRODUCT((Transactions!$L$9:$L$5005=$D$1)*(Transactions!$M$9:$M$5005=54)*ROW(Transactions!$L$9:$L$5005)),0)=0,"",INDEX(Transactions!$L:$L,IFERROR(SUMPRODUCT((Transactions!$L$9:$L$5005=$D$1)*(Transactions!$M$9:$M$5005=54)*ROW(Transactions!$L$9:$L$5005)),0))),"")</f>
        <v>2023</v>
      </c>
      <c r="N80" s="112"/>
      <c r="O80" s="245"/>
      <c r="P80" s="246"/>
      <c r="Q80" s="246"/>
      <c r="R80" s="106"/>
      <c r="S80" s="246"/>
      <c r="T80" s="247"/>
      <c r="X80" s="296" t="str" cm="1">
        <f t="array" aca="1" ref="X8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80" s="245" t="str" cm="1">
        <f t="array" aca="1" ref="Y8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80" s="246" t="str" cm="1">
        <f t="array" aca="1" ref="Z8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80" s="246" t="str" cm="1">
        <f t="array" aca="1" ref="AA8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80" s="106" t="str" cm="1">
        <f t="array" aca="1" ref="AB8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80" s="246" t="str" cm="1">
        <f t="array" aca="1" ref="AC8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80" s="247" t="str" cm="1">
        <f t="array" aca="1" ref="AD8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80" s="305" t="str" cm="1">
        <f t="array" aca="1" ref="AE8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81" spans="3:31" ht="16.5" customHeight="1" x14ac:dyDescent="0.2">
      <c r="C81" s="296">
        <f ca="1">IFERROR(IF(IFERROR(SUMPRODUCT((Transactions!$L$9:$L$5005=$D$1)*(Transactions!$M$9:$M$5005=55)*ROW(Transactions!$L$9:$L$5005)),0)=0,"",INDEX(Transactions!$C:$C,IFERROR(SUMPRODUCT((Transactions!$L$9:$L$5005=$D$1)*(Transactions!$M$9:$M$5005=55)*ROW(Transactions!$L$9:$L$5005)),0))),"")</f>
        <v>45193</v>
      </c>
      <c r="D81" s="104" t="str">
        <f ca="1">IFERROR(IF(IFERROR(SUMPRODUCT((Transactions!$L$9:$L$5005=$D$1)*(Transactions!$M$9:$M$5005=55)*ROW(Transactions!$L$9:$L$5005)),0)=0,"",INDEX(Transactions!$D:$D,IFERROR(SUMPRODUCT((Transactions!$L$9:$L$5005=$D$1)*(Transactions!$M$9:$M$5005=55)*ROW(Transactions!$L$9:$L$5005)),0))),"")</f>
        <v>SVM donation</v>
      </c>
      <c r="E81" s="105" t="str">
        <f ca="1">IFERROR(IF(IFERROR(SUMPRODUCT((Transactions!$L$9:$L$5005=$D$1)*(Transactions!$M$9:$M$5005=55)*ROW(Transactions!$L$9:$L$5005)),0)=0,"",INDEX(Transactions!$F:$F,IFERROR(SUMPRODUCT((Transactions!$L$9:$L$5005=$D$1)*(Transactions!$M$9:$M$5005=55)*ROW(Transactions!$L$9:$L$5005)),0))),"")</f>
        <v>Expense</v>
      </c>
      <c r="F81" s="105" t="str">
        <f ca="1">IFERROR(IF(IFERROR(SUMPRODUCT((Transactions!$L$9:$L$5005=$D$1)*(Transactions!$M$9:$M$5005=55)*ROW(Transactions!$L$9:$L$5005)),0)=0,"",INDEX(Transactions!$G:$G,IFERROR(SUMPRODUCT((Transactions!$L$9:$L$5005=$D$1)*(Transactions!$M$9:$M$5005=55)*ROW(Transactions!$L$9:$L$5005)),0))),"")</f>
        <v>Rajan</v>
      </c>
      <c r="G81" s="106">
        <f ca="1">IFERROR(IF(IFERROR(SUMPRODUCT((Transactions!$L$9:$L$5005=$D$1)*(Transactions!$M$9:$M$5005=55)*ROW(Transactions!$L$9:$L$5005)),0)=0,"",INDEX(Transactions!$H:$H,IFERROR(SUMPRODUCT((Transactions!$L$9:$L$5005=$D$1)*(Transactions!$M$9:$M$5005=55)*ROW(Transactions!$L$9:$L$5005)),0))),"")</f>
        <v>500</v>
      </c>
      <c r="H81" s="105">
        <f ca="1">IFERROR(IF(IFERROR(SUMPRODUCT((Transactions!$L$9:$L$5005=$D$1)*(Transactions!$M$9:$M$5005=55)*ROW(Transactions!$L$9:$L$5005)),0)=0,"",INDEX(Transactions!$J:$J,IFERROR(SUMPRODUCT((Transactions!$L$9:$L$5005=$D$1)*(Transactions!$M$9:$M$5005=55)*ROW(Transactions!$L$9:$L$5005)),0))),"")</f>
        <v>0</v>
      </c>
      <c r="I81" s="104">
        <f ca="1">IFERROR(IF(IFERROR(SUMPRODUCT((Transactions!$L$9:$L$5005=$D$1)*(Transactions!$M$9:$M$5005=55)*ROW(Transactions!$L$9:$L$5005)),0)=0,"",INDEX(Transactions!$K:$K,IFERROR(SUMPRODUCT((Transactions!$L$9:$L$5005=$D$1)*(Transactions!$M$9:$M$5005=55)*ROW(Transactions!$L$9:$L$5005)),0))),"")</f>
        <v>0</v>
      </c>
      <c r="J81" s="298">
        <f ca="1">IFERROR(IF(IFERROR(SUMPRODUCT((Transactions!$L$9:$L$5005=$D$1)*(Transactions!$M$9:$M$5005=55)*ROW(Transactions!$L$9:$L$5005)),0)=0,"",INDEX(Transactions!$L:$L,IFERROR(SUMPRODUCT((Transactions!$L$9:$L$5005=$D$1)*(Transactions!$M$9:$M$5005=55)*ROW(Transactions!$L$9:$L$5005)),0))),"")</f>
        <v>2023</v>
      </c>
      <c r="N81" s="112"/>
      <c r="O81" s="245"/>
      <c r="P81" s="246"/>
      <c r="Q81" s="246"/>
      <c r="R81" s="106"/>
      <c r="S81" s="246"/>
      <c r="T81" s="247"/>
      <c r="X81" s="296" t="str" cm="1">
        <f t="array" aca="1" ref="X8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81" s="245" t="str" cm="1">
        <f t="array" aca="1" ref="Y8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81" s="246" t="str" cm="1">
        <f t="array" aca="1" ref="Z8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81" s="246" t="str" cm="1">
        <f t="array" aca="1" ref="AA8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81" s="106" t="str" cm="1">
        <f t="array" aca="1" ref="AB8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81" s="246" t="str" cm="1">
        <f t="array" aca="1" ref="AC8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81" s="247" t="str" cm="1">
        <f t="array" aca="1" ref="AD8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81" s="305" t="str" cm="1">
        <f t="array" aca="1" ref="AE8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82" spans="3:31" ht="16.5" customHeight="1" x14ac:dyDescent="0.2">
      <c r="C82" s="297">
        <f ca="1">IFERROR(IF(IFERROR(SUMPRODUCT((Transactions!$L$9:$L$5005=$D$1)*(Transactions!$M$9:$M$5005=56)*ROW(Transactions!$L$9:$L$5005)),0)=0,"",INDEX(Transactions!$C:$C,IFERROR(SUMPRODUCT((Transactions!$L$9:$L$5005=$D$1)*(Transactions!$M$9:$M$5005=56)*ROW(Transactions!$L$9:$L$5005)),0))),"")</f>
        <v>45195</v>
      </c>
      <c r="D82" s="107" t="str">
        <f ca="1">IFERROR(IF(IFERROR(SUMPRODUCT((Transactions!$L$9:$L$5005=$D$1)*(Transactions!$M$9:$M$5005=56)*ROW(Transactions!$L$9:$L$5005)),0)=0,"",INDEX(Transactions!$D:$D,IFERROR(SUMPRODUCT((Transactions!$L$9:$L$5005=$D$1)*(Transactions!$M$9:$M$5005=56)*ROW(Transactions!$L$9:$L$5005)),0))),"")</f>
        <v>Hostel- sept</v>
      </c>
      <c r="E82" s="108" t="str">
        <f ca="1">IFERROR(IF(IFERROR(SUMPRODUCT((Transactions!$L$9:$L$5005=$D$1)*(Transactions!$M$9:$M$5005=56)*ROW(Transactions!$L$9:$L$5005)),0)=0,"",INDEX(Transactions!$F:$F,IFERROR(SUMPRODUCT((Transactions!$L$9:$L$5005=$D$1)*(Transactions!$M$9:$M$5005=56)*ROW(Transactions!$L$9:$L$5005)),0))),"")</f>
        <v>Expense</v>
      </c>
      <c r="F82" s="108" t="str">
        <f ca="1">IFERROR(IF(IFERROR(SUMPRODUCT((Transactions!$L$9:$L$5005=$D$1)*(Transactions!$M$9:$M$5005=56)*ROW(Transactions!$L$9:$L$5005)),0)=0,"",INDEX(Transactions!$G:$G,IFERROR(SUMPRODUCT((Transactions!$L$9:$L$5005=$D$1)*(Transactions!$M$9:$M$5005=56)*ROW(Transactions!$L$9:$L$5005)),0))),"")</f>
        <v>Nisha</v>
      </c>
      <c r="G82" s="109">
        <f ca="1">IFERROR(IF(IFERROR(SUMPRODUCT((Transactions!$L$9:$L$5005=$D$1)*(Transactions!$M$9:$M$5005=56)*ROW(Transactions!$L$9:$L$5005)),0)=0,"",INDEX(Transactions!$H:$H,IFERROR(SUMPRODUCT((Transactions!$L$9:$L$5005=$D$1)*(Transactions!$M$9:$M$5005=56)*ROW(Transactions!$L$9:$L$5005)),0))),"")</f>
        <v>8000</v>
      </c>
      <c r="H82" s="108">
        <f ca="1">IFERROR(IF(IFERROR(SUMPRODUCT((Transactions!$L$9:$L$5005=$D$1)*(Transactions!$M$9:$M$5005=56)*ROW(Transactions!$L$9:$L$5005)),0)=0,"",INDEX(Transactions!$J:$J,IFERROR(SUMPRODUCT((Transactions!$L$9:$L$5005=$D$1)*(Transactions!$M$9:$M$5005=56)*ROW(Transactions!$L$9:$L$5005)),0))),"")</f>
        <v>0</v>
      </c>
      <c r="I82" s="107">
        <f ca="1">IFERROR(IF(IFERROR(SUMPRODUCT((Transactions!$L$9:$L$5005=$D$1)*(Transactions!$M$9:$M$5005=56)*ROW(Transactions!$L$9:$L$5005)),0)=0,"",INDEX(Transactions!$K:$K,IFERROR(SUMPRODUCT((Transactions!$L$9:$L$5005=$D$1)*(Transactions!$M$9:$M$5005=56)*ROW(Transactions!$L$9:$L$5005)),0))),"")</f>
        <v>0</v>
      </c>
      <c r="J82" s="299">
        <f ca="1">IFERROR(IF(IFERROR(SUMPRODUCT((Transactions!$L$9:$L$5005=$D$1)*(Transactions!$M$9:$M$5005=56)*ROW(Transactions!$L$9:$L$5005)),0)=0,"",INDEX(Transactions!$L:$L,IFERROR(SUMPRODUCT((Transactions!$L$9:$L$5005=$D$1)*(Transactions!$M$9:$M$5005=56)*ROW(Transactions!$L$9:$L$5005)),0))),"")</f>
        <v>2023</v>
      </c>
      <c r="N82" s="112"/>
      <c r="O82" s="245"/>
      <c r="P82" s="246"/>
      <c r="Q82" s="246"/>
      <c r="R82" s="106"/>
      <c r="S82" s="246"/>
      <c r="T82" s="247"/>
      <c r="X82" s="296" t="str" cm="1">
        <f t="array" aca="1" ref="X8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82" s="245" t="str" cm="1">
        <f t="array" aca="1" ref="Y8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82" s="246" t="str" cm="1">
        <f t="array" aca="1" ref="Z8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82" s="246" t="str" cm="1">
        <f t="array" aca="1" ref="AA8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82" s="106" t="str" cm="1">
        <f t="array" aca="1" ref="AB8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82" s="246" t="str" cm="1">
        <f t="array" aca="1" ref="AC8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82" s="247" t="str" cm="1">
        <f t="array" aca="1" ref="AD8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82" s="305" t="str" cm="1">
        <f t="array" aca="1" ref="AE8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83" spans="3:31" ht="16.5" customHeight="1" x14ac:dyDescent="0.2">
      <c r="C83" s="296">
        <f ca="1">IFERROR(IF(IFERROR(SUMPRODUCT((Transactions!$L$9:$L$5005=$D$1)*(Transactions!$M$9:$M$5005=57)*ROW(Transactions!$L$9:$L$5005)),0)=0,"",INDEX(Transactions!$C:$C,IFERROR(SUMPRODUCT((Transactions!$L$9:$L$5005=$D$1)*(Transactions!$M$9:$M$5005=57)*ROW(Transactions!$L$9:$L$5005)),0))),"")</f>
        <v>45197</v>
      </c>
      <c r="D83" s="104" t="str">
        <f ca="1">IFERROR(IF(IFERROR(SUMPRODUCT((Transactions!$L$9:$L$5005=$D$1)*(Transactions!$M$9:$M$5005=57)*ROW(Transactions!$L$9:$L$5005)),0)=0,"",INDEX(Transactions!$D:$D,IFERROR(SUMPRODUCT((Transactions!$L$9:$L$5005=$D$1)*(Transactions!$M$9:$M$5005=57)*ROW(Transactions!$L$9:$L$5005)),0))),"")</f>
        <v>Nisha-Phone</v>
      </c>
      <c r="E83" s="105" t="str">
        <f ca="1">IFERROR(IF(IFERROR(SUMPRODUCT((Transactions!$L$9:$L$5005=$D$1)*(Transactions!$M$9:$M$5005=57)*ROW(Transactions!$L$9:$L$5005)),0)=0,"",INDEX(Transactions!$F:$F,IFERROR(SUMPRODUCT((Transactions!$L$9:$L$5005=$D$1)*(Transactions!$M$9:$M$5005=57)*ROW(Transactions!$L$9:$L$5005)),0))),"")</f>
        <v>Expense</v>
      </c>
      <c r="F83" s="105" t="str">
        <f ca="1">IFERROR(IF(IFERROR(SUMPRODUCT((Transactions!$L$9:$L$5005=$D$1)*(Transactions!$M$9:$M$5005=57)*ROW(Transactions!$L$9:$L$5005)),0)=0,"",INDEX(Transactions!$G:$G,IFERROR(SUMPRODUCT((Transactions!$L$9:$L$5005=$D$1)*(Transactions!$M$9:$M$5005=57)*ROW(Transactions!$L$9:$L$5005)),0))),"")</f>
        <v>Nisha</v>
      </c>
      <c r="G83" s="106">
        <f ca="1">IFERROR(IF(IFERROR(SUMPRODUCT((Transactions!$L$9:$L$5005=$D$1)*(Transactions!$M$9:$M$5005=57)*ROW(Transactions!$L$9:$L$5005)),0)=0,"",INDEX(Transactions!$H:$H,IFERROR(SUMPRODUCT((Transactions!$L$9:$L$5005=$D$1)*(Transactions!$M$9:$M$5005=57)*ROW(Transactions!$L$9:$L$5005)),0))),"")</f>
        <v>10050</v>
      </c>
      <c r="H83" s="105">
        <f ca="1">IFERROR(IF(IFERROR(SUMPRODUCT((Transactions!$L$9:$L$5005=$D$1)*(Transactions!$M$9:$M$5005=57)*ROW(Transactions!$L$9:$L$5005)),0)=0,"",INDEX(Transactions!$J:$J,IFERROR(SUMPRODUCT((Transactions!$L$9:$L$5005=$D$1)*(Transactions!$M$9:$M$5005=57)*ROW(Transactions!$L$9:$L$5005)),0))),"")</f>
        <v>0</v>
      </c>
      <c r="I83" s="104" t="str">
        <f ca="1">IFERROR(IF(IFERROR(SUMPRODUCT((Transactions!$L$9:$L$5005=$D$1)*(Transactions!$M$9:$M$5005=57)*ROW(Transactions!$L$9:$L$5005)),0)=0,"",INDEX(Transactions!$K:$K,IFERROR(SUMPRODUCT((Transactions!$L$9:$L$5005=$D$1)*(Transactions!$M$9:$M$5005=57)*ROW(Transactions!$L$9:$L$5005)),0))),"")</f>
        <v>Papa</v>
      </c>
      <c r="J83" s="298">
        <f ca="1">IFERROR(IF(IFERROR(SUMPRODUCT((Transactions!$L$9:$L$5005=$D$1)*(Transactions!$M$9:$M$5005=57)*ROW(Transactions!$L$9:$L$5005)),0)=0,"",INDEX(Transactions!$L:$L,IFERROR(SUMPRODUCT((Transactions!$L$9:$L$5005=$D$1)*(Transactions!$M$9:$M$5005=57)*ROW(Transactions!$L$9:$L$5005)),0))),"")</f>
        <v>2023</v>
      </c>
      <c r="N83" s="112"/>
      <c r="O83" s="245"/>
      <c r="P83" s="246"/>
      <c r="Q83" s="246"/>
      <c r="R83" s="106"/>
      <c r="S83" s="246"/>
      <c r="T83" s="247"/>
      <c r="X83" s="296" t="str" cm="1">
        <f t="array" aca="1" ref="X8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83" s="245" t="str" cm="1">
        <f t="array" aca="1" ref="Y8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83" s="246" t="str" cm="1">
        <f t="array" aca="1" ref="Z8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83" s="246" t="str" cm="1">
        <f t="array" aca="1" ref="AA8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83" s="106" t="str" cm="1">
        <f t="array" aca="1" ref="AB8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83" s="246" t="str" cm="1">
        <f t="array" aca="1" ref="AC8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83" s="247" t="str" cm="1">
        <f t="array" aca="1" ref="AD8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83" s="305" t="str" cm="1">
        <f t="array" aca="1" ref="AE8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84" spans="3:31" ht="16.5" customHeight="1" x14ac:dyDescent="0.2">
      <c r="C84" s="297">
        <f ca="1">IFERROR(IF(IFERROR(SUMPRODUCT((Transactions!$L$9:$L$5005=$D$1)*(Transactions!$M$9:$M$5005=58)*ROW(Transactions!$L$9:$L$5005)),0)=0,"",INDEX(Transactions!$C:$C,IFERROR(SUMPRODUCT((Transactions!$L$9:$L$5005=$D$1)*(Transactions!$M$9:$M$5005=58)*ROW(Transactions!$L$9:$L$5005)),0))),"")</f>
        <v>45197</v>
      </c>
      <c r="D84" s="107" t="str">
        <f ca="1">IFERROR(IF(IFERROR(SUMPRODUCT((Transactions!$L$9:$L$5005=$D$1)*(Transactions!$M$9:$M$5005=58)*ROW(Transactions!$L$9:$L$5005)),0)=0,"",INDEX(Transactions!$D:$D,IFERROR(SUMPRODUCT((Transactions!$L$9:$L$5005=$D$1)*(Transactions!$M$9:$M$5005=58)*ROW(Transactions!$L$9:$L$5005)),0))),"")</f>
        <v>Papa Balance</v>
      </c>
      <c r="E84" s="108" t="str">
        <f ca="1">IFERROR(IF(IFERROR(SUMPRODUCT((Transactions!$L$9:$L$5005=$D$1)*(Transactions!$M$9:$M$5005=58)*ROW(Transactions!$L$9:$L$5005)),0)=0,"",INDEX(Transactions!$F:$F,IFERROR(SUMPRODUCT((Transactions!$L$9:$L$5005=$D$1)*(Transactions!$M$9:$M$5005=58)*ROW(Transactions!$L$9:$L$5005)),0))),"")</f>
        <v>Income</v>
      </c>
      <c r="F84" s="108" t="str">
        <f ca="1">IFERROR(IF(IFERROR(SUMPRODUCT((Transactions!$L$9:$L$5005=$D$1)*(Transactions!$M$9:$M$5005=58)*ROW(Transactions!$L$9:$L$5005)),0)=0,"",INDEX(Transactions!$G:$G,IFERROR(SUMPRODUCT((Transactions!$L$9:$L$5005=$D$1)*(Transactions!$M$9:$M$5005=58)*ROW(Transactions!$L$9:$L$5005)),0))),"")</f>
        <v>Other Income</v>
      </c>
      <c r="G84" s="109">
        <f ca="1">IFERROR(IF(IFERROR(SUMPRODUCT((Transactions!$L$9:$L$5005=$D$1)*(Transactions!$M$9:$M$5005=58)*ROW(Transactions!$L$9:$L$5005)),0)=0,"",INDEX(Transactions!$H:$H,IFERROR(SUMPRODUCT((Transactions!$L$9:$L$5005=$D$1)*(Transactions!$M$9:$M$5005=58)*ROW(Transactions!$L$9:$L$5005)),0))),"")</f>
        <v>97468</v>
      </c>
      <c r="H84" s="108">
        <f ca="1">IFERROR(IF(IFERROR(SUMPRODUCT((Transactions!$L$9:$L$5005=$D$1)*(Transactions!$M$9:$M$5005=58)*ROW(Transactions!$L$9:$L$5005)),0)=0,"",INDEX(Transactions!$J:$J,IFERROR(SUMPRODUCT((Transactions!$L$9:$L$5005=$D$1)*(Transactions!$M$9:$M$5005=58)*ROW(Transactions!$L$9:$L$5005)),0))),"")</f>
        <v>0</v>
      </c>
      <c r="I84" s="107" t="str">
        <f ca="1">IFERROR(IF(IFERROR(SUMPRODUCT((Transactions!$L$9:$L$5005=$D$1)*(Transactions!$M$9:$M$5005=58)*ROW(Transactions!$L$9:$L$5005)),0)=0,"",INDEX(Transactions!$K:$K,IFERROR(SUMPRODUCT((Transactions!$L$9:$L$5005=$D$1)*(Transactions!$M$9:$M$5005=58)*ROW(Transactions!$L$9:$L$5005)),0))),"")</f>
        <v>Papa</v>
      </c>
      <c r="J84" s="299">
        <f ca="1">IFERROR(IF(IFERROR(SUMPRODUCT((Transactions!$L$9:$L$5005=$D$1)*(Transactions!$M$9:$M$5005=58)*ROW(Transactions!$L$9:$L$5005)),0)=0,"",INDEX(Transactions!$L:$L,IFERROR(SUMPRODUCT((Transactions!$L$9:$L$5005=$D$1)*(Transactions!$M$9:$M$5005=58)*ROW(Transactions!$L$9:$L$5005)),0))),"")</f>
        <v>2023</v>
      </c>
      <c r="N84" s="112"/>
      <c r="O84" s="245"/>
      <c r="P84" s="246"/>
      <c r="Q84" s="246"/>
      <c r="R84" s="106"/>
      <c r="S84" s="246"/>
      <c r="T84" s="247"/>
      <c r="X84" s="296" t="str" cm="1">
        <f t="array" aca="1" ref="X8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84" s="245" t="str" cm="1">
        <f t="array" aca="1" ref="Y8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84" s="246" t="str" cm="1">
        <f t="array" aca="1" ref="Z8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84" s="246" t="str" cm="1">
        <f t="array" aca="1" ref="AA8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84" s="106" t="str" cm="1">
        <f t="array" aca="1" ref="AB8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84" s="246" t="str" cm="1">
        <f t="array" aca="1" ref="AC8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84" s="247" t="str" cm="1">
        <f t="array" aca="1" ref="AD8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84" s="305" t="str" cm="1">
        <f t="array" aca="1" ref="AE8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85" spans="3:31" ht="16.5" customHeight="1" x14ac:dyDescent="0.2">
      <c r="C85" s="296">
        <f ca="1">IFERROR(IF(IFERROR(SUMPRODUCT((Transactions!$L$9:$L$5005=$D$1)*(Transactions!$M$9:$M$5005=59)*ROW(Transactions!$L$9:$L$5005)),0)=0,"",INDEX(Transactions!$C:$C,IFERROR(SUMPRODUCT((Transactions!$L$9:$L$5005=$D$1)*(Transactions!$M$9:$M$5005=59)*ROW(Transactions!$L$9:$L$5005)),0))),"")</f>
        <v>45199</v>
      </c>
      <c r="D85" s="104" t="str">
        <f ca="1">IFERROR(IF(IFERROR(SUMPRODUCT((Transactions!$L$9:$L$5005=$D$1)*(Transactions!$M$9:$M$5005=59)*ROW(Transactions!$L$9:$L$5005)),0)=0,"",INDEX(Transactions!$D:$D,IFERROR(SUMPRODUCT((Transactions!$L$9:$L$5005=$D$1)*(Transactions!$M$9:$M$5005=59)*ROW(Transactions!$L$9:$L$5005)),0))),"")</f>
        <v>Paytm sep 23</v>
      </c>
      <c r="E85" s="105" t="str">
        <f ca="1">IFERROR(IF(IFERROR(SUMPRODUCT((Transactions!$L$9:$L$5005=$D$1)*(Transactions!$M$9:$M$5005=59)*ROW(Transactions!$L$9:$L$5005)),0)=0,"",INDEX(Transactions!$F:$F,IFERROR(SUMPRODUCT((Transactions!$L$9:$L$5005=$D$1)*(Transactions!$M$9:$M$5005=59)*ROW(Transactions!$L$9:$L$5005)),0))),"")</f>
        <v>Expense</v>
      </c>
      <c r="F85" s="105" t="str">
        <f ca="1">IFERROR(IF(IFERROR(SUMPRODUCT((Transactions!$L$9:$L$5005=$D$1)*(Transactions!$M$9:$M$5005=59)*ROW(Transactions!$L$9:$L$5005)),0)=0,"",INDEX(Transactions!$G:$G,IFERROR(SUMPRODUCT((Transactions!$L$9:$L$5005=$D$1)*(Transactions!$M$9:$M$5005=59)*ROW(Transactions!$L$9:$L$5005)),0))),"")</f>
        <v>Delhi</v>
      </c>
      <c r="G85" s="106">
        <f ca="1">IFERROR(IF(IFERROR(SUMPRODUCT((Transactions!$L$9:$L$5005=$D$1)*(Transactions!$M$9:$M$5005=59)*ROW(Transactions!$L$9:$L$5005)),0)=0,"",INDEX(Transactions!$H:$H,IFERROR(SUMPRODUCT((Transactions!$L$9:$L$5005=$D$1)*(Transactions!$M$9:$M$5005=59)*ROW(Transactions!$L$9:$L$5005)),0))),"")</f>
        <v>7045</v>
      </c>
      <c r="H85" s="105">
        <f ca="1">IFERROR(IF(IFERROR(SUMPRODUCT((Transactions!$L$9:$L$5005=$D$1)*(Transactions!$M$9:$M$5005=59)*ROW(Transactions!$L$9:$L$5005)),0)=0,"",INDEX(Transactions!$J:$J,IFERROR(SUMPRODUCT((Transactions!$L$9:$L$5005=$D$1)*(Transactions!$M$9:$M$5005=59)*ROW(Transactions!$L$9:$L$5005)),0))),"")</f>
        <v>0</v>
      </c>
      <c r="I85" s="104">
        <f ca="1">IFERROR(IF(IFERROR(SUMPRODUCT((Transactions!$L$9:$L$5005=$D$1)*(Transactions!$M$9:$M$5005=59)*ROW(Transactions!$L$9:$L$5005)),0)=0,"",INDEX(Transactions!$K:$K,IFERROR(SUMPRODUCT((Transactions!$L$9:$L$5005=$D$1)*(Transactions!$M$9:$M$5005=59)*ROW(Transactions!$L$9:$L$5005)),0))),"")</f>
        <v>0</v>
      </c>
      <c r="J85" s="298">
        <f ca="1">IFERROR(IF(IFERROR(SUMPRODUCT((Transactions!$L$9:$L$5005=$D$1)*(Transactions!$M$9:$M$5005=59)*ROW(Transactions!$L$9:$L$5005)),0)=0,"",INDEX(Transactions!$L:$L,IFERROR(SUMPRODUCT((Transactions!$L$9:$L$5005=$D$1)*(Transactions!$M$9:$M$5005=59)*ROW(Transactions!$L$9:$L$5005)),0))),"")</f>
        <v>2023</v>
      </c>
      <c r="N85" s="112"/>
      <c r="O85" s="245"/>
      <c r="P85" s="246"/>
      <c r="Q85" s="246"/>
      <c r="R85" s="106"/>
      <c r="S85" s="246"/>
      <c r="T85" s="247"/>
      <c r="X85" s="296" t="str" cm="1">
        <f t="array" aca="1" ref="X8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85" s="245" t="str" cm="1">
        <f t="array" aca="1" ref="Y8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85" s="246" t="str" cm="1">
        <f t="array" aca="1" ref="Z8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85" s="246" t="str" cm="1">
        <f t="array" aca="1" ref="AA8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85" s="106" t="str" cm="1">
        <f t="array" aca="1" ref="AB8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85" s="246" t="str" cm="1">
        <f t="array" aca="1" ref="AC8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85" s="247" t="str" cm="1">
        <f t="array" aca="1" ref="AD8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85" s="305" t="str" cm="1">
        <f t="array" aca="1" ref="AE8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86" spans="3:31" ht="16.5" customHeight="1" x14ac:dyDescent="0.2">
      <c r="C86" s="297">
        <f ca="1">IFERROR(IF(IFERROR(SUMPRODUCT((Transactions!$L$9:$L$5005=$D$1)*(Transactions!$M$9:$M$5005=60)*ROW(Transactions!$L$9:$L$5005)),0)=0,"",INDEX(Transactions!$C:$C,IFERROR(SUMPRODUCT((Transactions!$L$9:$L$5005=$D$1)*(Transactions!$M$9:$M$5005=60)*ROW(Transactions!$L$9:$L$5005)),0))),"")</f>
        <v>45199</v>
      </c>
      <c r="D86" s="107" t="str">
        <f ca="1">IFERROR(IF(IFERROR(SUMPRODUCT((Transactions!$L$9:$L$5005=$D$1)*(Transactions!$M$9:$M$5005=60)*ROW(Transactions!$L$9:$L$5005)),0)=0,"",INDEX(Transactions!$D:$D,IFERROR(SUMPRODUCT((Transactions!$L$9:$L$5005=$D$1)*(Transactions!$M$9:$M$5005=60)*ROW(Transactions!$L$9:$L$5005)),0))),"")</f>
        <v>Cognizant Sep</v>
      </c>
      <c r="E86" s="108" t="str">
        <f ca="1">IFERROR(IF(IFERROR(SUMPRODUCT((Transactions!$L$9:$L$5005=$D$1)*(Transactions!$M$9:$M$5005=60)*ROW(Transactions!$L$9:$L$5005)),0)=0,"",INDEX(Transactions!$F:$F,IFERROR(SUMPRODUCT((Transactions!$L$9:$L$5005=$D$1)*(Transactions!$M$9:$M$5005=60)*ROW(Transactions!$L$9:$L$5005)),0))),"")</f>
        <v>Income</v>
      </c>
      <c r="F86" s="108" t="str">
        <f ca="1">IFERROR(IF(IFERROR(SUMPRODUCT((Transactions!$L$9:$L$5005=$D$1)*(Transactions!$M$9:$M$5005=60)*ROW(Transactions!$L$9:$L$5005)),0)=0,"",INDEX(Transactions!$G:$G,IFERROR(SUMPRODUCT((Transactions!$L$9:$L$5005=$D$1)*(Transactions!$M$9:$M$5005=60)*ROW(Transactions!$L$9:$L$5005)),0))),"")</f>
        <v>Salary</v>
      </c>
      <c r="G86" s="109">
        <f ca="1">IFERROR(IF(IFERROR(SUMPRODUCT((Transactions!$L$9:$L$5005=$D$1)*(Transactions!$M$9:$M$5005=60)*ROW(Transactions!$L$9:$L$5005)),0)=0,"",INDEX(Transactions!$H:$H,IFERROR(SUMPRODUCT((Transactions!$L$9:$L$5005=$D$1)*(Transactions!$M$9:$M$5005=60)*ROW(Transactions!$L$9:$L$5005)),0))),"")</f>
        <v>34000</v>
      </c>
      <c r="H86" s="108">
        <f ca="1">IFERROR(IF(IFERROR(SUMPRODUCT((Transactions!$L$9:$L$5005=$D$1)*(Transactions!$M$9:$M$5005=60)*ROW(Transactions!$L$9:$L$5005)),0)=0,"",INDEX(Transactions!$J:$J,IFERROR(SUMPRODUCT((Transactions!$L$9:$L$5005=$D$1)*(Transactions!$M$9:$M$5005=60)*ROW(Transactions!$L$9:$L$5005)),0))),"")</f>
        <v>0</v>
      </c>
      <c r="I86" s="107">
        <f ca="1">IFERROR(IF(IFERROR(SUMPRODUCT((Transactions!$L$9:$L$5005=$D$1)*(Transactions!$M$9:$M$5005=60)*ROW(Transactions!$L$9:$L$5005)),0)=0,"",INDEX(Transactions!$K:$K,IFERROR(SUMPRODUCT((Transactions!$L$9:$L$5005=$D$1)*(Transactions!$M$9:$M$5005=60)*ROW(Transactions!$L$9:$L$5005)),0))),"")</f>
        <v>0</v>
      </c>
      <c r="J86" s="299">
        <f ca="1">IFERROR(IF(IFERROR(SUMPRODUCT((Transactions!$L$9:$L$5005=$D$1)*(Transactions!$M$9:$M$5005=60)*ROW(Transactions!$L$9:$L$5005)),0)=0,"",INDEX(Transactions!$L:$L,IFERROR(SUMPRODUCT((Transactions!$L$9:$L$5005=$D$1)*(Transactions!$M$9:$M$5005=60)*ROW(Transactions!$L$9:$L$5005)),0))),"")</f>
        <v>2023</v>
      </c>
      <c r="N86" s="112"/>
      <c r="O86" s="245"/>
      <c r="P86" s="246"/>
      <c r="Q86" s="246"/>
      <c r="R86" s="106"/>
      <c r="S86" s="246"/>
      <c r="T86" s="247"/>
      <c r="X86" s="296" t="str" cm="1">
        <f t="array" aca="1" ref="X8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86" s="245" t="str" cm="1">
        <f t="array" aca="1" ref="Y8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86" s="246" t="str" cm="1">
        <f t="array" aca="1" ref="Z8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86" s="246" t="str" cm="1">
        <f t="array" aca="1" ref="AA8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86" s="106" t="str" cm="1">
        <f t="array" aca="1" ref="AB8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86" s="246" t="str" cm="1">
        <f t="array" aca="1" ref="AC8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86" s="247" t="str" cm="1">
        <f t="array" aca="1" ref="AD8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86" s="305" t="str" cm="1">
        <f t="array" aca="1" ref="AE8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87" spans="3:31" ht="16.5" customHeight="1" x14ac:dyDescent="0.2">
      <c r="C87" s="296">
        <f ca="1">IFERROR(IF(IFERROR(SUMPRODUCT((Transactions!$L$9:$L$5005=$D$1)*(Transactions!$M$9:$M$5005=61)*ROW(Transactions!$L$9:$L$5005)),0)=0,"",INDEX(Transactions!$C:$C,IFERROR(SUMPRODUCT((Transactions!$L$9:$L$5005=$D$1)*(Transactions!$M$9:$M$5005=61)*ROW(Transactions!$L$9:$L$5005)),0))),"")</f>
        <v>45202</v>
      </c>
      <c r="D87" s="104" t="str">
        <f ca="1">IFERROR(IF(IFERROR(SUMPRODUCT((Transactions!$L$9:$L$5005=$D$1)*(Transactions!$M$9:$M$5005=61)*ROW(Transactions!$L$9:$L$5005)),0)=0,"",INDEX(Transactions!$D:$D,IFERROR(SUMPRODUCT((Transactions!$L$9:$L$5005=$D$1)*(Transactions!$M$9:$M$5005=61)*ROW(Transactions!$L$9:$L$5005)),0))),"")</f>
        <v>MBA7</v>
      </c>
      <c r="E87" s="105" t="str">
        <f ca="1">IFERROR(IF(IFERROR(SUMPRODUCT((Transactions!$L$9:$L$5005=$D$1)*(Transactions!$M$9:$M$5005=61)*ROW(Transactions!$L$9:$L$5005)),0)=0,"",INDEX(Transactions!$F:$F,IFERROR(SUMPRODUCT((Transactions!$L$9:$L$5005=$D$1)*(Transactions!$M$9:$M$5005=61)*ROW(Transactions!$L$9:$L$5005)),0))),"")</f>
        <v>Expense</v>
      </c>
      <c r="F87" s="105" t="str">
        <f ca="1">IFERROR(IF(IFERROR(SUMPRODUCT((Transactions!$L$9:$L$5005=$D$1)*(Transactions!$M$9:$M$5005=61)*ROW(Transactions!$L$9:$L$5005)),0)=0,"",INDEX(Transactions!$G:$G,IFERROR(SUMPRODUCT((Transactions!$L$9:$L$5005=$D$1)*(Transactions!$M$9:$M$5005=61)*ROW(Transactions!$L$9:$L$5005)),0))),"")</f>
        <v>Ed LOAN</v>
      </c>
      <c r="G87" s="106">
        <f ca="1">IFERROR(IF(IFERROR(SUMPRODUCT((Transactions!$L$9:$L$5005=$D$1)*(Transactions!$M$9:$M$5005=61)*ROW(Transactions!$L$9:$L$5005)),0)=0,"",INDEX(Transactions!$H:$H,IFERROR(SUMPRODUCT((Transactions!$L$9:$L$5005=$D$1)*(Transactions!$M$9:$M$5005=61)*ROW(Transactions!$L$9:$L$5005)),0))),"")</f>
        <v>6881</v>
      </c>
      <c r="H87" s="105">
        <f ca="1">IFERROR(IF(IFERROR(SUMPRODUCT((Transactions!$L$9:$L$5005=$D$1)*(Transactions!$M$9:$M$5005=61)*ROW(Transactions!$L$9:$L$5005)),0)=0,"",INDEX(Transactions!$J:$J,IFERROR(SUMPRODUCT((Transactions!$L$9:$L$5005=$D$1)*(Transactions!$M$9:$M$5005=61)*ROW(Transactions!$L$9:$L$5005)),0))),"")</f>
        <v>0</v>
      </c>
      <c r="I87" s="104">
        <f ca="1">IFERROR(IF(IFERROR(SUMPRODUCT((Transactions!$L$9:$L$5005=$D$1)*(Transactions!$M$9:$M$5005=61)*ROW(Transactions!$L$9:$L$5005)),0)=0,"",INDEX(Transactions!$K:$K,IFERROR(SUMPRODUCT((Transactions!$L$9:$L$5005=$D$1)*(Transactions!$M$9:$M$5005=61)*ROW(Transactions!$L$9:$L$5005)),0))),"")</f>
        <v>0</v>
      </c>
      <c r="J87" s="298">
        <f ca="1">IFERROR(IF(IFERROR(SUMPRODUCT((Transactions!$L$9:$L$5005=$D$1)*(Transactions!$M$9:$M$5005=61)*ROW(Transactions!$L$9:$L$5005)),0)=0,"",INDEX(Transactions!$L:$L,IFERROR(SUMPRODUCT((Transactions!$L$9:$L$5005=$D$1)*(Transactions!$M$9:$M$5005=61)*ROW(Transactions!$L$9:$L$5005)),0))),"")</f>
        <v>2023</v>
      </c>
      <c r="N87" s="112"/>
      <c r="O87" s="245"/>
      <c r="P87" s="246"/>
      <c r="Q87" s="246"/>
      <c r="R87" s="106"/>
      <c r="S87" s="246"/>
      <c r="T87" s="247"/>
      <c r="X87" s="296" t="str" cm="1">
        <f t="array" aca="1" ref="X8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87" s="245" t="str" cm="1">
        <f t="array" aca="1" ref="Y8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87" s="246" t="str" cm="1">
        <f t="array" aca="1" ref="Z8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87" s="246" t="str" cm="1">
        <f t="array" aca="1" ref="AA8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87" s="106" t="str" cm="1">
        <f t="array" aca="1" ref="AB8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87" s="246" t="str" cm="1">
        <f t="array" aca="1" ref="AC8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87" s="247" t="str" cm="1">
        <f t="array" aca="1" ref="AD8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87" s="305" t="str" cm="1">
        <f t="array" aca="1" ref="AE8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88" spans="3:31" ht="16.5" customHeight="1" x14ac:dyDescent="0.2">
      <c r="C88" s="297">
        <f ca="1">IFERROR(IF(IFERROR(SUMPRODUCT((Transactions!$L$9:$L$5005=$D$1)*(Transactions!$M$9:$M$5005=62)*ROW(Transactions!$L$9:$L$5005)),0)=0,"",INDEX(Transactions!$C:$C,IFERROR(SUMPRODUCT((Transactions!$L$9:$L$5005=$D$1)*(Transactions!$M$9:$M$5005=62)*ROW(Transactions!$L$9:$L$5005)),0))),"")</f>
        <v>45202</v>
      </c>
      <c r="D88" s="107" t="str">
        <f ca="1">IFERROR(IF(IFERROR(SUMPRODUCT((Transactions!$L$9:$L$5005=$D$1)*(Transactions!$M$9:$M$5005=62)*ROW(Transactions!$L$9:$L$5005)),0)=0,"",INDEX(Transactions!$D:$D,IFERROR(SUMPRODUCT((Transactions!$L$9:$L$5005=$D$1)*(Transactions!$M$9:$M$5005=62)*ROW(Transactions!$L$9:$L$5005)),0))),"")</f>
        <v>CMA Form</v>
      </c>
      <c r="E88" s="108" t="str">
        <f ca="1">IFERROR(IF(IFERROR(SUMPRODUCT((Transactions!$L$9:$L$5005=$D$1)*(Transactions!$M$9:$M$5005=62)*ROW(Transactions!$L$9:$L$5005)),0)=0,"",INDEX(Transactions!$F:$F,IFERROR(SUMPRODUCT((Transactions!$L$9:$L$5005=$D$1)*(Transactions!$M$9:$M$5005=62)*ROW(Transactions!$L$9:$L$5005)),0))),"")</f>
        <v>Expense</v>
      </c>
      <c r="F88" s="108" t="str">
        <f ca="1">IFERROR(IF(IFERROR(SUMPRODUCT((Transactions!$L$9:$L$5005=$D$1)*(Transactions!$M$9:$M$5005=62)*ROW(Transactions!$L$9:$L$5005)),0)=0,"",INDEX(Transactions!$G:$G,IFERROR(SUMPRODUCT((Transactions!$L$9:$L$5005=$D$1)*(Transactions!$M$9:$M$5005=62)*ROW(Transactions!$L$9:$L$5005)),0))),"")</f>
        <v>Pawan</v>
      </c>
      <c r="G88" s="109">
        <f ca="1">IFERROR(IF(IFERROR(SUMPRODUCT((Transactions!$L$9:$L$5005=$D$1)*(Transactions!$M$9:$M$5005=62)*ROW(Transactions!$L$9:$L$5005)),0)=0,"",INDEX(Transactions!$H:$H,IFERROR(SUMPRODUCT((Transactions!$L$9:$L$5005=$D$1)*(Transactions!$M$9:$M$5005=62)*ROW(Transactions!$L$9:$L$5005)),0))),"")</f>
        <v>1200</v>
      </c>
      <c r="H88" s="108">
        <f ca="1">IFERROR(IF(IFERROR(SUMPRODUCT((Transactions!$L$9:$L$5005=$D$1)*(Transactions!$M$9:$M$5005=62)*ROW(Transactions!$L$9:$L$5005)),0)=0,"",INDEX(Transactions!$J:$J,IFERROR(SUMPRODUCT((Transactions!$L$9:$L$5005=$D$1)*(Transactions!$M$9:$M$5005=62)*ROW(Transactions!$L$9:$L$5005)),0))),"")</f>
        <v>0</v>
      </c>
      <c r="I88" s="107">
        <f ca="1">IFERROR(IF(IFERROR(SUMPRODUCT((Transactions!$L$9:$L$5005=$D$1)*(Transactions!$M$9:$M$5005=62)*ROW(Transactions!$L$9:$L$5005)),0)=0,"",INDEX(Transactions!$K:$K,IFERROR(SUMPRODUCT((Transactions!$L$9:$L$5005=$D$1)*(Transactions!$M$9:$M$5005=62)*ROW(Transactions!$L$9:$L$5005)),0))),"")</f>
        <v>0</v>
      </c>
      <c r="J88" s="299">
        <f ca="1">IFERROR(IF(IFERROR(SUMPRODUCT((Transactions!$L$9:$L$5005=$D$1)*(Transactions!$M$9:$M$5005=62)*ROW(Transactions!$L$9:$L$5005)),0)=0,"",INDEX(Transactions!$L:$L,IFERROR(SUMPRODUCT((Transactions!$L$9:$L$5005=$D$1)*(Transactions!$M$9:$M$5005=62)*ROW(Transactions!$L$9:$L$5005)),0))),"")</f>
        <v>2023</v>
      </c>
      <c r="N88" s="112"/>
      <c r="O88" s="245"/>
      <c r="P88" s="246"/>
      <c r="Q88" s="246"/>
      <c r="R88" s="106"/>
      <c r="S88" s="246"/>
      <c r="T88" s="247"/>
      <c r="X88" s="296" t="str" cm="1">
        <f t="array" aca="1" ref="X8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88" s="245" t="str" cm="1">
        <f t="array" aca="1" ref="Y8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88" s="246" t="str" cm="1">
        <f t="array" aca="1" ref="Z8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88" s="246" t="str" cm="1">
        <f t="array" aca="1" ref="AA8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88" s="106" t="str" cm="1">
        <f t="array" aca="1" ref="AB8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88" s="246" t="str" cm="1">
        <f t="array" aca="1" ref="AC8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88" s="247" t="str" cm="1">
        <f t="array" aca="1" ref="AD8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88" s="305" t="str" cm="1">
        <f t="array" aca="1" ref="AE8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89" spans="3:31" ht="16.5" customHeight="1" x14ac:dyDescent="0.2">
      <c r="C89" s="296">
        <f ca="1">IFERROR(IF(IFERROR(SUMPRODUCT((Transactions!$L$9:$L$5005=$D$1)*(Transactions!$M$9:$M$5005=63)*ROW(Transactions!$L$9:$L$5005)),0)=0,"",INDEX(Transactions!$C:$C,IFERROR(SUMPRODUCT((Transactions!$L$9:$L$5005=$D$1)*(Transactions!$M$9:$M$5005=63)*ROW(Transactions!$L$9:$L$5005)),0))),"")</f>
        <v>45209</v>
      </c>
      <c r="D89" s="104" t="str">
        <f ca="1">IFERROR(IF(IFERROR(SUMPRODUCT((Transactions!$L$9:$L$5005=$D$1)*(Transactions!$M$9:$M$5005=63)*ROW(Transactions!$L$9:$L$5005)),0)=0,"",INDEX(Transactions!$D:$D,IFERROR(SUMPRODUCT((Transactions!$L$9:$L$5005=$D$1)*(Transactions!$M$9:$M$5005=63)*ROW(Transactions!$L$9:$L$5005)),0))),"")</f>
        <v>October</v>
      </c>
      <c r="E89" s="105" t="str">
        <f ca="1">IFERROR(IF(IFERROR(SUMPRODUCT((Transactions!$L$9:$L$5005=$D$1)*(Transactions!$M$9:$M$5005=63)*ROW(Transactions!$L$9:$L$5005)),0)=0,"",INDEX(Transactions!$F:$F,IFERROR(SUMPRODUCT((Transactions!$L$9:$L$5005=$D$1)*(Transactions!$M$9:$M$5005=63)*ROW(Transactions!$L$9:$L$5005)),0))),"")</f>
        <v>Investment</v>
      </c>
      <c r="F89" s="105" t="str">
        <f ca="1">IFERROR(IF(IFERROR(SUMPRODUCT((Transactions!$L$9:$L$5005=$D$1)*(Transactions!$M$9:$M$5005=63)*ROW(Transactions!$L$9:$L$5005)),0)=0,"",INDEX(Transactions!$G:$G,IFERROR(SUMPRODUCT((Transactions!$L$9:$L$5005=$D$1)*(Transactions!$M$9:$M$5005=63)*ROW(Transactions!$L$9:$L$5005)),0))),"")</f>
        <v>Saving</v>
      </c>
      <c r="G89" s="106">
        <f ca="1">IFERROR(IF(IFERROR(SUMPRODUCT((Transactions!$L$9:$L$5005=$D$1)*(Transactions!$M$9:$M$5005=63)*ROW(Transactions!$L$9:$L$5005)),0)=0,"",INDEX(Transactions!$H:$H,IFERROR(SUMPRODUCT((Transactions!$L$9:$L$5005=$D$1)*(Transactions!$M$9:$M$5005=63)*ROW(Transactions!$L$9:$L$5005)),0))),"")</f>
        <v>1376</v>
      </c>
      <c r="H89" s="105">
        <f ca="1">IFERROR(IF(IFERROR(SUMPRODUCT((Transactions!$L$9:$L$5005=$D$1)*(Transactions!$M$9:$M$5005=63)*ROW(Transactions!$L$9:$L$5005)),0)=0,"",INDEX(Transactions!$J:$J,IFERROR(SUMPRODUCT((Transactions!$L$9:$L$5005=$D$1)*(Transactions!$M$9:$M$5005=63)*ROW(Transactions!$L$9:$L$5005)),0))),"")</f>
        <v>0</v>
      </c>
      <c r="I89" s="104">
        <f ca="1">IFERROR(IF(IFERROR(SUMPRODUCT((Transactions!$L$9:$L$5005=$D$1)*(Transactions!$M$9:$M$5005=63)*ROW(Transactions!$L$9:$L$5005)),0)=0,"",INDEX(Transactions!$K:$K,IFERROR(SUMPRODUCT((Transactions!$L$9:$L$5005=$D$1)*(Transactions!$M$9:$M$5005=63)*ROW(Transactions!$L$9:$L$5005)),0))),"")</f>
        <v>0</v>
      </c>
      <c r="J89" s="298">
        <f ca="1">IFERROR(IF(IFERROR(SUMPRODUCT((Transactions!$L$9:$L$5005=$D$1)*(Transactions!$M$9:$M$5005=63)*ROW(Transactions!$L$9:$L$5005)),0)=0,"",INDEX(Transactions!$L:$L,IFERROR(SUMPRODUCT((Transactions!$L$9:$L$5005=$D$1)*(Transactions!$M$9:$M$5005=63)*ROW(Transactions!$L$9:$L$5005)),0))),"")</f>
        <v>2023</v>
      </c>
      <c r="N89" s="112"/>
      <c r="O89" s="245"/>
      <c r="P89" s="246"/>
      <c r="Q89" s="246"/>
      <c r="R89" s="106"/>
      <c r="S89" s="246"/>
      <c r="T89" s="247"/>
      <c r="X89" s="296" t="str" cm="1">
        <f t="array" aca="1" ref="X8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89" s="245" t="str" cm="1">
        <f t="array" aca="1" ref="Y8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89" s="246" t="str" cm="1">
        <f t="array" aca="1" ref="Z8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89" s="246" t="str" cm="1">
        <f t="array" aca="1" ref="AA8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89" s="106" t="str" cm="1">
        <f t="array" aca="1" ref="AB8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89" s="246" t="str" cm="1">
        <f t="array" aca="1" ref="AC8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89" s="247" t="str" cm="1">
        <f t="array" aca="1" ref="AD8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89" s="305" t="str" cm="1">
        <f t="array" aca="1" ref="AE8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90" spans="3:31" ht="16.5" customHeight="1" x14ac:dyDescent="0.2">
      <c r="C90" s="297">
        <f ca="1">IFERROR(IF(IFERROR(SUMPRODUCT((Transactions!$L$9:$L$5005=$D$1)*(Transactions!$M$9:$M$5005=64)*ROW(Transactions!$L$9:$L$5005)),0)=0,"",INDEX(Transactions!$C:$C,IFERROR(SUMPRODUCT((Transactions!$L$9:$L$5005=$D$1)*(Transactions!$M$9:$M$5005=64)*ROW(Transactions!$L$9:$L$5005)),0))),"")</f>
        <v>45210</v>
      </c>
      <c r="D90" s="107" t="str">
        <f ca="1">IFERROR(IF(IFERROR(SUMPRODUCT((Transactions!$L$9:$L$5005=$D$1)*(Transactions!$M$9:$M$5005=64)*ROW(Transactions!$L$9:$L$5005)),0)=0,"",INDEX(Transactions!$D:$D,IFERROR(SUMPRODUCT((Transactions!$L$9:$L$5005=$D$1)*(Transactions!$M$9:$M$5005=64)*ROW(Transactions!$L$9:$L$5005)),0))),"")</f>
        <v>Dress+form</v>
      </c>
      <c r="E90" s="108" t="str">
        <f ca="1">IFERROR(IF(IFERROR(SUMPRODUCT((Transactions!$L$9:$L$5005=$D$1)*(Transactions!$M$9:$M$5005=64)*ROW(Transactions!$L$9:$L$5005)),0)=0,"",INDEX(Transactions!$F:$F,IFERROR(SUMPRODUCT((Transactions!$L$9:$L$5005=$D$1)*(Transactions!$M$9:$M$5005=64)*ROW(Transactions!$L$9:$L$5005)),0))),"")</f>
        <v>Expense</v>
      </c>
      <c r="F90" s="108" t="str">
        <f ca="1">IFERROR(IF(IFERROR(SUMPRODUCT((Transactions!$L$9:$L$5005=$D$1)*(Transactions!$M$9:$M$5005=64)*ROW(Transactions!$L$9:$L$5005)),0)=0,"",INDEX(Transactions!$G:$G,IFERROR(SUMPRODUCT((Transactions!$L$9:$L$5005=$D$1)*(Transactions!$M$9:$M$5005=64)*ROW(Transactions!$L$9:$L$5005)),0))),"")</f>
        <v>Nisha</v>
      </c>
      <c r="G90" s="109">
        <f ca="1">IFERROR(IF(IFERROR(SUMPRODUCT((Transactions!$L$9:$L$5005=$D$1)*(Transactions!$M$9:$M$5005=64)*ROW(Transactions!$L$9:$L$5005)),0)=0,"",INDEX(Transactions!$H:$H,IFERROR(SUMPRODUCT((Transactions!$L$9:$L$5005=$D$1)*(Transactions!$M$9:$M$5005=64)*ROW(Transactions!$L$9:$L$5005)),0))),"")</f>
        <v>800</v>
      </c>
      <c r="H90" s="108">
        <f ca="1">IFERROR(IF(IFERROR(SUMPRODUCT((Transactions!$L$9:$L$5005=$D$1)*(Transactions!$M$9:$M$5005=64)*ROW(Transactions!$L$9:$L$5005)),0)=0,"",INDEX(Transactions!$J:$J,IFERROR(SUMPRODUCT((Transactions!$L$9:$L$5005=$D$1)*(Transactions!$M$9:$M$5005=64)*ROW(Transactions!$L$9:$L$5005)),0))),"")</f>
        <v>0</v>
      </c>
      <c r="I90" s="107">
        <f ca="1">IFERROR(IF(IFERROR(SUMPRODUCT((Transactions!$L$9:$L$5005=$D$1)*(Transactions!$M$9:$M$5005=64)*ROW(Transactions!$L$9:$L$5005)),0)=0,"",INDEX(Transactions!$K:$K,IFERROR(SUMPRODUCT((Transactions!$L$9:$L$5005=$D$1)*(Transactions!$M$9:$M$5005=64)*ROW(Transactions!$L$9:$L$5005)),0))),"")</f>
        <v>0</v>
      </c>
      <c r="J90" s="299">
        <f ca="1">IFERROR(IF(IFERROR(SUMPRODUCT((Transactions!$L$9:$L$5005=$D$1)*(Transactions!$M$9:$M$5005=64)*ROW(Transactions!$L$9:$L$5005)),0)=0,"",INDEX(Transactions!$L:$L,IFERROR(SUMPRODUCT((Transactions!$L$9:$L$5005=$D$1)*(Transactions!$M$9:$M$5005=64)*ROW(Transactions!$L$9:$L$5005)),0))),"")</f>
        <v>2023</v>
      </c>
      <c r="N90" s="112"/>
      <c r="O90" s="245"/>
      <c r="P90" s="246"/>
      <c r="Q90" s="246"/>
      <c r="R90" s="106"/>
      <c r="S90" s="246"/>
      <c r="T90" s="247"/>
      <c r="X90" s="296" t="str" cm="1">
        <f t="array" aca="1" ref="X9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90" s="245" t="str" cm="1">
        <f t="array" aca="1" ref="Y9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90" s="246" t="str" cm="1">
        <f t="array" aca="1" ref="Z9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90" s="246" t="str" cm="1">
        <f t="array" aca="1" ref="AA9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90" s="106" t="str" cm="1">
        <f t="array" aca="1" ref="AB9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90" s="246" t="str" cm="1">
        <f t="array" aca="1" ref="AC9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90" s="247" t="str" cm="1">
        <f t="array" aca="1" ref="AD9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90" s="305" t="str" cm="1">
        <f t="array" aca="1" ref="AE9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91" spans="3:31" ht="16.5" customHeight="1" x14ac:dyDescent="0.2">
      <c r="C91" s="296">
        <f ca="1">IFERROR(IF(IFERROR(SUMPRODUCT((Transactions!$L$9:$L$5005=$D$1)*(Transactions!$M$9:$M$5005=65)*ROW(Transactions!$L$9:$L$5005)),0)=0,"",INDEX(Transactions!$C:$C,IFERROR(SUMPRODUCT((Transactions!$L$9:$L$5005=$D$1)*(Transactions!$M$9:$M$5005=65)*ROW(Transactions!$L$9:$L$5005)),0))),"")</f>
        <v>45214</v>
      </c>
      <c r="D91" s="104" t="str">
        <f ca="1">IFERROR(IF(IFERROR(SUMPRODUCT((Transactions!$L$9:$L$5005=$D$1)*(Transactions!$M$9:$M$5005=65)*ROW(Transactions!$L$9:$L$5005)),0)=0,"",INDEX(Transactions!$D:$D,IFERROR(SUMPRODUCT((Transactions!$L$9:$L$5005=$D$1)*(Transactions!$M$9:$M$5005=65)*ROW(Transactions!$L$9:$L$5005)),0))),"")</f>
        <v>home, self: Mobile Recharge</v>
      </c>
      <c r="E91" s="105" t="str">
        <f ca="1">IFERROR(IF(IFERROR(SUMPRODUCT((Transactions!$L$9:$L$5005=$D$1)*(Transactions!$M$9:$M$5005=65)*ROW(Transactions!$L$9:$L$5005)),0)=0,"",INDEX(Transactions!$F:$F,IFERROR(SUMPRODUCT((Transactions!$L$9:$L$5005=$D$1)*(Transactions!$M$9:$M$5005=65)*ROW(Transactions!$L$9:$L$5005)),0))),"")</f>
        <v>Expense</v>
      </c>
      <c r="F91" s="105" t="str">
        <f ca="1">IFERROR(IF(IFERROR(SUMPRODUCT((Transactions!$L$9:$L$5005=$D$1)*(Transactions!$M$9:$M$5005=65)*ROW(Transactions!$L$9:$L$5005)),0)=0,"",INDEX(Transactions!$G:$G,IFERROR(SUMPRODUCT((Transactions!$L$9:$L$5005=$D$1)*(Transactions!$M$9:$M$5005=65)*ROW(Transactions!$L$9:$L$5005)),0))),"")</f>
        <v>Recharge</v>
      </c>
      <c r="G91" s="106">
        <f ca="1">IFERROR(IF(IFERROR(SUMPRODUCT((Transactions!$L$9:$L$5005=$D$1)*(Transactions!$M$9:$M$5005=65)*ROW(Transactions!$L$9:$L$5005)),0)=0,"",INDEX(Transactions!$H:$H,IFERROR(SUMPRODUCT((Transactions!$L$9:$L$5005=$D$1)*(Transactions!$M$9:$M$5005=65)*ROW(Transactions!$L$9:$L$5005)),0))),"")</f>
        <v>1150</v>
      </c>
      <c r="H91" s="105">
        <f ca="1">IFERROR(IF(IFERROR(SUMPRODUCT((Transactions!$L$9:$L$5005=$D$1)*(Transactions!$M$9:$M$5005=65)*ROW(Transactions!$L$9:$L$5005)),0)=0,"",INDEX(Transactions!$J:$J,IFERROR(SUMPRODUCT((Transactions!$L$9:$L$5005=$D$1)*(Transactions!$M$9:$M$5005=65)*ROW(Transactions!$L$9:$L$5005)),0))),"")</f>
        <v>0</v>
      </c>
      <c r="I91" s="104">
        <f ca="1">IFERROR(IF(IFERROR(SUMPRODUCT((Transactions!$L$9:$L$5005=$D$1)*(Transactions!$M$9:$M$5005=65)*ROW(Transactions!$L$9:$L$5005)),0)=0,"",INDEX(Transactions!$K:$K,IFERROR(SUMPRODUCT((Transactions!$L$9:$L$5005=$D$1)*(Transactions!$M$9:$M$5005=65)*ROW(Transactions!$L$9:$L$5005)),0))),"")</f>
        <v>0</v>
      </c>
      <c r="J91" s="298">
        <f ca="1">IFERROR(IF(IFERROR(SUMPRODUCT((Transactions!$L$9:$L$5005=$D$1)*(Transactions!$M$9:$M$5005=65)*ROW(Transactions!$L$9:$L$5005)),0)=0,"",INDEX(Transactions!$L:$L,IFERROR(SUMPRODUCT((Transactions!$L$9:$L$5005=$D$1)*(Transactions!$M$9:$M$5005=65)*ROW(Transactions!$L$9:$L$5005)),0))),"")</f>
        <v>2023</v>
      </c>
      <c r="N91" s="112"/>
      <c r="O91" s="245"/>
      <c r="P91" s="246"/>
      <c r="Q91" s="246"/>
      <c r="R91" s="106"/>
      <c r="S91" s="246"/>
      <c r="T91" s="247"/>
      <c r="X91" s="296" t="str" cm="1">
        <f t="array" aca="1" ref="X9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91" s="245" t="str" cm="1">
        <f t="array" aca="1" ref="Y9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91" s="246" t="str" cm="1">
        <f t="array" aca="1" ref="Z9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91" s="246" t="str" cm="1">
        <f t="array" aca="1" ref="AA9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91" s="106" t="str" cm="1">
        <f t="array" aca="1" ref="AB9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91" s="246" t="str" cm="1">
        <f t="array" aca="1" ref="AC9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91" s="247" t="str" cm="1">
        <f t="array" aca="1" ref="AD9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91" s="305" t="str" cm="1">
        <f t="array" aca="1" ref="AE9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92" spans="3:31" ht="16.5" customHeight="1" x14ac:dyDescent="0.2">
      <c r="C92" s="297">
        <f ca="1">IFERROR(IF(IFERROR(SUMPRODUCT((Transactions!$L$9:$L$5005=$D$1)*(Transactions!$M$9:$M$5005=66)*ROW(Transactions!$L$9:$L$5005)),0)=0,"",INDEX(Transactions!$C:$C,IFERROR(SUMPRODUCT((Transactions!$L$9:$L$5005=$D$1)*(Transactions!$M$9:$M$5005=66)*ROW(Transactions!$L$9:$L$5005)),0))),"")</f>
        <v>45217</v>
      </c>
      <c r="D92" s="107" t="str">
        <f ca="1">IFERROR(IF(IFERROR(SUMPRODUCT((Transactions!$L$9:$L$5005=$D$1)*(Transactions!$M$9:$M$5005=66)*ROW(Transactions!$L$9:$L$5005)),0)=0,"",INDEX(Transactions!$D:$D,IFERROR(SUMPRODUCT((Transactions!$L$9:$L$5005=$D$1)*(Transactions!$M$9:$M$5005=66)*ROW(Transactions!$L$9:$L$5005)),0))),"")</f>
        <v>Fastag</v>
      </c>
      <c r="E92" s="108" t="str">
        <f ca="1">IFERROR(IF(IFERROR(SUMPRODUCT((Transactions!$L$9:$L$5005=$D$1)*(Transactions!$M$9:$M$5005=66)*ROW(Transactions!$L$9:$L$5005)),0)=0,"",INDEX(Transactions!$F:$F,IFERROR(SUMPRODUCT((Transactions!$L$9:$L$5005=$D$1)*(Transactions!$M$9:$M$5005=66)*ROW(Transactions!$L$9:$L$5005)),0))),"")</f>
        <v>Expense</v>
      </c>
      <c r="F92" s="108" t="str">
        <f ca="1">IFERROR(IF(IFERROR(SUMPRODUCT((Transactions!$L$9:$L$5005=$D$1)*(Transactions!$M$9:$M$5005=66)*ROW(Transactions!$L$9:$L$5005)),0)=0,"",INDEX(Transactions!$G:$G,IFERROR(SUMPRODUCT((Transactions!$L$9:$L$5005=$D$1)*(Transactions!$M$9:$M$5005=66)*ROW(Transactions!$L$9:$L$5005)),0))),"")</f>
        <v>Home</v>
      </c>
      <c r="G92" s="109">
        <f ca="1">IFERROR(IF(IFERROR(SUMPRODUCT((Transactions!$L$9:$L$5005=$D$1)*(Transactions!$M$9:$M$5005=66)*ROW(Transactions!$L$9:$L$5005)),0)=0,"",INDEX(Transactions!$H:$H,IFERROR(SUMPRODUCT((Transactions!$L$9:$L$5005=$D$1)*(Transactions!$M$9:$M$5005=66)*ROW(Transactions!$L$9:$L$5005)),0))),"")</f>
        <v>500</v>
      </c>
      <c r="H92" s="108">
        <f ca="1">IFERROR(IF(IFERROR(SUMPRODUCT((Transactions!$L$9:$L$5005=$D$1)*(Transactions!$M$9:$M$5005=66)*ROW(Transactions!$L$9:$L$5005)),0)=0,"",INDEX(Transactions!$J:$J,IFERROR(SUMPRODUCT((Transactions!$L$9:$L$5005=$D$1)*(Transactions!$M$9:$M$5005=66)*ROW(Transactions!$L$9:$L$5005)),0))),"")</f>
        <v>0</v>
      </c>
      <c r="I92" s="107">
        <f ca="1">IFERROR(IF(IFERROR(SUMPRODUCT((Transactions!$L$9:$L$5005=$D$1)*(Transactions!$M$9:$M$5005=66)*ROW(Transactions!$L$9:$L$5005)),0)=0,"",INDEX(Transactions!$K:$K,IFERROR(SUMPRODUCT((Transactions!$L$9:$L$5005=$D$1)*(Transactions!$M$9:$M$5005=66)*ROW(Transactions!$L$9:$L$5005)),0))),"")</f>
        <v>0</v>
      </c>
      <c r="J92" s="299">
        <f ca="1">IFERROR(IF(IFERROR(SUMPRODUCT((Transactions!$L$9:$L$5005=$D$1)*(Transactions!$M$9:$M$5005=66)*ROW(Transactions!$L$9:$L$5005)),0)=0,"",INDEX(Transactions!$L:$L,IFERROR(SUMPRODUCT((Transactions!$L$9:$L$5005=$D$1)*(Transactions!$M$9:$M$5005=66)*ROW(Transactions!$L$9:$L$5005)),0))),"")</f>
        <v>2023</v>
      </c>
      <c r="N92" s="112"/>
      <c r="O92" s="245"/>
      <c r="P92" s="246"/>
      <c r="Q92" s="246"/>
      <c r="R92" s="106"/>
      <c r="S92" s="246"/>
      <c r="T92" s="247"/>
      <c r="X92" s="296" t="str" cm="1">
        <f t="array" aca="1" ref="X9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92" s="245" t="str" cm="1">
        <f t="array" aca="1" ref="Y9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92" s="246" t="str" cm="1">
        <f t="array" aca="1" ref="Z9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92" s="246" t="str" cm="1">
        <f t="array" aca="1" ref="AA9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92" s="106" t="str" cm="1">
        <f t="array" aca="1" ref="AB9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92" s="246" t="str" cm="1">
        <f t="array" aca="1" ref="AC9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92" s="247" t="str" cm="1">
        <f t="array" aca="1" ref="AD9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92" s="305" t="str" cm="1">
        <f t="array" aca="1" ref="AE9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93" spans="3:31" ht="16.5" customHeight="1" x14ac:dyDescent="0.2">
      <c r="C93" s="296">
        <f ca="1">IFERROR(IF(IFERROR(SUMPRODUCT((Transactions!$L$9:$L$5005=$D$1)*(Transactions!$M$9:$M$5005=67)*ROW(Transactions!$L$9:$L$5005)),0)=0,"",INDEX(Transactions!$C:$C,IFERROR(SUMPRODUCT((Transactions!$L$9:$L$5005=$D$1)*(Transactions!$M$9:$M$5005=67)*ROW(Transactions!$L$9:$L$5005)),0))),"")</f>
        <v>45222</v>
      </c>
      <c r="D93" s="104" t="str">
        <f ca="1">IFERROR(IF(IFERROR(SUMPRODUCT((Transactions!$L$9:$L$5005=$D$1)*(Transactions!$M$9:$M$5005=67)*ROW(Transactions!$L$9:$L$5005)),0)=0,"",INDEX(Transactions!$D:$D,IFERROR(SUMPRODUCT((Transactions!$L$9:$L$5005=$D$1)*(Transactions!$M$9:$M$5005=67)*ROW(Transactions!$L$9:$L$5005)),0))),"")</f>
        <v>oct-nov</v>
      </c>
      <c r="E93" s="105" t="str">
        <f ca="1">IFERROR(IF(IFERROR(SUMPRODUCT((Transactions!$L$9:$L$5005=$D$1)*(Transactions!$M$9:$M$5005=67)*ROW(Transactions!$L$9:$L$5005)),0)=0,"",INDEX(Transactions!$F:$F,IFERROR(SUMPRODUCT((Transactions!$L$9:$L$5005=$D$1)*(Transactions!$M$9:$M$5005=67)*ROW(Transactions!$L$9:$L$5005)),0))),"")</f>
        <v>Expense</v>
      </c>
      <c r="F93" s="105" t="str">
        <f ca="1">IFERROR(IF(IFERROR(SUMPRODUCT((Transactions!$L$9:$L$5005=$D$1)*(Transactions!$M$9:$M$5005=67)*ROW(Transactions!$L$9:$L$5005)),0)=0,"",INDEX(Transactions!$G:$G,IFERROR(SUMPRODUCT((Transactions!$L$9:$L$5005=$D$1)*(Transactions!$M$9:$M$5005=67)*ROW(Transactions!$L$9:$L$5005)),0))),"")</f>
        <v>Nisha</v>
      </c>
      <c r="G93" s="106">
        <f ca="1">IFERROR(IF(IFERROR(SUMPRODUCT((Transactions!$L$9:$L$5005=$D$1)*(Transactions!$M$9:$M$5005=67)*ROW(Transactions!$L$9:$L$5005)),0)=0,"",INDEX(Transactions!$H:$H,IFERROR(SUMPRODUCT((Transactions!$L$9:$L$5005=$D$1)*(Transactions!$M$9:$M$5005=67)*ROW(Transactions!$L$9:$L$5005)),0))),"")</f>
        <v>1000</v>
      </c>
      <c r="H93" s="105">
        <f ca="1">IFERROR(IF(IFERROR(SUMPRODUCT((Transactions!$L$9:$L$5005=$D$1)*(Transactions!$M$9:$M$5005=67)*ROW(Transactions!$L$9:$L$5005)),0)=0,"",INDEX(Transactions!$J:$J,IFERROR(SUMPRODUCT((Transactions!$L$9:$L$5005=$D$1)*(Transactions!$M$9:$M$5005=67)*ROW(Transactions!$L$9:$L$5005)),0))),"")</f>
        <v>0</v>
      </c>
      <c r="I93" s="104">
        <f ca="1">IFERROR(IF(IFERROR(SUMPRODUCT((Transactions!$L$9:$L$5005=$D$1)*(Transactions!$M$9:$M$5005=67)*ROW(Transactions!$L$9:$L$5005)),0)=0,"",INDEX(Transactions!$K:$K,IFERROR(SUMPRODUCT((Transactions!$L$9:$L$5005=$D$1)*(Transactions!$M$9:$M$5005=67)*ROW(Transactions!$L$9:$L$5005)),0))),"")</f>
        <v>0</v>
      </c>
      <c r="J93" s="298">
        <f ca="1">IFERROR(IF(IFERROR(SUMPRODUCT((Transactions!$L$9:$L$5005=$D$1)*(Transactions!$M$9:$M$5005=67)*ROW(Transactions!$L$9:$L$5005)),0)=0,"",INDEX(Transactions!$L:$L,IFERROR(SUMPRODUCT((Transactions!$L$9:$L$5005=$D$1)*(Transactions!$M$9:$M$5005=67)*ROW(Transactions!$L$9:$L$5005)),0))),"")</f>
        <v>2023</v>
      </c>
      <c r="N93" s="112"/>
      <c r="O93" s="245"/>
      <c r="P93" s="246"/>
      <c r="Q93" s="246"/>
      <c r="R93" s="106"/>
      <c r="S93" s="246"/>
      <c r="T93" s="247"/>
      <c r="X93" s="296" t="str" cm="1">
        <f t="array" aca="1" ref="X9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93" s="245" t="str" cm="1">
        <f t="array" aca="1" ref="Y9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93" s="246" t="str" cm="1">
        <f t="array" aca="1" ref="Z9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93" s="246" t="str" cm="1">
        <f t="array" aca="1" ref="AA9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93" s="106" t="str" cm="1">
        <f t="array" aca="1" ref="AB9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93" s="246" t="str" cm="1">
        <f t="array" aca="1" ref="AC9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93" s="247" t="str" cm="1">
        <f t="array" aca="1" ref="AD9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93" s="305" t="str" cm="1">
        <f t="array" aca="1" ref="AE9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94" spans="3:31" ht="16.5" customHeight="1" x14ac:dyDescent="0.2">
      <c r="C94" s="297">
        <f ca="1">IFERROR(IF(IFERROR(SUMPRODUCT((Transactions!$L$9:$L$5005=$D$1)*(Transactions!$M$9:$M$5005=68)*ROW(Transactions!$L$9:$L$5005)),0)=0,"",INDEX(Transactions!$C:$C,IFERROR(SUMPRODUCT((Transactions!$L$9:$L$5005=$D$1)*(Transactions!$M$9:$M$5005=68)*ROW(Transactions!$L$9:$L$5005)),0))),"")</f>
        <v>45229</v>
      </c>
      <c r="D94" s="107" t="str">
        <f ca="1">IFERROR(IF(IFERROR(SUMPRODUCT((Transactions!$L$9:$L$5005=$D$1)*(Transactions!$M$9:$M$5005=68)*ROW(Transactions!$L$9:$L$5005)),0)=0,"",INDEX(Transactions!$D:$D,IFERROR(SUMPRODUCT((Transactions!$L$9:$L$5005=$D$1)*(Transactions!$M$9:$M$5005=68)*ROW(Transactions!$L$9:$L$5005)),0))),"")</f>
        <v>Paytm oct 23</v>
      </c>
      <c r="E94" s="108" t="str">
        <f ca="1">IFERROR(IF(IFERROR(SUMPRODUCT((Transactions!$L$9:$L$5005=$D$1)*(Transactions!$M$9:$M$5005=68)*ROW(Transactions!$L$9:$L$5005)),0)=0,"",INDEX(Transactions!$F:$F,IFERROR(SUMPRODUCT((Transactions!$L$9:$L$5005=$D$1)*(Transactions!$M$9:$M$5005=68)*ROW(Transactions!$L$9:$L$5005)),0))),"")</f>
        <v>Expense</v>
      </c>
      <c r="F94" s="108" t="str">
        <f ca="1">IFERROR(IF(IFERROR(SUMPRODUCT((Transactions!$L$9:$L$5005=$D$1)*(Transactions!$M$9:$M$5005=68)*ROW(Transactions!$L$9:$L$5005)),0)=0,"",INDEX(Transactions!$G:$G,IFERROR(SUMPRODUCT((Transactions!$L$9:$L$5005=$D$1)*(Transactions!$M$9:$M$5005=68)*ROW(Transactions!$L$9:$L$5005)),0))),"")</f>
        <v>Delhi</v>
      </c>
      <c r="G94" s="109">
        <f ca="1">IFERROR(IF(IFERROR(SUMPRODUCT((Transactions!$L$9:$L$5005=$D$1)*(Transactions!$M$9:$M$5005=68)*ROW(Transactions!$L$9:$L$5005)),0)=0,"",INDEX(Transactions!$H:$H,IFERROR(SUMPRODUCT((Transactions!$L$9:$L$5005=$D$1)*(Transactions!$M$9:$M$5005=68)*ROW(Transactions!$L$9:$L$5005)),0))),"")</f>
        <v>9200</v>
      </c>
      <c r="H94" s="108">
        <f ca="1">IFERROR(IF(IFERROR(SUMPRODUCT((Transactions!$L$9:$L$5005=$D$1)*(Transactions!$M$9:$M$5005=68)*ROW(Transactions!$L$9:$L$5005)),0)=0,"",INDEX(Transactions!$J:$J,IFERROR(SUMPRODUCT((Transactions!$L$9:$L$5005=$D$1)*(Transactions!$M$9:$M$5005=68)*ROW(Transactions!$L$9:$L$5005)),0))),"")</f>
        <v>0</v>
      </c>
      <c r="I94" s="107">
        <f ca="1">IFERROR(IF(IFERROR(SUMPRODUCT((Transactions!$L$9:$L$5005=$D$1)*(Transactions!$M$9:$M$5005=68)*ROW(Transactions!$L$9:$L$5005)),0)=0,"",INDEX(Transactions!$K:$K,IFERROR(SUMPRODUCT((Transactions!$L$9:$L$5005=$D$1)*(Transactions!$M$9:$M$5005=68)*ROW(Transactions!$L$9:$L$5005)),0))),"")</f>
        <v>0</v>
      </c>
      <c r="J94" s="299">
        <f ca="1">IFERROR(IF(IFERROR(SUMPRODUCT((Transactions!$L$9:$L$5005=$D$1)*(Transactions!$M$9:$M$5005=68)*ROW(Transactions!$L$9:$L$5005)),0)=0,"",INDEX(Transactions!$L:$L,IFERROR(SUMPRODUCT((Transactions!$L$9:$L$5005=$D$1)*(Transactions!$M$9:$M$5005=68)*ROW(Transactions!$L$9:$L$5005)),0))),"")</f>
        <v>2023</v>
      </c>
      <c r="N94" s="112"/>
      <c r="O94" s="245"/>
      <c r="P94" s="246"/>
      <c r="Q94" s="246"/>
      <c r="R94" s="106"/>
      <c r="S94" s="246"/>
      <c r="T94" s="247"/>
      <c r="X94" s="296" t="str" cm="1">
        <f t="array" aca="1" ref="X9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94" s="245" t="str" cm="1">
        <f t="array" aca="1" ref="Y9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94" s="246" t="str" cm="1">
        <f t="array" aca="1" ref="Z9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94" s="246" t="str" cm="1">
        <f t="array" aca="1" ref="AA9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94" s="106" t="str" cm="1">
        <f t="array" aca="1" ref="AB9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94" s="246" t="str" cm="1">
        <f t="array" aca="1" ref="AC9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94" s="247" t="str" cm="1">
        <f t="array" aca="1" ref="AD9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94" s="305" t="str" cm="1">
        <f t="array" aca="1" ref="AE9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95" spans="3:31" ht="16.5" customHeight="1" x14ac:dyDescent="0.2">
      <c r="C95" s="296">
        <f ca="1">IFERROR(IF(IFERROR(SUMPRODUCT((Transactions!$L$9:$L$5005=$D$1)*(Transactions!$M$9:$M$5005=69)*ROW(Transactions!$L$9:$L$5005)),0)=0,"",INDEX(Transactions!$C:$C,IFERROR(SUMPRODUCT((Transactions!$L$9:$L$5005=$D$1)*(Transactions!$M$9:$M$5005=69)*ROW(Transactions!$L$9:$L$5005)),0))),"")</f>
        <v>45230</v>
      </c>
      <c r="D95" s="104" t="str">
        <f ca="1">IFERROR(IF(IFERROR(SUMPRODUCT((Transactions!$L$9:$L$5005=$D$1)*(Transactions!$M$9:$M$5005=69)*ROW(Transactions!$L$9:$L$5005)),0)=0,"",INDEX(Transactions!$D:$D,IFERROR(SUMPRODUCT((Transactions!$L$9:$L$5005=$D$1)*(Transactions!$M$9:$M$5005=69)*ROW(Transactions!$L$9:$L$5005)),0))),"")</f>
        <v>Medicine</v>
      </c>
      <c r="E95" s="105" t="str">
        <f ca="1">IFERROR(IF(IFERROR(SUMPRODUCT((Transactions!$L$9:$L$5005=$D$1)*(Transactions!$M$9:$M$5005=69)*ROW(Transactions!$L$9:$L$5005)),0)=0,"",INDEX(Transactions!$F:$F,IFERROR(SUMPRODUCT((Transactions!$L$9:$L$5005=$D$1)*(Transactions!$M$9:$M$5005=69)*ROW(Transactions!$L$9:$L$5005)),0))),"")</f>
        <v>Expense</v>
      </c>
      <c r="F95" s="105" t="str">
        <f ca="1">IFERROR(IF(IFERROR(SUMPRODUCT((Transactions!$L$9:$L$5005=$D$1)*(Transactions!$M$9:$M$5005=69)*ROW(Transactions!$L$9:$L$5005)),0)=0,"",INDEX(Transactions!$G:$G,IFERROR(SUMPRODUCT((Transactions!$L$9:$L$5005=$D$1)*(Transactions!$M$9:$M$5005=69)*ROW(Transactions!$L$9:$L$5005)),0))),"")</f>
        <v>Pawan</v>
      </c>
      <c r="G95" s="106">
        <f ca="1">IFERROR(IF(IFERROR(SUMPRODUCT((Transactions!$L$9:$L$5005=$D$1)*(Transactions!$M$9:$M$5005=69)*ROW(Transactions!$L$9:$L$5005)),0)=0,"",INDEX(Transactions!$H:$H,IFERROR(SUMPRODUCT((Transactions!$L$9:$L$5005=$D$1)*(Transactions!$M$9:$M$5005=69)*ROW(Transactions!$L$9:$L$5005)),0))),"")</f>
        <v>1620</v>
      </c>
      <c r="H95" s="105">
        <f ca="1">IFERROR(IF(IFERROR(SUMPRODUCT((Transactions!$L$9:$L$5005=$D$1)*(Transactions!$M$9:$M$5005=69)*ROW(Transactions!$L$9:$L$5005)),0)=0,"",INDEX(Transactions!$J:$J,IFERROR(SUMPRODUCT((Transactions!$L$9:$L$5005=$D$1)*(Transactions!$M$9:$M$5005=69)*ROW(Transactions!$L$9:$L$5005)),0))),"")</f>
        <v>0</v>
      </c>
      <c r="I95" s="104">
        <f ca="1">IFERROR(IF(IFERROR(SUMPRODUCT((Transactions!$L$9:$L$5005=$D$1)*(Transactions!$M$9:$M$5005=69)*ROW(Transactions!$L$9:$L$5005)),0)=0,"",INDEX(Transactions!$K:$K,IFERROR(SUMPRODUCT((Transactions!$L$9:$L$5005=$D$1)*(Transactions!$M$9:$M$5005=69)*ROW(Transactions!$L$9:$L$5005)),0))),"")</f>
        <v>0</v>
      </c>
      <c r="J95" s="298">
        <f ca="1">IFERROR(IF(IFERROR(SUMPRODUCT((Transactions!$L$9:$L$5005=$D$1)*(Transactions!$M$9:$M$5005=69)*ROW(Transactions!$L$9:$L$5005)),0)=0,"",INDEX(Transactions!$L:$L,IFERROR(SUMPRODUCT((Transactions!$L$9:$L$5005=$D$1)*(Transactions!$M$9:$M$5005=69)*ROW(Transactions!$L$9:$L$5005)),0))),"")</f>
        <v>2023</v>
      </c>
      <c r="N95" s="112"/>
      <c r="O95" s="245"/>
      <c r="P95" s="246"/>
      <c r="Q95" s="246"/>
      <c r="R95" s="106"/>
      <c r="S95" s="246"/>
      <c r="T95" s="247"/>
      <c r="X95" s="296" t="str" cm="1">
        <f t="array" aca="1" ref="X9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95" s="245" t="str" cm="1">
        <f t="array" aca="1" ref="Y9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95" s="246" t="str" cm="1">
        <f t="array" aca="1" ref="Z9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95" s="246" t="str" cm="1">
        <f t="array" aca="1" ref="AA9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95" s="106" t="str" cm="1">
        <f t="array" aca="1" ref="AB9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95" s="246" t="str" cm="1">
        <f t="array" aca="1" ref="AC9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95" s="247" t="str" cm="1">
        <f t="array" aca="1" ref="AD9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95" s="305" t="str" cm="1">
        <f t="array" aca="1" ref="AE9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96" spans="3:31" ht="16.5" customHeight="1" x14ac:dyDescent="0.2">
      <c r="C96" s="297">
        <f ca="1">IFERROR(IF(IFERROR(SUMPRODUCT((Transactions!$L$9:$L$5005=$D$1)*(Transactions!$M$9:$M$5005=70)*ROW(Transactions!$L$9:$L$5005)),0)=0,"",INDEX(Transactions!$C:$C,IFERROR(SUMPRODUCT((Transactions!$L$9:$L$5005=$D$1)*(Transactions!$M$9:$M$5005=70)*ROW(Transactions!$L$9:$L$5005)),0))),"")</f>
        <v>45230</v>
      </c>
      <c r="D96" s="107" t="str">
        <f ca="1">IFERROR(IF(IFERROR(SUMPRODUCT((Transactions!$L$9:$L$5005=$D$1)*(Transactions!$M$9:$M$5005=70)*ROW(Transactions!$L$9:$L$5005)),0)=0,"",INDEX(Transactions!$D:$D,IFERROR(SUMPRODUCT((Transactions!$L$9:$L$5005=$D$1)*(Transactions!$M$9:$M$5005=70)*ROW(Transactions!$L$9:$L$5005)),0))),"")</f>
        <v>Cognizant Oct</v>
      </c>
      <c r="E96" s="108" t="str">
        <f ca="1">IFERROR(IF(IFERROR(SUMPRODUCT((Transactions!$L$9:$L$5005=$D$1)*(Transactions!$M$9:$M$5005=70)*ROW(Transactions!$L$9:$L$5005)),0)=0,"",INDEX(Transactions!$F:$F,IFERROR(SUMPRODUCT((Transactions!$L$9:$L$5005=$D$1)*(Transactions!$M$9:$M$5005=70)*ROW(Transactions!$L$9:$L$5005)),0))),"")</f>
        <v>Income</v>
      </c>
      <c r="F96" s="108" t="str">
        <f ca="1">IFERROR(IF(IFERROR(SUMPRODUCT((Transactions!$L$9:$L$5005=$D$1)*(Transactions!$M$9:$M$5005=70)*ROW(Transactions!$L$9:$L$5005)),0)=0,"",INDEX(Transactions!$G:$G,IFERROR(SUMPRODUCT((Transactions!$L$9:$L$5005=$D$1)*(Transactions!$M$9:$M$5005=70)*ROW(Transactions!$L$9:$L$5005)),0))),"")</f>
        <v>Salary</v>
      </c>
      <c r="G96" s="109">
        <f ca="1">IFERROR(IF(IFERROR(SUMPRODUCT((Transactions!$L$9:$L$5005=$D$1)*(Transactions!$M$9:$M$5005=70)*ROW(Transactions!$L$9:$L$5005)),0)=0,"",INDEX(Transactions!$H:$H,IFERROR(SUMPRODUCT((Transactions!$L$9:$L$5005=$D$1)*(Transactions!$M$9:$M$5005=70)*ROW(Transactions!$L$9:$L$5005)),0))),"")</f>
        <v>34000</v>
      </c>
      <c r="H96" s="108">
        <f ca="1">IFERROR(IF(IFERROR(SUMPRODUCT((Transactions!$L$9:$L$5005=$D$1)*(Transactions!$M$9:$M$5005=70)*ROW(Transactions!$L$9:$L$5005)),0)=0,"",INDEX(Transactions!$J:$J,IFERROR(SUMPRODUCT((Transactions!$L$9:$L$5005=$D$1)*(Transactions!$M$9:$M$5005=70)*ROW(Transactions!$L$9:$L$5005)),0))),"")</f>
        <v>0</v>
      </c>
      <c r="I96" s="107">
        <f ca="1">IFERROR(IF(IFERROR(SUMPRODUCT((Transactions!$L$9:$L$5005=$D$1)*(Transactions!$M$9:$M$5005=70)*ROW(Transactions!$L$9:$L$5005)),0)=0,"",INDEX(Transactions!$K:$K,IFERROR(SUMPRODUCT((Transactions!$L$9:$L$5005=$D$1)*(Transactions!$M$9:$M$5005=70)*ROW(Transactions!$L$9:$L$5005)),0))),"")</f>
        <v>0</v>
      </c>
      <c r="J96" s="299">
        <f ca="1">IFERROR(IF(IFERROR(SUMPRODUCT((Transactions!$L$9:$L$5005=$D$1)*(Transactions!$M$9:$M$5005=70)*ROW(Transactions!$L$9:$L$5005)),0)=0,"",INDEX(Transactions!$L:$L,IFERROR(SUMPRODUCT((Transactions!$L$9:$L$5005=$D$1)*(Transactions!$M$9:$M$5005=70)*ROW(Transactions!$L$9:$L$5005)),0))),"")</f>
        <v>2023</v>
      </c>
      <c r="N96" s="112"/>
      <c r="O96" s="245"/>
      <c r="P96" s="246"/>
      <c r="Q96" s="246"/>
      <c r="R96" s="106"/>
      <c r="S96" s="246"/>
      <c r="T96" s="247"/>
      <c r="X96" s="296" t="str" cm="1">
        <f t="array" aca="1" ref="X9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96" s="245" t="str" cm="1">
        <f t="array" aca="1" ref="Y9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96" s="246" t="str" cm="1">
        <f t="array" aca="1" ref="Z9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96" s="246" t="str" cm="1">
        <f t="array" aca="1" ref="AA9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96" s="106" t="str" cm="1">
        <f t="array" aca="1" ref="AB9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96" s="246" t="str" cm="1">
        <f t="array" aca="1" ref="AC9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96" s="247" t="str" cm="1">
        <f t="array" aca="1" ref="AD9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96" s="305" t="str" cm="1">
        <f t="array" aca="1" ref="AE9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97" spans="3:31" ht="16.5" customHeight="1" x14ac:dyDescent="0.2">
      <c r="C97" s="296">
        <f ca="1">IFERROR(IF(IFERROR(SUMPRODUCT((Transactions!$L$9:$L$5005=$D$1)*(Transactions!$M$9:$M$5005=71)*ROW(Transactions!$L$9:$L$5005)),0)=0,"",INDEX(Transactions!$C:$C,IFERROR(SUMPRODUCT((Transactions!$L$9:$L$5005=$D$1)*(Transactions!$M$9:$M$5005=71)*ROW(Transactions!$L$9:$L$5005)),0))),"")</f>
        <v>45232</v>
      </c>
      <c r="D97" s="104">
        <f ca="1">IFERROR(IF(IFERROR(SUMPRODUCT((Transactions!$L$9:$L$5005=$D$1)*(Transactions!$M$9:$M$5005=71)*ROW(Transactions!$L$9:$L$5005)),0)=0,"",INDEX(Transactions!$D:$D,IFERROR(SUMPRODUCT((Transactions!$L$9:$L$5005=$D$1)*(Transactions!$M$9:$M$5005=71)*ROW(Transactions!$L$9:$L$5005)),0))),"")</f>
        <v>45231</v>
      </c>
      <c r="E97" s="105" t="str">
        <f ca="1">IFERROR(IF(IFERROR(SUMPRODUCT((Transactions!$L$9:$L$5005=$D$1)*(Transactions!$M$9:$M$5005=71)*ROW(Transactions!$L$9:$L$5005)),0)=0,"",INDEX(Transactions!$F:$F,IFERROR(SUMPRODUCT((Transactions!$L$9:$L$5005=$D$1)*(Transactions!$M$9:$M$5005=71)*ROW(Transactions!$L$9:$L$5005)),0))),"")</f>
        <v>Expense</v>
      </c>
      <c r="F97" s="105" t="str">
        <f ca="1">IFERROR(IF(IFERROR(SUMPRODUCT((Transactions!$L$9:$L$5005=$D$1)*(Transactions!$M$9:$M$5005=71)*ROW(Transactions!$L$9:$L$5005)),0)=0,"",INDEX(Transactions!$G:$G,IFERROR(SUMPRODUCT((Transactions!$L$9:$L$5005=$D$1)*(Transactions!$M$9:$M$5005=71)*ROW(Transactions!$L$9:$L$5005)),0))),"")</f>
        <v>Pawan</v>
      </c>
      <c r="G97" s="106">
        <f ca="1">IFERROR(IF(IFERROR(SUMPRODUCT((Transactions!$L$9:$L$5005=$D$1)*(Transactions!$M$9:$M$5005=71)*ROW(Transactions!$L$9:$L$5005)),0)=0,"",INDEX(Transactions!$H:$H,IFERROR(SUMPRODUCT((Transactions!$L$9:$L$5005=$D$1)*(Transactions!$M$9:$M$5005=71)*ROW(Transactions!$L$9:$L$5005)),0))),"")</f>
        <v>4500</v>
      </c>
      <c r="H97" s="105">
        <f ca="1">IFERROR(IF(IFERROR(SUMPRODUCT((Transactions!$L$9:$L$5005=$D$1)*(Transactions!$M$9:$M$5005=71)*ROW(Transactions!$L$9:$L$5005)),0)=0,"",INDEX(Transactions!$J:$J,IFERROR(SUMPRODUCT((Transactions!$L$9:$L$5005=$D$1)*(Transactions!$M$9:$M$5005=71)*ROW(Transactions!$L$9:$L$5005)),0))),"")</f>
        <v>0</v>
      </c>
      <c r="I97" s="104">
        <f ca="1">IFERROR(IF(IFERROR(SUMPRODUCT((Transactions!$L$9:$L$5005=$D$1)*(Transactions!$M$9:$M$5005=71)*ROW(Transactions!$L$9:$L$5005)),0)=0,"",INDEX(Transactions!$K:$K,IFERROR(SUMPRODUCT((Transactions!$L$9:$L$5005=$D$1)*(Transactions!$M$9:$M$5005=71)*ROW(Transactions!$L$9:$L$5005)),0))),"")</f>
        <v>0</v>
      </c>
      <c r="J97" s="298">
        <f ca="1">IFERROR(IF(IFERROR(SUMPRODUCT((Transactions!$L$9:$L$5005=$D$1)*(Transactions!$M$9:$M$5005=71)*ROW(Transactions!$L$9:$L$5005)),0)=0,"",INDEX(Transactions!$L:$L,IFERROR(SUMPRODUCT((Transactions!$L$9:$L$5005=$D$1)*(Transactions!$M$9:$M$5005=71)*ROW(Transactions!$L$9:$L$5005)),0))),"")</f>
        <v>2023</v>
      </c>
      <c r="N97" s="112"/>
      <c r="O97" s="245"/>
      <c r="P97" s="246"/>
      <c r="Q97" s="246"/>
      <c r="R97" s="106"/>
      <c r="S97" s="246"/>
      <c r="T97" s="247"/>
      <c r="X97" s="296" t="str" cm="1">
        <f t="array" aca="1" ref="X9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97" s="245" t="str" cm="1">
        <f t="array" aca="1" ref="Y9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97" s="246" t="str" cm="1">
        <f t="array" aca="1" ref="Z9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97" s="246" t="str" cm="1">
        <f t="array" aca="1" ref="AA9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97" s="106" t="str" cm="1">
        <f t="array" aca="1" ref="AB9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97" s="246" t="str" cm="1">
        <f t="array" aca="1" ref="AC9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97" s="247" t="str" cm="1">
        <f t="array" aca="1" ref="AD9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97" s="305" t="str" cm="1">
        <f t="array" aca="1" ref="AE9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98" spans="3:31" ht="16.5" customHeight="1" x14ac:dyDescent="0.2">
      <c r="C98" s="297">
        <f ca="1">IFERROR(IF(IFERROR(SUMPRODUCT((Transactions!$L$9:$L$5005=$D$1)*(Transactions!$M$9:$M$5005=72)*ROW(Transactions!$L$9:$L$5005)),0)=0,"",INDEX(Transactions!$C:$C,IFERROR(SUMPRODUCT((Transactions!$L$9:$L$5005=$D$1)*(Transactions!$M$9:$M$5005=72)*ROW(Transactions!$L$9:$L$5005)),0))),"")</f>
        <v>45233</v>
      </c>
      <c r="D98" s="107" t="str">
        <f ca="1">IFERROR(IF(IFERROR(SUMPRODUCT((Transactions!$L$9:$L$5005=$D$1)*(Transactions!$M$9:$M$5005=72)*ROW(Transactions!$L$9:$L$5005)),0)=0,"",INDEX(Transactions!$D:$D,IFERROR(SUMPRODUCT((Transactions!$L$9:$L$5005=$D$1)*(Transactions!$M$9:$M$5005=72)*ROW(Transactions!$L$9:$L$5005)),0))),"")</f>
        <v>MBA8</v>
      </c>
      <c r="E98" s="108" t="str">
        <f ca="1">IFERROR(IF(IFERROR(SUMPRODUCT((Transactions!$L$9:$L$5005=$D$1)*(Transactions!$M$9:$M$5005=72)*ROW(Transactions!$L$9:$L$5005)),0)=0,"",INDEX(Transactions!$F:$F,IFERROR(SUMPRODUCT((Transactions!$L$9:$L$5005=$D$1)*(Transactions!$M$9:$M$5005=72)*ROW(Transactions!$L$9:$L$5005)),0))),"")</f>
        <v>Expense</v>
      </c>
      <c r="F98" s="108" t="str">
        <f ca="1">IFERROR(IF(IFERROR(SUMPRODUCT((Transactions!$L$9:$L$5005=$D$1)*(Transactions!$M$9:$M$5005=72)*ROW(Transactions!$L$9:$L$5005)),0)=0,"",INDEX(Transactions!$G:$G,IFERROR(SUMPRODUCT((Transactions!$L$9:$L$5005=$D$1)*(Transactions!$M$9:$M$5005=72)*ROW(Transactions!$L$9:$L$5005)),0))),"")</f>
        <v>Ed LOAN</v>
      </c>
      <c r="G98" s="109">
        <f ca="1">IFERROR(IF(IFERROR(SUMPRODUCT((Transactions!$L$9:$L$5005=$D$1)*(Transactions!$M$9:$M$5005=72)*ROW(Transactions!$L$9:$L$5005)),0)=0,"",INDEX(Transactions!$H:$H,IFERROR(SUMPRODUCT((Transactions!$L$9:$L$5005=$D$1)*(Transactions!$M$9:$M$5005=72)*ROW(Transactions!$L$9:$L$5005)),0))),"")</f>
        <v>6881</v>
      </c>
      <c r="H98" s="108">
        <f ca="1">IFERROR(IF(IFERROR(SUMPRODUCT((Transactions!$L$9:$L$5005=$D$1)*(Transactions!$M$9:$M$5005=72)*ROW(Transactions!$L$9:$L$5005)),0)=0,"",INDEX(Transactions!$J:$J,IFERROR(SUMPRODUCT((Transactions!$L$9:$L$5005=$D$1)*(Transactions!$M$9:$M$5005=72)*ROW(Transactions!$L$9:$L$5005)),0))),"")</f>
        <v>0</v>
      </c>
      <c r="I98" s="107">
        <f ca="1">IFERROR(IF(IFERROR(SUMPRODUCT((Transactions!$L$9:$L$5005=$D$1)*(Transactions!$M$9:$M$5005=72)*ROW(Transactions!$L$9:$L$5005)),0)=0,"",INDEX(Transactions!$K:$K,IFERROR(SUMPRODUCT((Transactions!$L$9:$L$5005=$D$1)*(Transactions!$M$9:$M$5005=72)*ROW(Transactions!$L$9:$L$5005)),0))),"")</f>
        <v>0</v>
      </c>
      <c r="J98" s="299">
        <f ca="1">IFERROR(IF(IFERROR(SUMPRODUCT((Transactions!$L$9:$L$5005=$D$1)*(Transactions!$M$9:$M$5005=72)*ROW(Transactions!$L$9:$L$5005)),0)=0,"",INDEX(Transactions!$L:$L,IFERROR(SUMPRODUCT((Transactions!$L$9:$L$5005=$D$1)*(Transactions!$M$9:$M$5005=72)*ROW(Transactions!$L$9:$L$5005)),0))),"")</f>
        <v>2023</v>
      </c>
      <c r="N98" s="112"/>
      <c r="O98" s="245"/>
      <c r="P98" s="246"/>
      <c r="Q98" s="246"/>
      <c r="R98" s="106"/>
      <c r="S98" s="246"/>
      <c r="T98" s="247"/>
      <c r="X98" s="296" t="str" cm="1">
        <f t="array" aca="1" ref="X9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98" s="245" t="str" cm="1">
        <f t="array" aca="1" ref="Y9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98" s="246" t="str" cm="1">
        <f t="array" aca="1" ref="Z9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98" s="246" t="str" cm="1">
        <f t="array" aca="1" ref="AA9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98" s="106" t="str" cm="1">
        <f t="array" aca="1" ref="AB9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98" s="246" t="str" cm="1">
        <f t="array" aca="1" ref="AC9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98" s="247" t="str" cm="1">
        <f t="array" aca="1" ref="AD9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98" s="305" t="str" cm="1">
        <f t="array" aca="1" ref="AE9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99" spans="3:31" ht="16.5" customHeight="1" x14ac:dyDescent="0.2">
      <c r="C99" s="296">
        <f ca="1">IFERROR(IF(IFERROR(SUMPRODUCT((Transactions!$L$9:$L$5005=$D$1)*(Transactions!$M$9:$M$5005=73)*ROW(Transactions!$L$9:$L$5005)),0)=0,"",INDEX(Transactions!$C:$C,IFERROR(SUMPRODUCT((Transactions!$L$9:$L$5005=$D$1)*(Transactions!$M$9:$M$5005=73)*ROW(Transactions!$L$9:$L$5005)),0))),"")</f>
        <v>45240</v>
      </c>
      <c r="D99" s="104" t="str">
        <f ca="1">IFERROR(IF(IFERROR(SUMPRODUCT((Transactions!$L$9:$L$5005=$D$1)*(Transactions!$M$9:$M$5005=73)*ROW(Transactions!$L$9:$L$5005)),0)=0,"",INDEX(Transactions!$D:$D,IFERROR(SUMPRODUCT((Transactions!$L$9:$L$5005=$D$1)*(Transactions!$M$9:$M$5005=73)*ROW(Transactions!$L$9:$L$5005)),0))),"")</f>
        <v>November</v>
      </c>
      <c r="E99" s="105" t="str">
        <f ca="1">IFERROR(IF(IFERROR(SUMPRODUCT((Transactions!$L$9:$L$5005=$D$1)*(Transactions!$M$9:$M$5005=73)*ROW(Transactions!$L$9:$L$5005)),0)=0,"",INDEX(Transactions!$F:$F,IFERROR(SUMPRODUCT((Transactions!$L$9:$L$5005=$D$1)*(Transactions!$M$9:$M$5005=73)*ROW(Transactions!$L$9:$L$5005)),0))),"")</f>
        <v>Investment</v>
      </c>
      <c r="F99" s="105" t="str">
        <f ca="1">IFERROR(IF(IFERROR(SUMPRODUCT((Transactions!$L$9:$L$5005=$D$1)*(Transactions!$M$9:$M$5005=73)*ROW(Transactions!$L$9:$L$5005)),0)=0,"",INDEX(Transactions!$G:$G,IFERROR(SUMPRODUCT((Transactions!$L$9:$L$5005=$D$1)*(Transactions!$M$9:$M$5005=73)*ROW(Transactions!$L$9:$L$5005)),0))),"")</f>
        <v>Saving</v>
      </c>
      <c r="G99" s="106">
        <f ca="1">IFERROR(IF(IFERROR(SUMPRODUCT((Transactions!$L$9:$L$5005=$D$1)*(Transactions!$M$9:$M$5005=73)*ROW(Transactions!$L$9:$L$5005)),0)=0,"",INDEX(Transactions!$H:$H,IFERROR(SUMPRODUCT((Transactions!$L$9:$L$5005=$D$1)*(Transactions!$M$9:$M$5005=73)*ROW(Transactions!$L$9:$L$5005)),0))),"")</f>
        <v>1376</v>
      </c>
      <c r="H99" s="105">
        <f ca="1">IFERROR(IF(IFERROR(SUMPRODUCT((Transactions!$L$9:$L$5005=$D$1)*(Transactions!$M$9:$M$5005=73)*ROW(Transactions!$L$9:$L$5005)),0)=0,"",INDEX(Transactions!$J:$J,IFERROR(SUMPRODUCT((Transactions!$L$9:$L$5005=$D$1)*(Transactions!$M$9:$M$5005=73)*ROW(Transactions!$L$9:$L$5005)),0))),"")</f>
        <v>0</v>
      </c>
      <c r="I99" s="104">
        <f ca="1">IFERROR(IF(IFERROR(SUMPRODUCT((Transactions!$L$9:$L$5005=$D$1)*(Transactions!$M$9:$M$5005=73)*ROW(Transactions!$L$9:$L$5005)),0)=0,"",INDEX(Transactions!$K:$K,IFERROR(SUMPRODUCT((Transactions!$L$9:$L$5005=$D$1)*(Transactions!$M$9:$M$5005=73)*ROW(Transactions!$L$9:$L$5005)),0))),"")</f>
        <v>0</v>
      </c>
      <c r="J99" s="298">
        <f ca="1">IFERROR(IF(IFERROR(SUMPRODUCT((Transactions!$L$9:$L$5005=$D$1)*(Transactions!$M$9:$M$5005=73)*ROW(Transactions!$L$9:$L$5005)),0)=0,"",INDEX(Transactions!$L:$L,IFERROR(SUMPRODUCT((Transactions!$L$9:$L$5005=$D$1)*(Transactions!$M$9:$M$5005=73)*ROW(Transactions!$L$9:$L$5005)),0))),"")</f>
        <v>2023</v>
      </c>
      <c r="N99" s="112"/>
      <c r="O99" s="245"/>
      <c r="P99" s="246"/>
      <c r="Q99" s="246"/>
      <c r="R99" s="106"/>
      <c r="S99" s="246"/>
      <c r="T99" s="247"/>
      <c r="X99" s="296" t="str" cm="1">
        <f t="array" aca="1" ref="X9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99" s="245" t="str" cm="1">
        <f t="array" aca="1" ref="Y9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99" s="246" t="str" cm="1">
        <f t="array" aca="1" ref="Z9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99" s="246" t="str" cm="1">
        <f t="array" aca="1" ref="AA9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99" s="106" t="str" cm="1">
        <f t="array" aca="1" ref="AB9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99" s="246" t="str" cm="1">
        <f t="array" aca="1" ref="AC9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99" s="247" t="str" cm="1">
        <f t="array" aca="1" ref="AD9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99" s="305" t="str" cm="1">
        <f t="array" aca="1" ref="AE9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00" spans="3:31" ht="16.5" customHeight="1" x14ac:dyDescent="0.2">
      <c r="C100" s="297">
        <f ca="1">IFERROR(IF(IFERROR(SUMPRODUCT((Transactions!$L$9:$L$5005=$D$1)*(Transactions!$M$9:$M$5005=74)*ROW(Transactions!$L$9:$L$5005)),0)=0,"",INDEX(Transactions!$C:$C,IFERROR(SUMPRODUCT((Transactions!$L$9:$L$5005=$D$1)*(Transactions!$M$9:$M$5005=74)*ROW(Transactions!$L$9:$L$5005)),0))),"")</f>
        <v>45248</v>
      </c>
      <c r="D100" s="107" t="str">
        <f ca="1">IFERROR(IF(IFERROR(SUMPRODUCT((Transactions!$L$9:$L$5005=$D$1)*(Transactions!$M$9:$M$5005=74)*ROW(Transactions!$L$9:$L$5005)),0)=0,"",INDEX(Transactions!$D:$D,IFERROR(SUMPRODUCT((Transactions!$L$9:$L$5005=$D$1)*(Transactions!$M$9:$M$5005=74)*ROW(Transactions!$L$9:$L$5005)),0))),"")</f>
        <v>Diwali Kurta1450, 500 chath diwali khrcha</v>
      </c>
      <c r="E100" s="108" t="str">
        <f ca="1">IFERROR(IF(IFERROR(SUMPRODUCT((Transactions!$L$9:$L$5005=$D$1)*(Transactions!$M$9:$M$5005=74)*ROW(Transactions!$L$9:$L$5005)),0)=0,"",INDEX(Transactions!$F:$F,IFERROR(SUMPRODUCT((Transactions!$L$9:$L$5005=$D$1)*(Transactions!$M$9:$M$5005=74)*ROW(Transactions!$L$9:$L$5005)),0))),"")</f>
        <v>Expense</v>
      </c>
      <c r="F100" s="108" t="str">
        <f ca="1">IFERROR(IF(IFERROR(SUMPRODUCT((Transactions!$L$9:$L$5005=$D$1)*(Transactions!$M$9:$M$5005=74)*ROW(Transactions!$L$9:$L$5005)),0)=0,"",INDEX(Transactions!$G:$G,IFERROR(SUMPRODUCT((Transactions!$L$9:$L$5005=$D$1)*(Transactions!$M$9:$M$5005=74)*ROW(Transactions!$L$9:$L$5005)),0))),"")</f>
        <v>Home</v>
      </c>
      <c r="G100" s="109">
        <f ca="1">IFERROR(IF(IFERROR(SUMPRODUCT((Transactions!$L$9:$L$5005=$D$1)*(Transactions!$M$9:$M$5005=74)*ROW(Transactions!$L$9:$L$5005)),0)=0,"",INDEX(Transactions!$H:$H,IFERROR(SUMPRODUCT((Transactions!$L$9:$L$5005=$D$1)*(Transactions!$M$9:$M$5005=74)*ROW(Transactions!$L$9:$L$5005)),0))),"")</f>
        <v>1950</v>
      </c>
      <c r="H100" s="108">
        <f ca="1">IFERROR(IF(IFERROR(SUMPRODUCT((Transactions!$L$9:$L$5005=$D$1)*(Transactions!$M$9:$M$5005=74)*ROW(Transactions!$L$9:$L$5005)),0)=0,"",INDEX(Transactions!$J:$J,IFERROR(SUMPRODUCT((Transactions!$L$9:$L$5005=$D$1)*(Transactions!$M$9:$M$5005=74)*ROW(Transactions!$L$9:$L$5005)),0))),"")</f>
        <v>0</v>
      </c>
      <c r="I100" s="107">
        <f ca="1">IFERROR(IF(IFERROR(SUMPRODUCT((Transactions!$L$9:$L$5005=$D$1)*(Transactions!$M$9:$M$5005=74)*ROW(Transactions!$L$9:$L$5005)),0)=0,"",INDEX(Transactions!$K:$K,IFERROR(SUMPRODUCT((Transactions!$L$9:$L$5005=$D$1)*(Transactions!$M$9:$M$5005=74)*ROW(Transactions!$L$9:$L$5005)),0))),"")</f>
        <v>0</v>
      </c>
      <c r="J100" s="299">
        <f ca="1">IFERROR(IF(IFERROR(SUMPRODUCT((Transactions!$L$9:$L$5005=$D$1)*(Transactions!$M$9:$M$5005=74)*ROW(Transactions!$L$9:$L$5005)),0)=0,"",INDEX(Transactions!$L:$L,IFERROR(SUMPRODUCT((Transactions!$L$9:$L$5005=$D$1)*(Transactions!$M$9:$M$5005=74)*ROW(Transactions!$L$9:$L$5005)),0))),"")</f>
        <v>2023</v>
      </c>
      <c r="N100" s="112"/>
      <c r="O100" s="245"/>
      <c r="P100" s="246"/>
      <c r="Q100" s="246"/>
      <c r="R100" s="106"/>
      <c r="S100" s="246"/>
      <c r="T100" s="247"/>
      <c r="X100" s="296" t="str" cm="1">
        <f t="array" aca="1" ref="X10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00" s="245" t="str" cm="1">
        <f t="array" aca="1" ref="Y10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00" s="246" t="str" cm="1">
        <f t="array" aca="1" ref="Z10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00" s="246" t="str" cm="1">
        <f t="array" aca="1" ref="AA10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00" s="106" t="str" cm="1">
        <f t="array" aca="1" ref="AB10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00" s="246" t="str" cm="1">
        <f t="array" aca="1" ref="AC10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00" s="247" t="str" cm="1">
        <f t="array" aca="1" ref="AD10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00" s="305" t="str" cm="1">
        <f t="array" aca="1" ref="AE10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01" spans="3:31" ht="16.5" customHeight="1" x14ac:dyDescent="0.2">
      <c r="C101" s="296">
        <f ca="1">IFERROR(IF(IFERROR(SUMPRODUCT((Transactions!$L$9:$L$5005=$D$1)*(Transactions!$M$9:$M$5005=75)*ROW(Transactions!$L$9:$L$5005)),0)=0,"",INDEX(Transactions!$C:$C,IFERROR(SUMPRODUCT((Transactions!$L$9:$L$5005=$D$1)*(Transactions!$M$9:$M$5005=75)*ROW(Transactions!$L$9:$L$5005)),0))),"")</f>
        <v>45250</v>
      </c>
      <c r="D101" s="104" t="str">
        <f ca="1">IFERROR(IF(IFERROR(SUMPRODUCT((Transactions!$L$9:$L$5005=$D$1)*(Transactions!$M$9:$M$5005=75)*ROW(Transactions!$L$9:$L$5005)),0)=0,"",INDEX(Transactions!$D:$D,IFERROR(SUMPRODUCT((Transactions!$L$9:$L$5005=$D$1)*(Transactions!$M$9:$M$5005=75)*ROW(Transactions!$L$9:$L$5005)),0))),"")</f>
        <v>Paytm nov 23</v>
      </c>
      <c r="E101" s="105" t="str">
        <f ca="1">IFERROR(IF(IFERROR(SUMPRODUCT((Transactions!$L$9:$L$5005=$D$1)*(Transactions!$M$9:$M$5005=75)*ROW(Transactions!$L$9:$L$5005)),0)=0,"",INDEX(Transactions!$F:$F,IFERROR(SUMPRODUCT((Transactions!$L$9:$L$5005=$D$1)*(Transactions!$M$9:$M$5005=75)*ROW(Transactions!$L$9:$L$5005)),0))),"")</f>
        <v>Expense</v>
      </c>
      <c r="F101" s="105" t="str">
        <f ca="1">IFERROR(IF(IFERROR(SUMPRODUCT((Transactions!$L$9:$L$5005=$D$1)*(Transactions!$M$9:$M$5005=75)*ROW(Transactions!$L$9:$L$5005)),0)=0,"",INDEX(Transactions!$G:$G,IFERROR(SUMPRODUCT((Transactions!$L$9:$L$5005=$D$1)*(Transactions!$M$9:$M$5005=75)*ROW(Transactions!$L$9:$L$5005)),0))),"")</f>
        <v>Delhi</v>
      </c>
      <c r="G101" s="106">
        <f ca="1">IFERROR(IF(IFERROR(SUMPRODUCT((Transactions!$L$9:$L$5005=$D$1)*(Transactions!$M$9:$M$5005=75)*ROW(Transactions!$L$9:$L$5005)),0)=0,"",INDEX(Transactions!$H:$H,IFERROR(SUMPRODUCT((Transactions!$L$9:$L$5005=$D$1)*(Transactions!$M$9:$M$5005=75)*ROW(Transactions!$L$9:$L$5005)),0))),"")</f>
        <v>4000</v>
      </c>
      <c r="H101" s="105">
        <f ca="1">IFERROR(IF(IFERROR(SUMPRODUCT((Transactions!$L$9:$L$5005=$D$1)*(Transactions!$M$9:$M$5005=75)*ROW(Transactions!$L$9:$L$5005)),0)=0,"",INDEX(Transactions!$J:$J,IFERROR(SUMPRODUCT((Transactions!$L$9:$L$5005=$D$1)*(Transactions!$M$9:$M$5005=75)*ROW(Transactions!$L$9:$L$5005)),0))),"")</f>
        <v>0</v>
      </c>
      <c r="I101" s="104">
        <f ca="1">IFERROR(IF(IFERROR(SUMPRODUCT((Transactions!$L$9:$L$5005=$D$1)*(Transactions!$M$9:$M$5005=75)*ROW(Transactions!$L$9:$L$5005)),0)=0,"",INDEX(Transactions!$K:$K,IFERROR(SUMPRODUCT((Transactions!$L$9:$L$5005=$D$1)*(Transactions!$M$9:$M$5005=75)*ROW(Transactions!$L$9:$L$5005)),0))),"")</f>
        <v>0</v>
      </c>
      <c r="J101" s="298">
        <f ca="1">IFERROR(IF(IFERROR(SUMPRODUCT((Transactions!$L$9:$L$5005=$D$1)*(Transactions!$M$9:$M$5005=75)*ROW(Transactions!$L$9:$L$5005)),0)=0,"",INDEX(Transactions!$L:$L,IFERROR(SUMPRODUCT((Transactions!$L$9:$L$5005=$D$1)*(Transactions!$M$9:$M$5005=75)*ROW(Transactions!$L$9:$L$5005)),0))),"")</f>
        <v>2023</v>
      </c>
      <c r="N101" s="112"/>
      <c r="O101" s="245"/>
      <c r="P101" s="246"/>
      <c r="Q101" s="246"/>
      <c r="R101" s="106"/>
      <c r="S101" s="246"/>
      <c r="T101" s="247"/>
      <c r="X101" s="296" t="str" cm="1">
        <f t="array" aca="1" ref="X10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01" s="245" t="str" cm="1">
        <f t="array" aca="1" ref="Y10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01" s="246" t="str" cm="1">
        <f t="array" aca="1" ref="Z10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01" s="246" t="str" cm="1">
        <f t="array" aca="1" ref="AA10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01" s="106" t="str" cm="1">
        <f t="array" aca="1" ref="AB10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01" s="246" t="str" cm="1">
        <f t="array" aca="1" ref="AC10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01" s="247" t="str" cm="1">
        <f t="array" aca="1" ref="AD10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01" s="305" t="str" cm="1">
        <f t="array" aca="1" ref="AE10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02" spans="3:31" ht="16.5" customHeight="1" x14ac:dyDescent="0.2">
      <c r="C102" s="297">
        <f ca="1">IFERROR(IF(IFERROR(SUMPRODUCT((Transactions!$L$9:$L$5005=$D$1)*(Transactions!$M$9:$M$5005=76)*ROW(Transactions!$L$9:$L$5005)),0)=0,"",INDEX(Transactions!$C:$C,IFERROR(SUMPRODUCT((Transactions!$L$9:$L$5005=$D$1)*(Transactions!$M$9:$M$5005=76)*ROW(Transactions!$L$9:$L$5005)),0))),"")</f>
        <v>45251</v>
      </c>
      <c r="D102" s="107" t="str">
        <f ca="1">IFERROR(IF(IFERROR(SUMPRODUCT((Transactions!$L$9:$L$5005=$D$1)*(Transactions!$M$9:$M$5005=76)*ROW(Transactions!$L$9:$L$5005)),0)=0,"",INDEX(Transactions!$D:$D,IFERROR(SUMPRODUCT((Transactions!$L$9:$L$5005=$D$1)*(Transactions!$M$9:$M$5005=76)*ROW(Transactions!$L$9:$L$5005)),0))),"")</f>
        <v>nov-dec</v>
      </c>
      <c r="E102" s="108" t="str">
        <f ca="1">IFERROR(IF(IFERROR(SUMPRODUCT((Transactions!$L$9:$L$5005=$D$1)*(Transactions!$M$9:$M$5005=76)*ROW(Transactions!$L$9:$L$5005)),0)=0,"",INDEX(Transactions!$F:$F,IFERROR(SUMPRODUCT((Transactions!$L$9:$L$5005=$D$1)*(Transactions!$M$9:$M$5005=76)*ROW(Transactions!$L$9:$L$5005)),0))),"")</f>
        <v>Expense</v>
      </c>
      <c r="F102" s="108" t="str">
        <f ca="1">IFERROR(IF(IFERROR(SUMPRODUCT((Transactions!$L$9:$L$5005=$D$1)*(Transactions!$M$9:$M$5005=76)*ROW(Transactions!$L$9:$L$5005)),0)=0,"",INDEX(Transactions!$G:$G,IFERROR(SUMPRODUCT((Transactions!$L$9:$L$5005=$D$1)*(Transactions!$M$9:$M$5005=76)*ROW(Transactions!$L$9:$L$5005)),0))),"")</f>
        <v>Nisha</v>
      </c>
      <c r="G102" s="109">
        <f ca="1">IFERROR(IF(IFERROR(SUMPRODUCT((Transactions!$L$9:$L$5005=$D$1)*(Transactions!$M$9:$M$5005=76)*ROW(Transactions!$L$9:$L$5005)),0)=0,"",INDEX(Transactions!$H:$H,IFERROR(SUMPRODUCT((Transactions!$L$9:$L$5005=$D$1)*(Transactions!$M$9:$M$5005=76)*ROW(Transactions!$L$9:$L$5005)),0))),"")</f>
        <v>2000</v>
      </c>
      <c r="H102" s="108">
        <f ca="1">IFERROR(IF(IFERROR(SUMPRODUCT((Transactions!$L$9:$L$5005=$D$1)*(Transactions!$M$9:$M$5005=76)*ROW(Transactions!$L$9:$L$5005)),0)=0,"",INDEX(Transactions!$J:$J,IFERROR(SUMPRODUCT((Transactions!$L$9:$L$5005=$D$1)*(Transactions!$M$9:$M$5005=76)*ROW(Transactions!$L$9:$L$5005)),0))),"")</f>
        <v>0</v>
      </c>
      <c r="I102" s="107">
        <f ca="1">IFERROR(IF(IFERROR(SUMPRODUCT((Transactions!$L$9:$L$5005=$D$1)*(Transactions!$M$9:$M$5005=76)*ROW(Transactions!$L$9:$L$5005)),0)=0,"",INDEX(Transactions!$K:$K,IFERROR(SUMPRODUCT((Transactions!$L$9:$L$5005=$D$1)*(Transactions!$M$9:$M$5005=76)*ROW(Transactions!$L$9:$L$5005)),0))),"")</f>
        <v>0</v>
      </c>
      <c r="J102" s="299">
        <f ca="1">IFERROR(IF(IFERROR(SUMPRODUCT((Transactions!$L$9:$L$5005=$D$1)*(Transactions!$M$9:$M$5005=76)*ROW(Transactions!$L$9:$L$5005)),0)=0,"",INDEX(Transactions!$L:$L,IFERROR(SUMPRODUCT((Transactions!$L$9:$L$5005=$D$1)*(Transactions!$M$9:$M$5005=76)*ROW(Transactions!$L$9:$L$5005)),0))),"")</f>
        <v>2023</v>
      </c>
      <c r="N102" s="112"/>
      <c r="O102" s="245"/>
      <c r="P102" s="246"/>
      <c r="Q102" s="246"/>
      <c r="R102" s="106"/>
      <c r="S102" s="246"/>
      <c r="T102" s="247"/>
      <c r="X102" s="296" t="str" cm="1">
        <f t="array" aca="1" ref="X10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02" s="245" t="str" cm="1">
        <f t="array" aca="1" ref="Y10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02" s="246" t="str" cm="1">
        <f t="array" aca="1" ref="Z10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02" s="246" t="str" cm="1">
        <f t="array" aca="1" ref="AA10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02" s="106" t="str" cm="1">
        <f t="array" aca="1" ref="AB10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02" s="246" t="str" cm="1">
        <f t="array" aca="1" ref="AC10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02" s="247" t="str" cm="1">
        <f t="array" aca="1" ref="AD10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02" s="305" t="str" cm="1">
        <f t="array" aca="1" ref="AE10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03" spans="3:31" ht="16.5" customHeight="1" x14ac:dyDescent="0.2">
      <c r="C103" s="296">
        <f ca="1">IFERROR(IF(IFERROR(SUMPRODUCT((Transactions!$L$9:$L$5005=$D$1)*(Transactions!$M$9:$M$5005=77)*ROW(Transactions!$L$9:$L$5005)),0)=0,"",INDEX(Transactions!$C:$C,IFERROR(SUMPRODUCT((Transactions!$L$9:$L$5005=$D$1)*(Transactions!$M$9:$M$5005=77)*ROW(Transactions!$L$9:$L$5005)),0))),"")</f>
        <v>45252</v>
      </c>
      <c r="D103" s="104" t="str">
        <f ca="1">IFERROR(IF(IFERROR(SUMPRODUCT((Transactions!$L$9:$L$5005=$D$1)*(Transactions!$M$9:$M$5005=77)*ROW(Transactions!$L$9:$L$5005)),0)=0,"",INDEX(Transactions!$D:$D,IFERROR(SUMPRODUCT((Transactions!$L$9:$L$5005=$D$1)*(Transactions!$M$9:$M$5005=77)*ROW(Transactions!$L$9:$L$5005)),0))),"")</f>
        <v>Hostel Oct</v>
      </c>
      <c r="E103" s="105" t="str">
        <f ca="1">IFERROR(IF(IFERROR(SUMPRODUCT((Transactions!$L$9:$L$5005=$D$1)*(Transactions!$M$9:$M$5005=77)*ROW(Transactions!$L$9:$L$5005)),0)=0,"",INDEX(Transactions!$F:$F,IFERROR(SUMPRODUCT((Transactions!$L$9:$L$5005=$D$1)*(Transactions!$M$9:$M$5005=77)*ROW(Transactions!$L$9:$L$5005)),0))),"")</f>
        <v>Expense</v>
      </c>
      <c r="F103" s="105" t="str">
        <f ca="1">IFERROR(IF(IFERROR(SUMPRODUCT((Transactions!$L$9:$L$5005=$D$1)*(Transactions!$M$9:$M$5005=77)*ROW(Transactions!$L$9:$L$5005)),0)=0,"",INDEX(Transactions!$G:$G,IFERROR(SUMPRODUCT((Transactions!$L$9:$L$5005=$D$1)*(Transactions!$M$9:$M$5005=77)*ROW(Transactions!$L$9:$L$5005)),0))),"")</f>
        <v>Nisha</v>
      </c>
      <c r="G103" s="106">
        <f ca="1">IFERROR(IF(IFERROR(SUMPRODUCT((Transactions!$L$9:$L$5005=$D$1)*(Transactions!$M$9:$M$5005=77)*ROW(Transactions!$L$9:$L$5005)),0)=0,"",INDEX(Transactions!$H:$H,IFERROR(SUMPRODUCT((Transactions!$L$9:$L$5005=$D$1)*(Transactions!$M$9:$M$5005=77)*ROW(Transactions!$L$9:$L$5005)),0))),"")</f>
        <v>8000</v>
      </c>
      <c r="H103" s="105">
        <f ca="1">IFERROR(IF(IFERROR(SUMPRODUCT((Transactions!$L$9:$L$5005=$D$1)*(Transactions!$M$9:$M$5005=77)*ROW(Transactions!$L$9:$L$5005)),0)=0,"",INDEX(Transactions!$J:$J,IFERROR(SUMPRODUCT((Transactions!$L$9:$L$5005=$D$1)*(Transactions!$M$9:$M$5005=77)*ROW(Transactions!$L$9:$L$5005)),0))),"")</f>
        <v>0</v>
      </c>
      <c r="I103" s="104">
        <f ca="1">IFERROR(IF(IFERROR(SUMPRODUCT((Transactions!$L$9:$L$5005=$D$1)*(Transactions!$M$9:$M$5005=77)*ROW(Transactions!$L$9:$L$5005)),0)=0,"",INDEX(Transactions!$K:$K,IFERROR(SUMPRODUCT((Transactions!$L$9:$L$5005=$D$1)*(Transactions!$M$9:$M$5005=77)*ROW(Transactions!$L$9:$L$5005)),0))),"")</f>
        <v>0</v>
      </c>
      <c r="J103" s="298">
        <f ca="1">IFERROR(IF(IFERROR(SUMPRODUCT((Transactions!$L$9:$L$5005=$D$1)*(Transactions!$M$9:$M$5005=77)*ROW(Transactions!$L$9:$L$5005)),0)=0,"",INDEX(Transactions!$L:$L,IFERROR(SUMPRODUCT((Transactions!$L$9:$L$5005=$D$1)*(Transactions!$M$9:$M$5005=77)*ROW(Transactions!$L$9:$L$5005)),0))),"")</f>
        <v>2023</v>
      </c>
      <c r="N103" s="112"/>
      <c r="O103" s="245"/>
      <c r="P103" s="246"/>
      <c r="Q103" s="246"/>
      <c r="R103" s="106"/>
      <c r="S103" s="246"/>
      <c r="T103" s="247"/>
      <c r="X103" s="296" t="str" cm="1">
        <f t="array" aca="1" ref="X10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03" s="245" t="str" cm="1">
        <f t="array" aca="1" ref="Y10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03" s="246" t="str" cm="1">
        <f t="array" aca="1" ref="Z10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03" s="246" t="str" cm="1">
        <f t="array" aca="1" ref="AA10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03" s="106" t="str" cm="1">
        <f t="array" aca="1" ref="AB10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03" s="246" t="str" cm="1">
        <f t="array" aca="1" ref="AC10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03" s="247" t="str" cm="1">
        <f t="array" aca="1" ref="AD10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03" s="305" t="str" cm="1">
        <f t="array" aca="1" ref="AE10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04" spans="3:31" ht="16.5" customHeight="1" x14ac:dyDescent="0.2">
      <c r="C104" s="297">
        <f ca="1">IFERROR(IF(IFERROR(SUMPRODUCT((Transactions!$L$9:$L$5005=$D$1)*(Transactions!$M$9:$M$5005=78)*ROW(Transactions!$L$9:$L$5005)),0)=0,"",INDEX(Transactions!$C:$C,IFERROR(SUMPRODUCT((Transactions!$L$9:$L$5005=$D$1)*(Transactions!$M$9:$M$5005=78)*ROW(Transactions!$L$9:$L$5005)),0))),"")</f>
        <v>45260</v>
      </c>
      <c r="D104" s="107">
        <f ca="1">IFERROR(IF(IFERROR(SUMPRODUCT((Transactions!$L$9:$L$5005=$D$1)*(Transactions!$M$9:$M$5005=78)*ROW(Transactions!$L$9:$L$5005)),0)=0,"",INDEX(Transactions!$D:$D,IFERROR(SUMPRODUCT((Transactions!$L$9:$L$5005=$D$1)*(Transactions!$M$9:$M$5005=78)*ROW(Transactions!$L$9:$L$5005)),0))),"")</f>
        <v>45261</v>
      </c>
      <c r="E104" s="108" t="str">
        <f ca="1">IFERROR(IF(IFERROR(SUMPRODUCT((Transactions!$L$9:$L$5005=$D$1)*(Transactions!$M$9:$M$5005=78)*ROW(Transactions!$L$9:$L$5005)),0)=0,"",INDEX(Transactions!$F:$F,IFERROR(SUMPRODUCT((Transactions!$L$9:$L$5005=$D$1)*(Transactions!$M$9:$M$5005=78)*ROW(Transactions!$L$9:$L$5005)),0))),"")</f>
        <v>Expense</v>
      </c>
      <c r="F104" s="108" t="str">
        <f ca="1">IFERROR(IF(IFERROR(SUMPRODUCT((Transactions!$L$9:$L$5005=$D$1)*(Transactions!$M$9:$M$5005=78)*ROW(Transactions!$L$9:$L$5005)),0)=0,"",INDEX(Transactions!$G:$G,IFERROR(SUMPRODUCT((Transactions!$L$9:$L$5005=$D$1)*(Transactions!$M$9:$M$5005=78)*ROW(Transactions!$L$9:$L$5005)),0))),"")</f>
        <v>Pawan</v>
      </c>
      <c r="G104" s="109">
        <f ca="1">IFERROR(IF(IFERROR(SUMPRODUCT((Transactions!$L$9:$L$5005=$D$1)*(Transactions!$M$9:$M$5005=78)*ROW(Transactions!$L$9:$L$5005)),0)=0,"",INDEX(Transactions!$H:$H,IFERROR(SUMPRODUCT((Transactions!$L$9:$L$5005=$D$1)*(Transactions!$M$9:$M$5005=78)*ROW(Transactions!$L$9:$L$5005)),0))),"")</f>
        <v>4300</v>
      </c>
      <c r="H104" s="108">
        <f ca="1">IFERROR(IF(IFERROR(SUMPRODUCT((Transactions!$L$9:$L$5005=$D$1)*(Transactions!$M$9:$M$5005=78)*ROW(Transactions!$L$9:$L$5005)),0)=0,"",INDEX(Transactions!$J:$J,IFERROR(SUMPRODUCT((Transactions!$L$9:$L$5005=$D$1)*(Transactions!$M$9:$M$5005=78)*ROW(Transactions!$L$9:$L$5005)),0))),"")</f>
        <v>0</v>
      </c>
      <c r="I104" s="107">
        <f ca="1">IFERROR(IF(IFERROR(SUMPRODUCT((Transactions!$L$9:$L$5005=$D$1)*(Transactions!$M$9:$M$5005=78)*ROW(Transactions!$L$9:$L$5005)),0)=0,"",INDEX(Transactions!$K:$K,IFERROR(SUMPRODUCT((Transactions!$L$9:$L$5005=$D$1)*(Transactions!$M$9:$M$5005=78)*ROW(Transactions!$L$9:$L$5005)),0))),"")</f>
        <v>0</v>
      </c>
      <c r="J104" s="299">
        <f ca="1">IFERROR(IF(IFERROR(SUMPRODUCT((Transactions!$L$9:$L$5005=$D$1)*(Transactions!$M$9:$M$5005=78)*ROW(Transactions!$L$9:$L$5005)),0)=0,"",INDEX(Transactions!$L:$L,IFERROR(SUMPRODUCT((Transactions!$L$9:$L$5005=$D$1)*(Transactions!$M$9:$M$5005=78)*ROW(Transactions!$L$9:$L$5005)),0))),"")</f>
        <v>2023</v>
      </c>
      <c r="N104" s="112"/>
      <c r="O104" s="245"/>
      <c r="P104" s="246"/>
      <c r="Q104" s="246"/>
      <c r="R104" s="106"/>
      <c r="S104" s="246"/>
      <c r="T104" s="247"/>
      <c r="X104" s="296" t="str" cm="1">
        <f t="array" aca="1" ref="X10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04" s="245" t="str" cm="1">
        <f t="array" aca="1" ref="Y10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04" s="246" t="str" cm="1">
        <f t="array" aca="1" ref="Z10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04" s="246" t="str" cm="1">
        <f t="array" aca="1" ref="AA10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04" s="106" t="str" cm="1">
        <f t="array" aca="1" ref="AB10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04" s="246" t="str" cm="1">
        <f t="array" aca="1" ref="AC10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04" s="247" t="str" cm="1">
        <f t="array" aca="1" ref="AD10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04" s="305" t="str" cm="1">
        <f t="array" aca="1" ref="AE10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05" spans="3:31" ht="16.5" customHeight="1" x14ac:dyDescent="0.2">
      <c r="C105" s="296">
        <f ca="1">IFERROR(IF(IFERROR(SUMPRODUCT((Transactions!$L$9:$L$5005=$D$1)*(Transactions!$M$9:$M$5005=79)*ROW(Transactions!$L$9:$L$5005)),0)=0,"",INDEX(Transactions!$C:$C,IFERROR(SUMPRODUCT((Transactions!$L$9:$L$5005=$D$1)*(Transactions!$M$9:$M$5005=79)*ROW(Transactions!$L$9:$L$5005)),0))),"")</f>
        <v>45260</v>
      </c>
      <c r="D105" s="104" t="str">
        <f ca="1">IFERROR(IF(IFERROR(SUMPRODUCT((Transactions!$L$9:$L$5005=$D$1)*(Transactions!$M$9:$M$5005=79)*ROW(Transactions!$L$9:$L$5005)),0)=0,"",INDEX(Transactions!$D:$D,IFERROR(SUMPRODUCT((Transactions!$L$9:$L$5005=$D$1)*(Transactions!$M$9:$M$5005=79)*ROW(Transactions!$L$9:$L$5005)),0))),"")</f>
        <v>Cognizant Nov</v>
      </c>
      <c r="E105" s="105" t="str">
        <f ca="1">IFERROR(IF(IFERROR(SUMPRODUCT((Transactions!$L$9:$L$5005=$D$1)*(Transactions!$M$9:$M$5005=79)*ROW(Transactions!$L$9:$L$5005)),0)=0,"",INDEX(Transactions!$F:$F,IFERROR(SUMPRODUCT((Transactions!$L$9:$L$5005=$D$1)*(Transactions!$M$9:$M$5005=79)*ROW(Transactions!$L$9:$L$5005)),0))),"")</f>
        <v>Income</v>
      </c>
      <c r="F105" s="105" t="str">
        <f ca="1">IFERROR(IF(IFERROR(SUMPRODUCT((Transactions!$L$9:$L$5005=$D$1)*(Transactions!$M$9:$M$5005=79)*ROW(Transactions!$L$9:$L$5005)),0)=0,"",INDEX(Transactions!$G:$G,IFERROR(SUMPRODUCT((Transactions!$L$9:$L$5005=$D$1)*(Transactions!$M$9:$M$5005=79)*ROW(Transactions!$L$9:$L$5005)),0))),"")</f>
        <v>Salary</v>
      </c>
      <c r="G105" s="106">
        <f ca="1">IFERROR(IF(IFERROR(SUMPRODUCT((Transactions!$L$9:$L$5005=$D$1)*(Transactions!$M$9:$M$5005=79)*ROW(Transactions!$L$9:$L$5005)),0)=0,"",INDEX(Transactions!$H:$H,IFERROR(SUMPRODUCT((Transactions!$L$9:$L$5005=$D$1)*(Transactions!$M$9:$M$5005=79)*ROW(Transactions!$L$9:$L$5005)),0))),"")</f>
        <v>34000</v>
      </c>
      <c r="H105" s="105">
        <f ca="1">IFERROR(IF(IFERROR(SUMPRODUCT((Transactions!$L$9:$L$5005=$D$1)*(Transactions!$M$9:$M$5005=79)*ROW(Transactions!$L$9:$L$5005)),0)=0,"",INDEX(Transactions!$J:$J,IFERROR(SUMPRODUCT((Transactions!$L$9:$L$5005=$D$1)*(Transactions!$M$9:$M$5005=79)*ROW(Transactions!$L$9:$L$5005)),0))),"")</f>
        <v>0</v>
      </c>
      <c r="I105" s="104">
        <f ca="1">IFERROR(IF(IFERROR(SUMPRODUCT((Transactions!$L$9:$L$5005=$D$1)*(Transactions!$M$9:$M$5005=79)*ROW(Transactions!$L$9:$L$5005)),0)=0,"",INDEX(Transactions!$K:$K,IFERROR(SUMPRODUCT((Transactions!$L$9:$L$5005=$D$1)*(Transactions!$M$9:$M$5005=79)*ROW(Transactions!$L$9:$L$5005)),0))),"")</f>
        <v>0</v>
      </c>
      <c r="J105" s="298">
        <f ca="1">IFERROR(IF(IFERROR(SUMPRODUCT((Transactions!$L$9:$L$5005=$D$1)*(Transactions!$M$9:$M$5005=79)*ROW(Transactions!$L$9:$L$5005)),0)=0,"",INDEX(Transactions!$L:$L,IFERROR(SUMPRODUCT((Transactions!$L$9:$L$5005=$D$1)*(Transactions!$M$9:$M$5005=79)*ROW(Transactions!$L$9:$L$5005)),0))),"")</f>
        <v>2023</v>
      </c>
      <c r="N105" s="112"/>
      <c r="O105" s="245"/>
      <c r="P105" s="246"/>
      <c r="Q105" s="246"/>
      <c r="R105" s="106"/>
      <c r="S105" s="246"/>
      <c r="T105" s="247"/>
      <c r="X105" s="296" t="str" cm="1">
        <f t="array" aca="1" ref="X10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05" s="245" t="str" cm="1">
        <f t="array" aca="1" ref="Y10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05" s="246" t="str" cm="1">
        <f t="array" aca="1" ref="Z10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05" s="246" t="str" cm="1">
        <f t="array" aca="1" ref="AA10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05" s="106" t="str" cm="1">
        <f t="array" aca="1" ref="AB10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05" s="246" t="str" cm="1">
        <f t="array" aca="1" ref="AC10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05" s="247" t="str" cm="1">
        <f t="array" aca="1" ref="AD10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05" s="305" t="str" cm="1">
        <f t="array" aca="1" ref="AE10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06" spans="3:31" ht="16.5" customHeight="1" x14ac:dyDescent="0.2">
      <c r="C106" s="297">
        <f ca="1">IFERROR(IF(IFERROR(SUMPRODUCT((Transactions!$L$9:$L$5005=$D$1)*(Transactions!$M$9:$M$5005=80)*ROW(Transactions!$L$9:$L$5005)),0)=0,"",INDEX(Transactions!$C:$C,IFERROR(SUMPRODUCT((Transactions!$L$9:$L$5005=$D$1)*(Transactions!$M$9:$M$5005=80)*ROW(Transactions!$L$9:$L$5005)),0))),"")</f>
        <v>45263</v>
      </c>
      <c r="D106" s="107" t="str">
        <f ca="1">IFERROR(IF(IFERROR(SUMPRODUCT((Transactions!$L$9:$L$5005=$D$1)*(Transactions!$M$9:$M$5005=80)*ROW(Transactions!$L$9:$L$5005)),0)=0,"",INDEX(Transactions!$D:$D,IFERROR(SUMPRODUCT((Transactions!$L$9:$L$5005=$D$1)*(Transactions!$M$9:$M$5005=80)*ROW(Transactions!$L$9:$L$5005)),0))),"")</f>
        <v>MBA9</v>
      </c>
      <c r="E106" s="108" t="str">
        <f ca="1">IFERROR(IF(IFERROR(SUMPRODUCT((Transactions!$L$9:$L$5005=$D$1)*(Transactions!$M$9:$M$5005=80)*ROW(Transactions!$L$9:$L$5005)),0)=0,"",INDEX(Transactions!$F:$F,IFERROR(SUMPRODUCT((Transactions!$L$9:$L$5005=$D$1)*(Transactions!$M$9:$M$5005=80)*ROW(Transactions!$L$9:$L$5005)),0))),"")</f>
        <v>Expense</v>
      </c>
      <c r="F106" s="108" t="str">
        <f ca="1">IFERROR(IF(IFERROR(SUMPRODUCT((Transactions!$L$9:$L$5005=$D$1)*(Transactions!$M$9:$M$5005=80)*ROW(Transactions!$L$9:$L$5005)),0)=0,"",INDEX(Transactions!$G:$G,IFERROR(SUMPRODUCT((Transactions!$L$9:$L$5005=$D$1)*(Transactions!$M$9:$M$5005=80)*ROW(Transactions!$L$9:$L$5005)),0))),"")</f>
        <v>Ed LOAN</v>
      </c>
      <c r="G106" s="109">
        <f ca="1">IFERROR(IF(IFERROR(SUMPRODUCT((Transactions!$L$9:$L$5005=$D$1)*(Transactions!$M$9:$M$5005=80)*ROW(Transactions!$L$9:$L$5005)),0)=0,"",INDEX(Transactions!$H:$H,IFERROR(SUMPRODUCT((Transactions!$L$9:$L$5005=$D$1)*(Transactions!$M$9:$M$5005=80)*ROW(Transactions!$L$9:$L$5005)),0))),"")</f>
        <v>6881</v>
      </c>
      <c r="H106" s="108">
        <f ca="1">IFERROR(IF(IFERROR(SUMPRODUCT((Transactions!$L$9:$L$5005=$D$1)*(Transactions!$M$9:$M$5005=80)*ROW(Transactions!$L$9:$L$5005)),0)=0,"",INDEX(Transactions!$J:$J,IFERROR(SUMPRODUCT((Transactions!$L$9:$L$5005=$D$1)*(Transactions!$M$9:$M$5005=80)*ROW(Transactions!$L$9:$L$5005)),0))),"")</f>
        <v>0</v>
      </c>
      <c r="I106" s="107">
        <f ca="1">IFERROR(IF(IFERROR(SUMPRODUCT((Transactions!$L$9:$L$5005=$D$1)*(Transactions!$M$9:$M$5005=80)*ROW(Transactions!$L$9:$L$5005)),0)=0,"",INDEX(Transactions!$K:$K,IFERROR(SUMPRODUCT((Transactions!$L$9:$L$5005=$D$1)*(Transactions!$M$9:$M$5005=80)*ROW(Transactions!$L$9:$L$5005)),0))),"")</f>
        <v>0</v>
      </c>
      <c r="J106" s="299">
        <f ca="1">IFERROR(IF(IFERROR(SUMPRODUCT((Transactions!$L$9:$L$5005=$D$1)*(Transactions!$M$9:$M$5005=80)*ROW(Transactions!$L$9:$L$5005)),0)=0,"",INDEX(Transactions!$L:$L,IFERROR(SUMPRODUCT((Transactions!$L$9:$L$5005=$D$1)*(Transactions!$M$9:$M$5005=80)*ROW(Transactions!$L$9:$L$5005)),0))),"")</f>
        <v>2023</v>
      </c>
      <c r="N106" s="112"/>
      <c r="O106" s="245"/>
      <c r="P106" s="246"/>
      <c r="Q106" s="246"/>
      <c r="R106" s="106"/>
      <c r="S106" s="246"/>
      <c r="T106" s="247"/>
      <c r="X106" s="296" t="str" cm="1">
        <f t="array" aca="1" ref="X10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06" s="245" t="str" cm="1">
        <f t="array" aca="1" ref="Y10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06" s="246" t="str" cm="1">
        <f t="array" aca="1" ref="Z10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06" s="246" t="str" cm="1">
        <f t="array" aca="1" ref="AA10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06" s="106" t="str" cm="1">
        <f t="array" aca="1" ref="AB10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06" s="246" t="str" cm="1">
        <f t="array" aca="1" ref="AC10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06" s="247" t="str" cm="1">
        <f t="array" aca="1" ref="AD10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06" s="305" t="str" cm="1">
        <f t="array" aca="1" ref="AE10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07" spans="3:31" ht="16.5" customHeight="1" x14ac:dyDescent="0.2">
      <c r="C107" s="296">
        <f ca="1">IFERROR(IF(IFERROR(SUMPRODUCT((Transactions!$L$9:$L$5005=$D$1)*(Transactions!$M$9:$M$5005=81)*ROW(Transactions!$L$9:$L$5005)),0)=0,"",INDEX(Transactions!$C:$C,IFERROR(SUMPRODUCT((Transactions!$L$9:$L$5005=$D$1)*(Transactions!$M$9:$M$5005=81)*ROW(Transactions!$L$9:$L$5005)),0))),"")</f>
        <v>45270</v>
      </c>
      <c r="D107" s="104" t="str">
        <f ca="1">IFERROR(IF(IFERROR(SUMPRODUCT((Transactions!$L$9:$L$5005=$D$1)*(Transactions!$M$9:$M$5005=81)*ROW(Transactions!$L$9:$L$5005)),0)=0,"",INDEX(Transactions!$D:$D,IFERROR(SUMPRODUCT((Transactions!$L$9:$L$5005=$D$1)*(Transactions!$M$9:$M$5005=81)*ROW(Transactions!$L$9:$L$5005)),0))),"")</f>
        <v>Dec</v>
      </c>
      <c r="E107" s="105" t="str">
        <f ca="1">IFERROR(IF(IFERROR(SUMPRODUCT((Transactions!$L$9:$L$5005=$D$1)*(Transactions!$M$9:$M$5005=81)*ROW(Transactions!$L$9:$L$5005)),0)=0,"",INDEX(Transactions!$F:$F,IFERROR(SUMPRODUCT((Transactions!$L$9:$L$5005=$D$1)*(Transactions!$M$9:$M$5005=81)*ROW(Transactions!$L$9:$L$5005)),0))),"")</f>
        <v>Investment</v>
      </c>
      <c r="F107" s="105" t="str">
        <f ca="1">IFERROR(IF(IFERROR(SUMPRODUCT((Transactions!$L$9:$L$5005=$D$1)*(Transactions!$M$9:$M$5005=81)*ROW(Transactions!$L$9:$L$5005)),0)=0,"",INDEX(Transactions!$G:$G,IFERROR(SUMPRODUCT((Transactions!$L$9:$L$5005=$D$1)*(Transactions!$M$9:$M$5005=81)*ROW(Transactions!$L$9:$L$5005)),0))),"")</f>
        <v>Saving</v>
      </c>
      <c r="G107" s="106">
        <f ca="1">IFERROR(IF(IFERROR(SUMPRODUCT((Transactions!$L$9:$L$5005=$D$1)*(Transactions!$M$9:$M$5005=81)*ROW(Transactions!$L$9:$L$5005)),0)=0,"",INDEX(Transactions!$H:$H,IFERROR(SUMPRODUCT((Transactions!$L$9:$L$5005=$D$1)*(Transactions!$M$9:$M$5005=81)*ROW(Transactions!$L$9:$L$5005)),0))),"")</f>
        <v>1376</v>
      </c>
      <c r="H107" s="105">
        <f ca="1">IFERROR(IF(IFERROR(SUMPRODUCT((Transactions!$L$9:$L$5005=$D$1)*(Transactions!$M$9:$M$5005=81)*ROW(Transactions!$L$9:$L$5005)),0)=0,"",INDEX(Transactions!$J:$J,IFERROR(SUMPRODUCT((Transactions!$L$9:$L$5005=$D$1)*(Transactions!$M$9:$M$5005=81)*ROW(Transactions!$L$9:$L$5005)),0))),"")</f>
        <v>0</v>
      </c>
      <c r="I107" s="104">
        <f ca="1">IFERROR(IF(IFERROR(SUMPRODUCT((Transactions!$L$9:$L$5005=$D$1)*(Transactions!$M$9:$M$5005=81)*ROW(Transactions!$L$9:$L$5005)),0)=0,"",INDEX(Transactions!$K:$K,IFERROR(SUMPRODUCT((Transactions!$L$9:$L$5005=$D$1)*(Transactions!$M$9:$M$5005=81)*ROW(Transactions!$L$9:$L$5005)),0))),"")</f>
        <v>0</v>
      </c>
      <c r="J107" s="298">
        <f ca="1">IFERROR(IF(IFERROR(SUMPRODUCT((Transactions!$L$9:$L$5005=$D$1)*(Transactions!$M$9:$M$5005=81)*ROW(Transactions!$L$9:$L$5005)),0)=0,"",INDEX(Transactions!$L:$L,IFERROR(SUMPRODUCT((Transactions!$L$9:$L$5005=$D$1)*(Transactions!$M$9:$M$5005=81)*ROW(Transactions!$L$9:$L$5005)),0))),"")</f>
        <v>2023</v>
      </c>
      <c r="N107" s="112"/>
      <c r="O107" s="245"/>
      <c r="P107" s="246"/>
      <c r="Q107" s="246"/>
      <c r="R107" s="106"/>
      <c r="S107" s="246"/>
      <c r="T107" s="247"/>
      <c r="X107" s="296" t="str" cm="1">
        <f t="array" aca="1" ref="X10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07" s="245" t="str" cm="1">
        <f t="array" aca="1" ref="Y10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07" s="246" t="str" cm="1">
        <f t="array" aca="1" ref="Z10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07" s="246" t="str" cm="1">
        <f t="array" aca="1" ref="AA10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07" s="106" t="str" cm="1">
        <f t="array" aca="1" ref="AB10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07" s="246" t="str" cm="1">
        <f t="array" aca="1" ref="AC10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07" s="247" t="str" cm="1">
        <f t="array" aca="1" ref="AD10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07" s="305" t="str" cm="1">
        <f t="array" aca="1" ref="AE10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08" spans="3:31" ht="16.5" customHeight="1" x14ac:dyDescent="0.2">
      <c r="C108" s="297">
        <f ca="1">IFERROR(IF(IFERROR(SUMPRODUCT((Transactions!$L$9:$L$5005=$D$1)*(Transactions!$M$9:$M$5005=82)*ROW(Transactions!$L$9:$L$5005)),0)=0,"",INDEX(Transactions!$C:$C,IFERROR(SUMPRODUCT((Transactions!$L$9:$L$5005=$D$1)*(Transactions!$M$9:$M$5005=82)*ROW(Transactions!$L$9:$L$5005)),0))),"")</f>
        <v>45278</v>
      </c>
      <c r="D108" s="107" t="str">
        <f ca="1">IFERROR(IF(IFERROR(SUMPRODUCT((Transactions!$L$9:$L$5005=$D$1)*(Transactions!$M$9:$M$5005=82)*ROW(Transactions!$L$9:$L$5005)),0)=0,"",INDEX(Transactions!$D:$D,IFERROR(SUMPRODUCT((Transactions!$L$9:$L$5005=$D$1)*(Transactions!$M$9:$M$5005=82)*ROW(Transactions!$L$9:$L$5005)),0))),"")</f>
        <v>Chanda</v>
      </c>
      <c r="E108" s="108" t="str">
        <f ca="1">IFERROR(IF(IFERROR(SUMPRODUCT((Transactions!$L$9:$L$5005=$D$1)*(Transactions!$M$9:$M$5005=82)*ROW(Transactions!$L$9:$L$5005)),0)=0,"",INDEX(Transactions!$F:$F,IFERROR(SUMPRODUCT((Transactions!$L$9:$L$5005=$D$1)*(Transactions!$M$9:$M$5005=82)*ROW(Transactions!$L$9:$L$5005)),0))),"")</f>
        <v>Expense</v>
      </c>
      <c r="F108" s="108" t="str">
        <f ca="1">IFERROR(IF(IFERROR(SUMPRODUCT((Transactions!$L$9:$L$5005=$D$1)*(Transactions!$M$9:$M$5005=82)*ROW(Transactions!$L$9:$L$5005)),0)=0,"",INDEX(Transactions!$G:$G,IFERROR(SUMPRODUCT((Transactions!$L$9:$L$5005=$D$1)*(Transactions!$M$9:$M$5005=82)*ROW(Transactions!$L$9:$L$5005)),0))),"")</f>
        <v>Rajan</v>
      </c>
      <c r="G108" s="109">
        <f ca="1">IFERROR(IF(IFERROR(SUMPRODUCT((Transactions!$L$9:$L$5005=$D$1)*(Transactions!$M$9:$M$5005=82)*ROW(Transactions!$L$9:$L$5005)),0)=0,"",INDEX(Transactions!$H:$H,IFERROR(SUMPRODUCT((Transactions!$L$9:$L$5005=$D$1)*(Transactions!$M$9:$M$5005=82)*ROW(Transactions!$L$9:$L$5005)),0))),"")</f>
        <v>501</v>
      </c>
      <c r="H108" s="108">
        <f ca="1">IFERROR(IF(IFERROR(SUMPRODUCT((Transactions!$L$9:$L$5005=$D$1)*(Transactions!$M$9:$M$5005=82)*ROW(Transactions!$L$9:$L$5005)),0)=0,"",INDEX(Transactions!$J:$J,IFERROR(SUMPRODUCT((Transactions!$L$9:$L$5005=$D$1)*(Transactions!$M$9:$M$5005=82)*ROW(Transactions!$L$9:$L$5005)),0))),"")</f>
        <v>0</v>
      </c>
      <c r="I108" s="107">
        <f ca="1">IFERROR(IF(IFERROR(SUMPRODUCT((Transactions!$L$9:$L$5005=$D$1)*(Transactions!$M$9:$M$5005=82)*ROW(Transactions!$L$9:$L$5005)),0)=0,"",INDEX(Transactions!$K:$K,IFERROR(SUMPRODUCT((Transactions!$L$9:$L$5005=$D$1)*(Transactions!$M$9:$M$5005=82)*ROW(Transactions!$L$9:$L$5005)),0))),"")</f>
        <v>0</v>
      </c>
      <c r="J108" s="299">
        <f ca="1">IFERROR(IF(IFERROR(SUMPRODUCT((Transactions!$L$9:$L$5005=$D$1)*(Transactions!$M$9:$M$5005=82)*ROW(Transactions!$L$9:$L$5005)),0)=0,"",INDEX(Transactions!$L:$L,IFERROR(SUMPRODUCT((Transactions!$L$9:$L$5005=$D$1)*(Transactions!$M$9:$M$5005=82)*ROW(Transactions!$L$9:$L$5005)),0))),"")</f>
        <v>2023</v>
      </c>
      <c r="N108" s="112"/>
      <c r="O108" s="245"/>
      <c r="P108" s="246"/>
      <c r="Q108" s="246"/>
      <c r="R108" s="106"/>
      <c r="S108" s="246"/>
      <c r="T108" s="247"/>
      <c r="X108" s="296" t="str" cm="1">
        <f t="array" aca="1" ref="X10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08" s="245" t="str" cm="1">
        <f t="array" aca="1" ref="Y10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08" s="246" t="str" cm="1">
        <f t="array" aca="1" ref="Z10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08" s="246" t="str" cm="1">
        <f t="array" aca="1" ref="AA10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08" s="106" t="str" cm="1">
        <f t="array" aca="1" ref="AB10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08" s="246" t="str" cm="1">
        <f t="array" aca="1" ref="AC10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08" s="247" t="str" cm="1">
        <f t="array" aca="1" ref="AD10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08" s="305" t="str" cm="1">
        <f t="array" aca="1" ref="AE10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09" spans="3:31" ht="16.5" customHeight="1" x14ac:dyDescent="0.2">
      <c r="C109" s="296">
        <f ca="1">IFERROR(IF(IFERROR(SUMPRODUCT((Transactions!$L$9:$L$5005=$D$1)*(Transactions!$M$9:$M$5005=83)*ROW(Transactions!$L$9:$L$5005)),0)=0,"",INDEX(Transactions!$C:$C,IFERROR(SUMPRODUCT((Transactions!$L$9:$L$5005=$D$1)*(Transactions!$M$9:$M$5005=83)*ROW(Transactions!$L$9:$L$5005)),0))),"")</f>
        <v>45280</v>
      </c>
      <c r="D109" s="104" t="str">
        <f ca="1">IFERROR(IF(IFERROR(SUMPRODUCT((Transactions!$L$9:$L$5005=$D$1)*(Transactions!$M$9:$M$5005=83)*ROW(Transactions!$L$9:$L$5005)),0)=0,"",INDEX(Transactions!$D:$D,IFERROR(SUMPRODUCT((Transactions!$L$9:$L$5005=$D$1)*(Transactions!$M$9:$M$5005=83)*ROW(Transactions!$L$9:$L$5005)),0))),"")</f>
        <v>Hostel Nov- Dec23</v>
      </c>
      <c r="E109" s="105" t="str">
        <f ca="1">IFERROR(IF(IFERROR(SUMPRODUCT((Transactions!$L$9:$L$5005=$D$1)*(Transactions!$M$9:$M$5005=83)*ROW(Transactions!$L$9:$L$5005)),0)=0,"",INDEX(Transactions!$F:$F,IFERROR(SUMPRODUCT((Transactions!$L$9:$L$5005=$D$1)*(Transactions!$M$9:$M$5005=83)*ROW(Transactions!$L$9:$L$5005)),0))),"")</f>
        <v>Expense</v>
      </c>
      <c r="F109" s="105" t="str">
        <f ca="1">IFERROR(IF(IFERROR(SUMPRODUCT((Transactions!$L$9:$L$5005=$D$1)*(Transactions!$M$9:$M$5005=83)*ROW(Transactions!$L$9:$L$5005)),0)=0,"",INDEX(Transactions!$G:$G,IFERROR(SUMPRODUCT((Transactions!$L$9:$L$5005=$D$1)*(Transactions!$M$9:$M$5005=83)*ROW(Transactions!$L$9:$L$5005)),0))),"")</f>
        <v>Nisha</v>
      </c>
      <c r="G109" s="106">
        <f ca="1">IFERROR(IF(IFERROR(SUMPRODUCT((Transactions!$L$9:$L$5005=$D$1)*(Transactions!$M$9:$M$5005=83)*ROW(Transactions!$L$9:$L$5005)),0)=0,"",INDEX(Transactions!$H:$H,IFERROR(SUMPRODUCT((Transactions!$L$9:$L$5005=$D$1)*(Transactions!$M$9:$M$5005=83)*ROW(Transactions!$L$9:$L$5005)),0))),"")</f>
        <v>16000</v>
      </c>
      <c r="H109" s="105">
        <f ca="1">IFERROR(IF(IFERROR(SUMPRODUCT((Transactions!$L$9:$L$5005=$D$1)*(Transactions!$M$9:$M$5005=83)*ROW(Transactions!$L$9:$L$5005)),0)=0,"",INDEX(Transactions!$J:$J,IFERROR(SUMPRODUCT((Transactions!$L$9:$L$5005=$D$1)*(Transactions!$M$9:$M$5005=83)*ROW(Transactions!$L$9:$L$5005)),0))),"")</f>
        <v>0</v>
      </c>
      <c r="I109" s="104">
        <f ca="1">IFERROR(IF(IFERROR(SUMPRODUCT((Transactions!$L$9:$L$5005=$D$1)*(Transactions!$M$9:$M$5005=83)*ROW(Transactions!$L$9:$L$5005)),0)=0,"",INDEX(Transactions!$K:$K,IFERROR(SUMPRODUCT((Transactions!$L$9:$L$5005=$D$1)*(Transactions!$M$9:$M$5005=83)*ROW(Transactions!$L$9:$L$5005)),0))),"")</f>
        <v>0</v>
      </c>
      <c r="J109" s="298">
        <f ca="1">IFERROR(IF(IFERROR(SUMPRODUCT((Transactions!$L$9:$L$5005=$D$1)*(Transactions!$M$9:$M$5005=83)*ROW(Transactions!$L$9:$L$5005)),0)=0,"",INDEX(Transactions!$L:$L,IFERROR(SUMPRODUCT((Transactions!$L$9:$L$5005=$D$1)*(Transactions!$M$9:$M$5005=83)*ROW(Transactions!$L$9:$L$5005)),0))),"")</f>
        <v>2023</v>
      </c>
      <c r="N109" s="112"/>
      <c r="O109" s="245"/>
      <c r="P109" s="246"/>
      <c r="Q109" s="246"/>
      <c r="R109" s="106"/>
      <c r="S109" s="246"/>
      <c r="T109" s="247"/>
      <c r="X109" s="296" t="str" cm="1">
        <f t="array" aca="1" ref="X10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09" s="245" t="str" cm="1">
        <f t="array" aca="1" ref="Y10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09" s="246" t="str" cm="1">
        <f t="array" aca="1" ref="Z10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09" s="246" t="str" cm="1">
        <f t="array" aca="1" ref="AA10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09" s="106" t="str" cm="1">
        <f t="array" aca="1" ref="AB10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09" s="246" t="str" cm="1">
        <f t="array" aca="1" ref="AC10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09" s="247" t="str" cm="1">
        <f t="array" aca="1" ref="AD10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09" s="305" t="str" cm="1">
        <f t="array" aca="1" ref="AE10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10" spans="3:31" ht="16.5" customHeight="1" x14ac:dyDescent="0.2">
      <c r="C110" s="297">
        <f ca="1">IFERROR(IF(IFERROR(SUMPRODUCT((Transactions!$L$9:$L$5005=$D$1)*(Transactions!$M$9:$M$5005=84)*ROW(Transactions!$L$9:$L$5005)),0)=0,"",INDEX(Transactions!$C:$C,IFERROR(SUMPRODUCT((Transactions!$L$9:$L$5005=$D$1)*(Transactions!$M$9:$M$5005=84)*ROW(Transactions!$L$9:$L$5005)),0))),"")</f>
        <v>45281</v>
      </c>
      <c r="D110" s="107" t="str">
        <f ca="1">IFERROR(IF(IFERROR(SUMPRODUCT((Transactions!$L$9:$L$5005=$D$1)*(Transactions!$M$9:$M$5005=84)*ROW(Transactions!$L$9:$L$5005)),0)=0,"",INDEX(Transactions!$D:$D,IFERROR(SUMPRODUCT((Transactions!$L$9:$L$5005=$D$1)*(Transactions!$M$9:$M$5005=84)*ROW(Transactions!$L$9:$L$5005)),0))),"")</f>
        <v>E draw flat</v>
      </c>
      <c r="E110" s="108" t="str">
        <f ca="1">IFERROR(IF(IFERROR(SUMPRODUCT((Transactions!$L$9:$L$5005=$D$1)*(Transactions!$M$9:$M$5005=84)*ROW(Transactions!$L$9:$L$5005)),0)=0,"",INDEX(Transactions!$F:$F,IFERROR(SUMPRODUCT((Transactions!$L$9:$L$5005=$D$1)*(Transactions!$M$9:$M$5005=84)*ROW(Transactions!$L$9:$L$5005)),0))),"")</f>
        <v>Expense</v>
      </c>
      <c r="F110" s="108" t="str">
        <f ca="1">IFERROR(IF(IFERROR(SUMPRODUCT((Transactions!$L$9:$L$5005=$D$1)*(Transactions!$M$9:$M$5005=84)*ROW(Transactions!$L$9:$L$5005)),0)=0,"",INDEX(Transactions!$G:$G,IFERROR(SUMPRODUCT((Transactions!$L$9:$L$5005=$D$1)*(Transactions!$M$9:$M$5005=84)*ROW(Transactions!$L$9:$L$5005)),0))),"")</f>
        <v>Home</v>
      </c>
      <c r="G110" s="109">
        <f ca="1">IFERROR(IF(IFERROR(SUMPRODUCT((Transactions!$L$9:$L$5005=$D$1)*(Transactions!$M$9:$M$5005=84)*ROW(Transactions!$L$9:$L$5005)),0)=0,"",INDEX(Transactions!$H:$H,IFERROR(SUMPRODUCT((Transactions!$L$9:$L$5005=$D$1)*(Transactions!$M$9:$M$5005=84)*ROW(Transactions!$L$9:$L$5005)),0))),"")</f>
        <v>1180</v>
      </c>
      <c r="H110" s="108">
        <f ca="1">IFERROR(IF(IFERROR(SUMPRODUCT((Transactions!$L$9:$L$5005=$D$1)*(Transactions!$M$9:$M$5005=84)*ROW(Transactions!$L$9:$L$5005)),0)=0,"",INDEX(Transactions!$J:$J,IFERROR(SUMPRODUCT((Transactions!$L$9:$L$5005=$D$1)*(Transactions!$M$9:$M$5005=84)*ROW(Transactions!$L$9:$L$5005)),0))),"")</f>
        <v>0</v>
      </c>
      <c r="I110" s="107">
        <f ca="1">IFERROR(IF(IFERROR(SUMPRODUCT((Transactions!$L$9:$L$5005=$D$1)*(Transactions!$M$9:$M$5005=84)*ROW(Transactions!$L$9:$L$5005)),0)=0,"",INDEX(Transactions!$K:$K,IFERROR(SUMPRODUCT((Transactions!$L$9:$L$5005=$D$1)*(Transactions!$M$9:$M$5005=84)*ROW(Transactions!$L$9:$L$5005)),0))),"")</f>
        <v>0</v>
      </c>
      <c r="J110" s="299">
        <f ca="1">IFERROR(IF(IFERROR(SUMPRODUCT((Transactions!$L$9:$L$5005=$D$1)*(Transactions!$M$9:$M$5005=84)*ROW(Transactions!$L$9:$L$5005)),0)=0,"",INDEX(Transactions!$L:$L,IFERROR(SUMPRODUCT((Transactions!$L$9:$L$5005=$D$1)*(Transactions!$M$9:$M$5005=84)*ROW(Transactions!$L$9:$L$5005)),0))),"")</f>
        <v>2023</v>
      </c>
      <c r="N110" s="112"/>
      <c r="O110" s="245"/>
      <c r="P110" s="246"/>
      <c r="Q110" s="246"/>
      <c r="R110" s="106"/>
      <c r="S110" s="246"/>
      <c r="T110" s="247"/>
      <c r="X110" s="296" t="str" cm="1">
        <f t="array" aca="1" ref="X11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10" s="245" t="str" cm="1">
        <f t="array" aca="1" ref="Y11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10" s="246" t="str" cm="1">
        <f t="array" aca="1" ref="Z11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10" s="246" t="str" cm="1">
        <f t="array" aca="1" ref="AA11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10" s="106" t="str" cm="1">
        <f t="array" aca="1" ref="AB11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10" s="246" t="str" cm="1">
        <f t="array" aca="1" ref="AC11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10" s="247" t="str" cm="1">
        <f t="array" aca="1" ref="AD11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10" s="305" t="str" cm="1">
        <f t="array" aca="1" ref="AE11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11" spans="3:31" ht="16.5" customHeight="1" x14ac:dyDescent="0.2">
      <c r="C111" s="296">
        <f ca="1">IFERROR(IF(IFERROR(SUMPRODUCT((Transactions!$L$9:$L$5005=$D$1)*(Transactions!$M$9:$M$5005=85)*ROW(Transactions!$L$9:$L$5005)),0)=0,"",INDEX(Transactions!$C:$C,IFERROR(SUMPRODUCT((Transactions!$L$9:$L$5005=$D$1)*(Transactions!$M$9:$M$5005=85)*ROW(Transactions!$L$9:$L$5005)),0))),"")</f>
        <v>45282</v>
      </c>
      <c r="D111" s="104">
        <f ca="1">IFERROR(IF(IFERROR(SUMPRODUCT((Transactions!$L$9:$L$5005=$D$1)*(Transactions!$M$9:$M$5005=85)*ROW(Transactions!$L$9:$L$5005)),0)=0,"",INDEX(Transactions!$D:$D,IFERROR(SUMPRODUCT((Transactions!$L$9:$L$5005=$D$1)*(Transactions!$M$9:$M$5005=85)*ROW(Transactions!$L$9:$L$5005)),0))),"")</f>
        <v>45261</v>
      </c>
      <c r="E111" s="105" t="str">
        <f ca="1">IFERROR(IF(IFERROR(SUMPRODUCT((Transactions!$L$9:$L$5005=$D$1)*(Transactions!$M$9:$M$5005=85)*ROW(Transactions!$L$9:$L$5005)),0)=0,"",INDEX(Transactions!$F:$F,IFERROR(SUMPRODUCT((Transactions!$L$9:$L$5005=$D$1)*(Transactions!$M$9:$M$5005=85)*ROW(Transactions!$L$9:$L$5005)),0))),"")</f>
        <v>Expense</v>
      </c>
      <c r="F111" s="105" t="str">
        <f ca="1">IFERROR(IF(IFERROR(SUMPRODUCT((Transactions!$L$9:$L$5005=$D$1)*(Transactions!$M$9:$M$5005=85)*ROW(Transactions!$L$9:$L$5005)),0)=0,"",INDEX(Transactions!$G:$G,IFERROR(SUMPRODUCT((Transactions!$L$9:$L$5005=$D$1)*(Transactions!$M$9:$M$5005=85)*ROW(Transactions!$L$9:$L$5005)),0))),"")</f>
        <v>Pawan</v>
      </c>
      <c r="G111" s="106">
        <f ca="1">IFERROR(IF(IFERROR(SUMPRODUCT((Transactions!$L$9:$L$5005=$D$1)*(Transactions!$M$9:$M$5005=85)*ROW(Transactions!$L$9:$L$5005)),0)=0,"",INDEX(Transactions!$H:$H,IFERROR(SUMPRODUCT((Transactions!$L$9:$L$5005=$D$1)*(Transactions!$M$9:$M$5005=85)*ROW(Transactions!$L$9:$L$5005)),0))),"")</f>
        <v>1000</v>
      </c>
      <c r="H111" s="105">
        <f ca="1">IFERROR(IF(IFERROR(SUMPRODUCT((Transactions!$L$9:$L$5005=$D$1)*(Transactions!$M$9:$M$5005=85)*ROW(Transactions!$L$9:$L$5005)),0)=0,"",INDEX(Transactions!$J:$J,IFERROR(SUMPRODUCT((Transactions!$L$9:$L$5005=$D$1)*(Transactions!$M$9:$M$5005=85)*ROW(Transactions!$L$9:$L$5005)),0))),"")</f>
        <v>0</v>
      </c>
      <c r="I111" s="104">
        <f ca="1">IFERROR(IF(IFERROR(SUMPRODUCT((Transactions!$L$9:$L$5005=$D$1)*(Transactions!$M$9:$M$5005=85)*ROW(Transactions!$L$9:$L$5005)),0)=0,"",INDEX(Transactions!$K:$K,IFERROR(SUMPRODUCT((Transactions!$L$9:$L$5005=$D$1)*(Transactions!$M$9:$M$5005=85)*ROW(Transactions!$L$9:$L$5005)),0))),"")</f>
        <v>0</v>
      </c>
      <c r="J111" s="298">
        <f ca="1">IFERROR(IF(IFERROR(SUMPRODUCT((Transactions!$L$9:$L$5005=$D$1)*(Transactions!$M$9:$M$5005=85)*ROW(Transactions!$L$9:$L$5005)),0)=0,"",INDEX(Transactions!$L:$L,IFERROR(SUMPRODUCT((Transactions!$L$9:$L$5005=$D$1)*(Transactions!$M$9:$M$5005=85)*ROW(Transactions!$L$9:$L$5005)),0))),"")</f>
        <v>2023</v>
      </c>
      <c r="N111" s="112"/>
      <c r="O111" s="245"/>
      <c r="P111" s="246"/>
      <c r="Q111" s="246"/>
      <c r="R111" s="106"/>
      <c r="S111" s="246"/>
      <c r="T111" s="247"/>
      <c r="X111" s="296" t="str" cm="1">
        <f t="array" aca="1" ref="X11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11" s="245" t="str" cm="1">
        <f t="array" aca="1" ref="Y11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11" s="246" t="str" cm="1">
        <f t="array" aca="1" ref="Z11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11" s="246" t="str" cm="1">
        <f t="array" aca="1" ref="AA11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11" s="106" t="str" cm="1">
        <f t="array" aca="1" ref="AB11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11" s="246" t="str" cm="1">
        <f t="array" aca="1" ref="AC11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11" s="247" t="str" cm="1">
        <f t="array" aca="1" ref="AD11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11" s="305" t="str" cm="1">
        <f t="array" aca="1" ref="AE11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12" spans="3:31" ht="16.5" customHeight="1" x14ac:dyDescent="0.2">
      <c r="C112" s="297">
        <f ca="1">IFERROR(IF(IFERROR(SUMPRODUCT((Transactions!$L$9:$L$5005=$D$1)*(Transactions!$M$9:$M$5005=86)*ROW(Transactions!$L$9:$L$5005)),0)=0,"",INDEX(Transactions!$C:$C,IFERROR(SUMPRODUCT((Transactions!$L$9:$L$5005=$D$1)*(Transactions!$M$9:$M$5005=86)*ROW(Transactions!$L$9:$L$5005)),0))),"")</f>
        <v>45283</v>
      </c>
      <c r="D112" s="107" t="str">
        <f ca="1">IFERROR(IF(IFERROR(SUMPRODUCT((Transactions!$L$9:$L$5005=$D$1)*(Transactions!$M$9:$M$5005=86)*ROW(Transactions!$L$9:$L$5005)),0)=0,"",INDEX(Transactions!$D:$D,IFERROR(SUMPRODUCT((Transactions!$L$9:$L$5005=$D$1)*(Transactions!$M$9:$M$5005=86)*ROW(Transactions!$L$9:$L$5005)),0))),"")</f>
        <v>Dec-jan</v>
      </c>
      <c r="E112" s="108" t="str">
        <f ca="1">IFERROR(IF(IFERROR(SUMPRODUCT((Transactions!$L$9:$L$5005=$D$1)*(Transactions!$M$9:$M$5005=86)*ROW(Transactions!$L$9:$L$5005)),0)=0,"",INDEX(Transactions!$F:$F,IFERROR(SUMPRODUCT((Transactions!$L$9:$L$5005=$D$1)*(Transactions!$M$9:$M$5005=86)*ROW(Transactions!$L$9:$L$5005)),0))),"")</f>
        <v>Expense</v>
      </c>
      <c r="F112" s="108" t="str">
        <f ca="1">IFERROR(IF(IFERROR(SUMPRODUCT((Transactions!$L$9:$L$5005=$D$1)*(Transactions!$M$9:$M$5005=86)*ROW(Transactions!$L$9:$L$5005)),0)=0,"",INDEX(Transactions!$G:$G,IFERROR(SUMPRODUCT((Transactions!$L$9:$L$5005=$D$1)*(Transactions!$M$9:$M$5005=86)*ROW(Transactions!$L$9:$L$5005)),0))),"")</f>
        <v>Nisha</v>
      </c>
      <c r="G112" s="109">
        <f ca="1">IFERROR(IF(IFERROR(SUMPRODUCT((Transactions!$L$9:$L$5005=$D$1)*(Transactions!$M$9:$M$5005=86)*ROW(Transactions!$L$9:$L$5005)),0)=0,"",INDEX(Transactions!$H:$H,IFERROR(SUMPRODUCT((Transactions!$L$9:$L$5005=$D$1)*(Transactions!$M$9:$M$5005=86)*ROW(Transactions!$L$9:$L$5005)),0))),"")</f>
        <v>1500</v>
      </c>
      <c r="H112" s="108">
        <f ca="1">IFERROR(IF(IFERROR(SUMPRODUCT((Transactions!$L$9:$L$5005=$D$1)*(Transactions!$M$9:$M$5005=86)*ROW(Transactions!$L$9:$L$5005)),0)=0,"",INDEX(Transactions!$J:$J,IFERROR(SUMPRODUCT((Transactions!$L$9:$L$5005=$D$1)*(Transactions!$M$9:$M$5005=86)*ROW(Transactions!$L$9:$L$5005)),0))),"")</f>
        <v>0</v>
      </c>
      <c r="I112" s="107">
        <f ca="1">IFERROR(IF(IFERROR(SUMPRODUCT((Transactions!$L$9:$L$5005=$D$1)*(Transactions!$M$9:$M$5005=86)*ROW(Transactions!$L$9:$L$5005)),0)=0,"",INDEX(Transactions!$K:$K,IFERROR(SUMPRODUCT((Transactions!$L$9:$L$5005=$D$1)*(Transactions!$M$9:$M$5005=86)*ROW(Transactions!$L$9:$L$5005)),0))),"")</f>
        <v>0</v>
      </c>
      <c r="J112" s="299">
        <f ca="1">IFERROR(IF(IFERROR(SUMPRODUCT((Transactions!$L$9:$L$5005=$D$1)*(Transactions!$M$9:$M$5005=86)*ROW(Transactions!$L$9:$L$5005)),0)=0,"",INDEX(Transactions!$L:$L,IFERROR(SUMPRODUCT((Transactions!$L$9:$L$5005=$D$1)*(Transactions!$M$9:$M$5005=86)*ROW(Transactions!$L$9:$L$5005)),0))),"")</f>
        <v>2023</v>
      </c>
      <c r="N112" s="112"/>
      <c r="O112" s="245"/>
      <c r="P112" s="246"/>
      <c r="Q112" s="246"/>
      <c r="R112" s="106"/>
      <c r="S112" s="246"/>
      <c r="T112" s="247"/>
      <c r="X112" s="296" t="str" cm="1">
        <f t="array" aca="1" ref="X11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12" s="245" t="str" cm="1">
        <f t="array" aca="1" ref="Y11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12" s="246" t="str" cm="1">
        <f t="array" aca="1" ref="Z11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12" s="246" t="str" cm="1">
        <f t="array" aca="1" ref="AA11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12" s="106" t="str" cm="1">
        <f t="array" aca="1" ref="AB11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12" s="246" t="str" cm="1">
        <f t="array" aca="1" ref="AC11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12" s="247" t="str" cm="1">
        <f t="array" aca="1" ref="AD11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12" s="305" t="str" cm="1">
        <f t="array" aca="1" ref="AE11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13" spans="3:31" ht="16.5" customHeight="1" x14ac:dyDescent="0.2">
      <c r="C113" s="296">
        <f ca="1">IFERROR(IF(IFERROR(SUMPRODUCT((Transactions!$L$9:$L$5005=$D$1)*(Transactions!$M$9:$M$5005=87)*ROW(Transactions!$L$9:$L$5005)),0)=0,"",INDEX(Transactions!$C:$C,IFERROR(SUMPRODUCT((Transactions!$L$9:$L$5005=$D$1)*(Transactions!$M$9:$M$5005=87)*ROW(Transactions!$L$9:$L$5005)),0))),"")</f>
        <v>45291</v>
      </c>
      <c r="D113" s="104" t="str">
        <f ca="1">IFERROR(IF(IFERROR(SUMPRODUCT((Transactions!$L$9:$L$5005=$D$1)*(Transactions!$M$9:$M$5005=87)*ROW(Transactions!$L$9:$L$5005)),0)=0,"",INDEX(Transactions!$D:$D,IFERROR(SUMPRODUCT((Transactions!$L$9:$L$5005=$D$1)*(Transactions!$M$9:$M$5005=87)*ROW(Transactions!$L$9:$L$5005)),0))),"")</f>
        <v>Paytm</v>
      </c>
      <c r="E113" s="105" t="str">
        <f ca="1">IFERROR(IF(IFERROR(SUMPRODUCT((Transactions!$L$9:$L$5005=$D$1)*(Transactions!$M$9:$M$5005=87)*ROW(Transactions!$L$9:$L$5005)),0)=0,"",INDEX(Transactions!$F:$F,IFERROR(SUMPRODUCT((Transactions!$L$9:$L$5005=$D$1)*(Transactions!$M$9:$M$5005=87)*ROW(Transactions!$L$9:$L$5005)),0))),"")</f>
        <v>Expense</v>
      </c>
      <c r="F113" s="105" t="str">
        <f ca="1">IFERROR(IF(IFERROR(SUMPRODUCT((Transactions!$L$9:$L$5005=$D$1)*(Transactions!$M$9:$M$5005=87)*ROW(Transactions!$L$9:$L$5005)),0)=0,"",INDEX(Transactions!$G:$G,IFERROR(SUMPRODUCT((Transactions!$L$9:$L$5005=$D$1)*(Transactions!$M$9:$M$5005=87)*ROW(Transactions!$L$9:$L$5005)),0))),"")</f>
        <v>Delhi</v>
      </c>
      <c r="G113" s="106">
        <f ca="1">IFERROR(IF(IFERROR(SUMPRODUCT((Transactions!$L$9:$L$5005=$D$1)*(Transactions!$M$9:$M$5005=87)*ROW(Transactions!$L$9:$L$5005)),0)=0,"",INDEX(Transactions!$H:$H,IFERROR(SUMPRODUCT((Transactions!$L$9:$L$5005=$D$1)*(Transactions!$M$9:$M$5005=87)*ROW(Transactions!$L$9:$L$5005)),0))),"")</f>
        <v>8050</v>
      </c>
      <c r="H113" s="105">
        <f ca="1">IFERROR(IF(IFERROR(SUMPRODUCT((Transactions!$L$9:$L$5005=$D$1)*(Transactions!$M$9:$M$5005=87)*ROW(Transactions!$L$9:$L$5005)),0)=0,"",INDEX(Transactions!$J:$J,IFERROR(SUMPRODUCT((Transactions!$L$9:$L$5005=$D$1)*(Transactions!$M$9:$M$5005=87)*ROW(Transactions!$L$9:$L$5005)),0))),"")</f>
        <v>0</v>
      </c>
      <c r="I113" s="104">
        <f ca="1">IFERROR(IF(IFERROR(SUMPRODUCT((Transactions!$L$9:$L$5005=$D$1)*(Transactions!$M$9:$M$5005=87)*ROW(Transactions!$L$9:$L$5005)),0)=0,"",INDEX(Transactions!$K:$K,IFERROR(SUMPRODUCT((Transactions!$L$9:$L$5005=$D$1)*(Transactions!$M$9:$M$5005=87)*ROW(Transactions!$L$9:$L$5005)),0))),"")</f>
        <v>0</v>
      </c>
      <c r="J113" s="298">
        <f ca="1">IFERROR(IF(IFERROR(SUMPRODUCT((Transactions!$L$9:$L$5005=$D$1)*(Transactions!$M$9:$M$5005=87)*ROW(Transactions!$L$9:$L$5005)),0)=0,"",INDEX(Transactions!$L:$L,IFERROR(SUMPRODUCT((Transactions!$L$9:$L$5005=$D$1)*(Transactions!$M$9:$M$5005=87)*ROW(Transactions!$L$9:$L$5005)),0))),"")</f>
        <v>2023</v>
      </c>
      <c r="N113" s="112"/>
      <c r="O113" s="245"/>
      <c r="P113" s="246"/>
      <c r="Q113" s="246"/>
      <c r="R113" s="106"/>
      <c r="S113" s="246"/>
      <c r="T113" s="247"/>
      <c r="X113" s="296" t="str" cm="1">
        <f t="array" aca="1" ref="X11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13" s="245" t="str" cm="1">
        <f t="array" aca="1" ref="Y11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13" s="246" t="str" cm="1">
        <f t="array" aca="1" ref="Z11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13" s="246" t="str" cm="1">
        <f t="array" aca="1" ref="AA11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13" s="106" t="str" cm="1">
        <f t="array" aca="1" ref="AB11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13" s="246" t="str" cm="1">
        <f t="array" aca="1" ref="AC11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13" s="247" t="str" cm="1">
        <f t="array" aca="1" ref="AD11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13" s="305" t="str" cm="1">
        <f t="array" aca="1" ref="AE11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14" spans="3:31" ht="16.5" customHeight="1" x14ac:dyDescent="0.2">
      <c r="C114" s="297">
        <f ca="1">IFERROR(IF(IFERROR(SUMPRODUCT((Transactions!$L$9:$L$5005=$D$1)*(Transactions!$M$9:$M$5005=88)*ROW(Transactions!$L$9:$L$5005)),0)=0,"",INDEX(Transactions!$C:$C,IFERROR(SUMPRODUCT((Transactions!$L$9:$L$5005=$D$1)*(Transactions!$M$9:$M$5005=88)*ROW(Transactions!$L$9:$L$5005)),0))),"")</f>
        <v>45291</v>
      </c>
      <c r="D114" s="107" t="str">
        <f ca="1">IFERROR(IF(IFERROR(SUMPRODUCT((Transactions!$L$9:$L$5005=$D$1)*(Transactions!$M$9:$M$5005=88)*ROW(Transactions!$L$9:$L$5005)),0)=0,"",INDEX(Transactions!$D:$D,IFERROR(SUMPRODUCT((Transactions!$L$9:$L$5005=$D$1)*(Transactions!$M$9:$M$5005=88)*ROW(Transactions!$L$9:$L$5005)),0))),"")</f>
        <v>Credit Card</v>
      </c>
      <c r="E114" s="108" t="str">
        <f ca="1">IFERROR(IF(IFERROR(SUMPRODUCT((Transactions!$L$9:$L$5005=$D$1)*(Transactions!$M$9:$M$5005=88)*ROW(Transactions!$L$9:$L$5005)),0)=0,"",INDEX(Transactions!$F:$F,IFERROR(SUMPRODUCT((Transactions!$L$9:$L$5005=$D$1)*(Transactions!$M$9:$M$5005=88)*ROW(Transactions!$L$9:$L$5005)),0))),"")</f>
        <v>Expense</v>
      </c>
      <c r="F114" s="108" t="str">
        <f ca="1">IFERROR(IF(IFERROR(SUMPRODUCT((Transactions!$L$9:$L$5005=$D$1)*(Transactions!$M$9:$M$5005=88)*ROW(Transactions!$L$9:$L$5005)),0)=0,"",INDEX(Transactions!$G:$G,IFERROR(SUMPRODUCT((Transactions!$L$9:$L$5005=$D$1)*(Transactions!$M$9:$M$5005=88)*ROW(Transactions!$L$9:$L$5005)),0))),"")</f>
        <v>Delhi</v>
      </c>
      <c r="G114" s="109">
        <f ca="1">IFERROR(IF(IFERROR(SUMPRODUCT((Transactions!$L$9:$L$5005=$D$1)*(Transactions!$M$9:$M$5005=88)*ROW(Transactions!$L$9:$L$5005)),0)=0,"",INDEX(Transactions!$H:$H,IFERROR(SUMPRODUCT((Transactions!$L$9:$L$5005=$D$1)*(Transactions!$M$9:$M$5005=88)*ROW(Transactions!$L$9:$L$5005)),0))),"")</f>
        <v>2435</v>
      </c>
      <c r="H114" s="108">
        <f ca="1">IFERROR(IF(IFERROR(SUMPRODUCT((Transactions!$L$9:$L$5005=$D$1)*(Transactions!$M$9:$M$5005=88)*ROW(Transactions!$L$9:$L$5005)),0)=0,"",INDEX(Transactions!$J:$J,IFERROR(SUMPRODUCT((Transactions!$L$9:$L$5005=$D$1)*(Transactions!$M$9:$M$5005=88)*ROW(Transactions!$L$9:$L$5005)),0))),"")</f>
        <v>0</v>
      </c>
      <c r="I114" s="107">
        <f ca="1">IFERROR(IF(IFERROR(SUMPRODUCT((Transactions!$L$9:$L$5005=$D$1)*(Transactions!$M$9:$M$5005=88)*ROW(Transactions!$L$9:$L$5005)),0)=0,"",INDEX(Transactions!$K:$K,IFERROR(SUMPRODUCT((Transactions!$L$9:$L$5005=$D$1)*(Transactions!$M$9:$M$5005=88)*ROW(Transactions!$L$9:$L$5005)),0))),"")</f>
        <v>0</v>
      </c>
      <c r="J114" s="299">
        <f ca="1">IFERROR(IF(IFERROR(SUMPRODUCT((Transactions!$L$9:$L$5005=$D$1)*(Transactions!$M$9:$M$5005=88)*ROW(Transactions!$L$9:$L$5005)),0)=0,"",INDEX(Transactions!$L:$L,IFERROR(SUMPRODUCT((Transactions!$L$9:$L$5005=$D$1)*(Transactions!$M$9:$M$5005=88)*ROW(Transactions!$L$9:$L$5005)),0))),"")</f>
        <v>2023</v>
      </c>
      <c r="N114" s="112"/>
      <c r="O114" s="245"/>
      <c r="P114" s="246"/>
      <c r="Q114" s="246"/>
      <c r="R114" s="106"/>
      <c r="S114" s="246"/>
      <c r="T114" s="247"/>
      <c r="X114" s="296" t="str" cm="1">
        <f t="array" aca="1" ref="X11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14" s="245" t="str" cm="1">
        <f t="array" aca="1" ref="Y11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14" s="246" t="str" cm="1">
        <f t="array" aca="1" ref="Z11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14" s="246" t="str" cm="1">
        <f t="array" aca="1" ref="AA11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14" s="106" t="str" cm="1">
        <f t="array" aca="1" ref="AB11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14" s="246" t="str" cm="1">
        <f t="array" aca="1" ref="AC11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14" s="247" t="str" cm="1">
        <f t="array" aca="1" ref="AD11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14" s="305" t="str" cm="1">
        <f t="array" aca="1" ref="AE11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15" spans="3:31" ht="16.5" customHeight="1" x14ac:dyDescent="0.2">
      <c r="C115" s="296">
        <f ca="1">IFERROR(IF(IFERROR(SUMPRODUCT((Transactions!$L$9:$L$5005=$D$1)*(Transactions!$M$9:$M$5005=89)*ROW(Transactions!$L$9:$L$5005)),0)=0,"",INDEX(Transactions!$C:$C,IFERROR(SUMPRODUCT((Transactions!$L$9:$L$5005=$D$1)*(Transactions!$M$9:$M$5005=89)*ROW(Transactions!$L$9:$L$5005)),0))),"")</f>
        <v>45291</v>
      </c>
      <c r="D115" s="104" t="str">
        <f ca="1">IFERROR(IF(IFERROR(SUMPRODUCT((Transactions!$L$9:$L$5005=$D$1)*(Transactions!$M$9:$M$5005=89)*ROW(Transactions!$L$9:$L$5005)),0)=0,"",INDEX(Transactions!$D:$D,IFERROR(SUMPRODUCT((Transactions!$L$9:$L$5005=$D$1)*(Transactions!$M$9:$M$5005=89)*ROW(Transactions!$L$9:$L$5005)),0))),"")</f>
        <v>Cognizant Dec</v>
      </c>
      <c r="E115" s="105" t="str">
        <f ca="1">IFERROR(IF(IFERROR(SUMPRODUCT((Transactions!$L$9:$L$5005=$D$1)*(Transactions!$M$9:$M$5005=89)*ROW(Transactions!$L$9:$L$5005)),0)=0,"",INDEX(Transactions!$F:$F,IFERROR(SUMPRODUCT((Transactions!$L$9:$L$5005=$D$1)*(Transactions!$M$9:$M$5005=89)*ROW(Transactions!$L$9:$L$5005)),0))),"")</f>
        <v>Income</v>
      </c>
      <c r="F115" s="105" t="str">
        <f ca="1">IFERROR(IF(IFERROR(SUMPRODUCT((Transactions!$L$9:$L$5005=$D$1)*(Transactions!$M$9:$M$5005=89)*ROW(Transactions!$L$9:$L$5005)),0)=0,"",INDEX(Transactions!$G:$G,IFERROR(SUMPRODUCT((Transactions!$L$9:$L$5005=$D$1)*(Transactions!$M$9:$M$5005=89)*ROW(Transactions!$L$9:$L$5005)),0))),"")</f>
        <v>Salary</v>
      </c>
      <c r="G115" s="106">
        <f ca="1">IFERROR(IF(IFERROR(SUMPRODUCT((Transactions!$L$9:$L$5005=$D$1)*(Transactions!$M$9:$M$5005=89)*ROW(Transactions!$L$9:$L$5005)),0)=0,"",INDEX(Transactions!$H:$H,IFERROR(SUMPRODUCT((Transactions!$L$9:$L$5005=$D$1)*(Transactions!$M$9:$M$5005=89)*ROW(Transactions!$L$9:$L$5005)),0))),"")</f>
        <v>34000</v>
      </c>
      <c r="H115" s="105">
        <f ca="1">IFERROR(IF(IFERROR(SUMPRODUCT((Transactions!$L$9:$L$5005=$D$1)*(Transactions!$M$9:$M$5005=89)*ROW(Transactions!$L$9:$L$5005)),0)=0,"",INDEX(Transactions!$J:$J,IFERROR(SUMPRODUCT((Transactions!$L$9:$L$5005=$D$1)*(Transactions!$M$9:$M$5005=89)*ROW(Transactions!$L$9:$L$5005)),0))),"")</f>
        <v>0</v>
      </c>
      <c r="I115" s="104">
        <f ca="1">IFERROR(IF(IFERROR(SUMPRODUCT((Transactions!$L$9:$L$5005=$D$1)*(Transactions!$M$9:$M$5005=89)*ROW(Transactions!$L$9:$L$5005)),0)=0,"",INDEX(Transactions!$K:$K,IFERROR(SUMPRODUCT((Transactions!$L$9:$L$5005=$D$1)*(Transactions!$M$9:$M$5005=89)*ROW(Transactions!$L$9:$L$5005)),0))),"")</f>
        <v>0</v>
      </c>
      <c r="J115" s="298">
        <f ca="1">IFERROR(IF(IFERROR(SUMPRODUCT((Transactions!$L$9:$L$5005=$D$1)*(Transactions!$M$9:$M$5005=89)*ROW(Transactions!$L$9:$L$5005)),0)=0,"",INDEX(Transactions!$L:$L,IFERROR(SUMPRODUCT((Transactions!$L$9:$L$5005=$D$1)*(Transactions!$M$9:$M$5005=89)*ROW(Transactions!$L$9:$L$5005)),0))),"")</f>
        <v>2023</v>
      </c>
      <c r="N115" s="112"/>
      <c r="O115" s="245"/>
      <c r="P115" s="246"/>
      <c r="Q115" s="246"/>
      <c r="R115" s="106"/>
      <c r="S115" s="246"/>
      <c r="T115" s="247"/>
      <c r="X115" s="296" t="str" cm="1">
        <f t="array" aca="1" ref="X11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15" s="245" t="str" cm="1">
        <f t="array" aca="1" ref="Y11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15" s="246" t="str" cm="1">
        <f t="array" aca="1" ref="Z11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15" s="246" t="str" cm="1">
        <f t="array" aca="1" ref="AA11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15" s="106" t="str" cm="1">
        <f t="array" aca="1" ref="AB11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15" s="246" t="str" cm="1">
        <f t="array" aca="1" ref="AC11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15" s="247" t="str" cm="1">
        <f t="array" aca="1" ref="AD11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15" s="305" t="str" cm="1">
        <f t="array" aca="1" ref="AE11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16" spans="3:31" ht="16.5" customHeight="1" x14ac:dyDescent="0.2">
      <c r="C116" s="297">
        <f ca="1">IFERROR(IF(IFERROR(SUMPRODUCT((Transactions!$L$9:$L$5005=$D$1)*(Transactions!$M$9:$M$5005=90)*ROW(Transactions!$L$9:$L$5005)),0)=0,"",INDEX(Transactions!$C:$C,IFERROR(SUMPRODUCT((Transactions!$L$9:$L$5005=$D$1)*(Transactions!$M$9:$M$5005=90)*ROW(Transactions!$L$9:$L$5005)),0))),"")</f>
        <v>45294</v>
      </c>
      <c r="D116" s="107" t="str">
        <f ca="1">IFERROR(IF(IFERROR(SUMPRODUCT((Transactions!$L$9:$L$5005=$D$1)*(Transactions!$M$9:$M$5005=90)*ROW(Transactions!$L$9:$L$5005)),0)=0,"",INDEX(Transactions!$D:$D,IFERROR(SUMPRODUCT((Transactions!$L$9:$L$5005=$D$1)*(Transactions!$M$9:$M$5005=90)*ROW(Transactions!$L$9:$L$5005)),0))),"")</f>
        <v>MBA10</v>
      </c>
      <c r="E116" s="108" t="str">
        <f ca="1">IFERROR(IF(IFERROR(SUMPRODUCT((Transactions!$L$9:$L$5005=$D$1)*(Transactions!$M$9:$M$5005=90)*ROW(Transactions!$L$9:$L$5005)),0)=0,"",INDEX(Transactions!$F:$F,IFERROR(SUMPRODUCT((Transactions!$L$9:$L$5005=$D$1)*(Transactions!$M$9:$M$5005=90)*ROW(Transactions!$L$9:$L$5005)),0))),"")</f>
        <v>Expense</v>
      </c>
      <c r="F116" s="108" t="str">
        <f ca="1">IFERROR(IF(IFERROR(SUMPRODUCT((Transactions!$L$9:$L$5005=$D$1)*(Transactions!$M$9:$M$5005=90)*ROW(Transactions!$L$9:$L$5005)),0)=0,"",INDEX(Transactions!$G:$G,IFERROR(SUMPRODUCT((Transactions!$L$9:$L$5005=$D$1)*(Transactions!$M$9:$M$5005=90)*ROW(Transactions!$L$9:$L$5005)),0))),"")</f>
        <v>Ed LOAN</v>
      </c>
      <c r="G116" s="109">
        <f ca="1">IFERROR(IF(IFERROR(SUMPRODUCT((Transactions!$L$9:$L$5005=$D$1)*(Transactions!$M$9:$M$5005=90)*ROW(Transactions!$L$9:$L$5005)),0)=0,"",INDEX(Transactions!$H:$H,IFERROR(SUMPRODUCT((Transactions!$L$9:$L$5005=$D$1)*(Transactions!$M$9:$M$5005=90)*ROW(Transactions!$L$9:$L$5005)),0))),"")</f>
        <v>6881</v>
      </c>
      <c r="H116" s="108">
        <f ca="1">IFERROR(IF(IFERROR(SUMPRODUCT((Transactions!$L$9:$L$5005=$D$1)*(Transactions!$M$9:$M$5005=90)*ROW(Transactions!$L$9:$L$5005)),0)=0,"",INDEX(Transactions!$J:$J,IFERROR(SUMPRODUCT((Transactions!$L$9:$L$5005=$D$1)*(Transactions!$M$9:$M$5005=90)*ROW(Transactions!$L$9:$L$5005)),0))),"")</f>
        <v>0</v>
      </c>
      <c r="I116" s="107">
        <f ca="1">IFERROR(IF(IFERROR(SUMPRODUCT((Transactions!$L$9:$L$5005=$D$1)*(Transactions!$M$9:$M$5005=90)*ROW(Transactions!$L$9:$L$5005)),0)=0,"",INDEX(Transactions!$K:$K,IFERROR(SUMPRODUCT((Transactions!$L$9:$L$5005=$D$1)*(Transactions!$M$9:$M$5005=90)*ROW(Transactions!$L$9:$L$5005)),0))),"")</f>
        <v>0</v>
      </c>
      <c r="J116" s="299">
        <f ca="1">IFERROR(IF(IFERROR(SUMPRODUCT((Transactions!$L$9:$L$5005=$D$1)*(Transactions!$M$9:$M$5005=90)*ROW(Transactions!$L$9:$L$5005)),0)=0,"",INDEX(Transactions!$L:$L,IFERROR(SUMPRODUCT((Transactions!$L$9:$L$5005=$D$1)*(Transactions!$M$9:$M$5005=90)*ROW(Transactions!$L$9:$L$5005)),0))),"")</f>
        <v>2023</v>
      </c>
      <c r="N116" s="112"/>
      <c r="O116" s="245"/>
      <c r="P116" s="246"/>
      <c r="Q116" s="246"/>
      <c r="R116" s="106"/>
      <c r="S116" s="246"/>
      <c r="T116" s="247"/>
      <c r="X116" s="296" t="str" cm="1">
        <f t="array" aca="1" ref="X11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16" s="245" t="str" cm="1">
        <f t="array" aca="1" ref="Y11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16" s="246" t="str" cm="1">
        <f t="array" aca="1" ref="Z11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16" s="246" t="str" cm="1">
        <f t="array" aca="1" ref="AA11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16" s="106" t="str" cm="1">
        <f t="array" aca="1" ref="AB11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16" s="246" t="str" cm="1">
        <f t="array" aca="1" ref="AC11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16" s="247" t="str" cm="1">
        <f t="array" aca="1" ref="AD11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16" s="305" t="str" cm="1">
        <f t="array" aca="1" ref="AE11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17" spans="3:31" ht="16.5" customHeight="1" x14ac:dyDescent="0.2">
      <c r="C117" s="296">
        <f ca="1">IFERROR(IF(IFERROR(SUMPRODUCT((Transactions!$L$9:$L$5005=$D$1)*(Transactions!$M$9:$M$5005=91)*ROW(Transactions!$L$9:$L$5005)),0)=0,"",INDEX(Transactions!$C:$C,IFERROR(SUMPRODUCT((Transactions!$L$9:$L$5005=$D$1)*(Transactions!$M$9:$M$5005=91)*ROW(Transactions!$L$9:$L$5005)),0))),"")</f>
        <v>45299</v>
      </c>
      <c r="D117" s="104">
        <f ca="1">IFERROR(IF(IFERROR(SUMPRODUCT((Transactions!$L$9:$L$5005=$D$1)*(Transactions!$M$9:$M$5005=91)*ROW(Transactions!$L$9:$L$5005)),0)=0,"",INDEX(Transactions!$D:$D,IFERROR(SUMPRODUCT((Transactions!$L$9:$L$5005=$D$1)*(Transactions!$M$9:$M$5005=91)*ROW(Transactions!$L$9:$L$5005)),0))),"")</f>
        <v>45292</v>
      </c>
      <c r="E117" s="105" t="str">
        <f ca="1">IFERROR(IF(IFERROR(SUMPRODUCT((Transactions!$L$9:$L$5005=$D$1)*(Transactions!$M$9:$M$5005=91)*ROW(Transactions!$L$9:$L$5005)),0)=0,"",INDEX(Transactions!$F:$F,IFERROR(SUMPRODUCT((Transactions!$L$9:$L$5005=$D$1)*(Transactions!$M$9:$M$5005=91)*ROW(Transactions!$L$9:$L$5005)),0))),"")</f>
        <v>Expense</v>
      </c>
      <c r="F117" s="105" t="str">
        <f ca="1">IFERROR(IF(IFERROR(SUMPRODUCT((Transactions!$L$9:$L$5005=$D$1)*(Transactions!$M$9:$M$5005=91)*ROW(Transactions!$L$9:$L$5005)),0)=0,"",INDEX(Transactions!$G:$G,IFERROR(SUMPRODUCT((Transactions!$L$9:$L$5005=$D$1)*(Transactions!$M$9:$M$5005=91)*ROW(Transactions!$L$9:$L$5005)),0))),"")</f>
        <v>Pawan</v>
      </c>
      <c r="G117" s="106">
        <f ca="1">IFERROR(IF(IFERROR(SUMPRODUCT((Transactions!$L$9:$L$5005=$D$1)*(Transactions!$M$9:$M$5005=91)*ROW(Transactions!$L$9:$L$5005)),0)=0,"",INDEX(Transactions!$H:$H,IFERROR(SUMPRODUCT((Transactions!$L$9:$L$5005=$D$1)*(Transactions!$M$9:$M$5005=91)*ROW(Transactions!$L$9:$L$5005)),0))),"")</f>
        <v>4000</v>
      </c>
      <c r="H117" s="105">
        <f ca="1">IFERROR(IF(IFERROR(SUMPRODUCT((Transactions!$L$9:$L$5005=$D$1)*(Transactions!$M$9:$M$5005=91)*ROW(Transactions!$L$9:$L$5005)),0)=0,"",INDEX(Transactions!$J:$J,IFERROR(SUMPRODUCT((Transactions!$L$9:$L$5005=$D$1)*(Transactions!$M$9:$M$5005=91)*ROW(Transactions!$L$9:$L$5005)),0))),"")</f>
        <v>0</v>
      </c>
      <c r="I117" s="104">
        <f ca="1">IFERROR(IF(IFERROR(SUMPRODUCT((Transactions!$L$9:$L$5005=$D$1)*(Transactions!$M$9:$M$5005=91)*ROW(Transactions!$L$9:$L$5005)),0)=0,"",INDEX(Transactions!$K:$K,IFERROR(SUMPRODUCT((Transactions!$L$9:$L$5005=$D$1)*(Transactions!$M$9:$M$5005=91)*ROW(Transactions!$L$9:$L$5005)),0))),"")</f>
        <v>0</v>
      </c>
      <c r="J117" s="298">
        <f ca="1">IFERROR(IF(IFERROR(SUMPRODUCT((Transactions!$L$9:$L$5005=$D$1)*(Transactions!$M$9:$M$5005=91)*ROW(Transactions!$L$9:$L$5005)),0)=0,"",INDEX(Transactions!$L:$L,IFERROR(SUMPRODUCT((Transactions!$L$9:$L$5005=$D$1)*(Transactions!$M$9:$M$5005=91)*ROW(Transactions!$L$9:$L$5005)),0))),"")</f>
        <v>2023</v>
      </c>
      <c r="N117" s="112"/>
      <c r="O117" s="245"/>
      <c r="P117" s="246"/>
      <c r="Q117" s="246"/>
      <c r="R117" s="106"/>
      <c r="S117" s="246"/>
      <c r="T117" s="247"/>
      <c r="X117" s="296" t="str" cm="1">
        <f t="array" aca="1" ref="X11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17" s="245" t="str" cm="1">
        <f t="array" aca="1" ref="Y11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17" s="246" t="str" cm="1">
        <f t="array" aca="1" ref="Z11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17" s="246" t="str" cm="1">
        <f t="array" aca="1" ref="AA11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17" s="106" t="str" cm="1">
        <f t="array" aca="1" ref="AB11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17" s="246" t="str" cm="1">
        <f t="array" aca="1" ref="AC11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17" s="247" t="str" cm="1">
        <f t="array" aca="1" ref="AD11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17" s="305" t="str" cm="1">
        <f t="array" aca="1" ref="AE11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18" spans="3:31" ht="16.5" customHeight="1" x14ac:dyDescent="0.2">
      <c r="C118" s="297">
        <f ca="1">IFERROR(IF(IFERROR(SUMPRODUCT((Transactions!$L$9:$L$5005=$D$1)*(Transactions!$M$9:$M$5005=92)*ROW(Transactions!$L$9:$L$5005)),0)=0,"",INDEX(Transactions!$C:$C,IFERROR(SUMPRODUCT((Transactions!$L$9:$L$5005=$D$1)*(Transactions!$M$9:$M$5005=92)*ROW(Transactions!$L$9:$L$5005)),0))),"")</f>
        <v>45301</v>
      </c>
      <c r="D118" s="107" t="str">
        <f ca="1">IFERROR(IF(IFERROR(SUMPRODUCT((Transactions!$L$9:$L$5005=$D$1)*(Transactions!$M$9:$M$5005=92)*ROW(Transactions!$L$9:$L$5005)),0)=0,"",INDEX(Transactions!$D:$D,IFERROR(SUMPRODUCT((Transactions!$L$9:$L$5005=$D$1)*(Transactions!$M$9:$M$5005=92)*ROW(Transactions!$L$9:$L$5005)),0))),"")</f>
        <v>Jan</v>
      </c>
      <c r="E118" s="108" t="str">
        <f ca="1">IFERROR(IF(IFERROR(SUMPRODUCT((Transactions!$L$9:$L$5005=$D$1)*(Transactions!$M$9:$M$5005=92)*ROW(Transactions!$L$9:$L$5005)),0)=0,"",INDEX(Transactions!$F:$F,IFERROR(SUMPRODUCT((Transactions!$L$9:$L$5005=$D$1)*(Transactions!$M$9:$M$5005=92)*ROW(Transactions!$L$9:$L$5005)),0))),"")</f>
        <v>Investment</v>
      </c>
      <c r="F118" s="108" t="str">
        <f ca="1">IFERROR(IF(IFERROR(SUMPRODUCT((Transactions!$L$9:$L$5005=$D$1)*(Transactions!$M$9:$M$5005=92)*ROW(Transactions!$L$9:$L$5005)),0)=0,"",INDEX(Transactions!$G:$G,IFERROR(SUMPRODUCT((Transactions!$L$9:$L$5005=$D$1)*(Transactions!$M$9:$M$5005=92)*ROW(Transactions!$L$9:$L$5005)),0))),"")</f>
        <v>Saving</v>
      </c>
      <c r="G118" s="109">
        <f ca="1">IFERROR(IF(IFERROR(SUMPRODUCT((Transactions!$L$9:$L$5005=$D$1)*(Transactions!$M$9:$M$5005=92)*ROW(Transactions!$L$9:$L$5005)),0)=0,"",INDEX(Transactions!$H:$H,IFERROR(SUMPRODUCT((Transactions!$L$9:$L$5005=$D$1)*(Transactions!$M$9:$M$5005=92)*ROW(Transactions!$L$9:$L$5005)),0))),"")</f>
        <v>1376</v>
      </c>
      <c r="H118" s="108">
        <f ca="1">IFERROR(IF(IFERROR(SUMPRODUCT((Transactions!$L$9:$L$5005=$D$1)*(Transactions!$M$9:$M$5005=92)*ROW(Transactions!$L$9:$L$5005)),0)=0,"",INDEX(Transactions!$J:$J,IFERROR(SUMPRODUCT((Transactions!$L$9:$L$5005=$D$1)*(Transactions!$M$9:$M$5005=92)*ROW(Transactions!$L$9:$L$5005)),0))),"")</f>
        <v>0</v>
      </c>
      <c r="I118" s="107">
        <f ca="1">IFERROR(IF(IFERROR(SUMPRODUCT((Transactions!$L$9:$L$5005=$D$1)*(Transactions!$M$9:$M$5005=92)*ROW(Transactions!$L$9:$L$5005)),0)=0,"",INDEX(Transactions!$K:$K,IFERROR(SUMPRODUCT((Transactions!$L$9:$L$5005=$D$1)*(Transactions!$M$9:$M$5005=92)*ROW(Transactions!$L$9:$L$5005)),0))),"")</f>
        <v>0</v>
      </c>
      <c r="J118" s="299">
        <f ca="1">IFERROR(IF(IFERROR(SUMPRODUCT((Transactions!$L$9:$L$5005=$D$1)*(Transactions!$M$9:$M$5005=92)*ROW(Transactions!$L$9:$L$5005)),0)=0,"",INDEX(Transactions!$L:$L,IFERROR(SUMPRODUCT((Transactions!$L$9:$L$5005=$D$1)*(Transactions!$M$9:$M$5005=92)*ROW(Transactions!$L$9:$L$5005)),0))),"")</f>
        <v>2023</v>
      </c>
      <c r="N118" s="112"/>
      <c r="O118" s="245"/>
      <c r="P118" s="246"/>
      <c r="Q118" s="246"/>
      <c r="R118" s="106"/>
      <c r="S118" s="246"/>
      <c r="T118" s="247"/>
      <c r="X118" s="296" t="str" cm="1">
        <f t="array" aca="1" ref="X11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18" s="245" t="str" cm="1">
        <f t="array" aca="1" ref="Y11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18" s="246" t="str" cm="1">
        <f t="array" aca="1" ref="Z11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18" s="246" t="str" cm="1">
        <f t="array" aca="1" ref="AA11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18" s="106" t="str" cm="1">
        <f t="array" aca="1" ref="AB11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18" s="246" t="str" cm="1">
        <f t="array" aca="1" ref="AC11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18" s="247" t="str" cm="1">
        <f t="array" aca="1" ref="AD11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18" s="305" t="str" cm="1">
        <f t="array" aca="1" ref="AE11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19" spans="3:31" ht="16.5" customHeight="1" x14ac:dyDescent="0.2">
      <c r="C119" s="296">
        <f ca="1">IFERROR(IF(IFERROR(SUMPRODUCT((Transactions!$L$9:$L$5005=$D$1)*(Transactions!$M$9:$M$5005=93)*ROW(Transactions!$L$9:$L$5005)),0)=0,"",INDEX(Transactions!$C:$C,IFERROR(SUMPRODUCT((Transactions!$L$9:$L$5005=$D$1)*(Transactions!$M$9:$M$5005=93)*ROW(Transactions!$L$9:$L$5005)),0))),"")</f>
        <v>45307</v>
      </c>
      <c r="D119" s="104" t="str">
        <f ca="1">IFERROR(IF(IFERROR(SUMPRODUCT((Transactions!$L$9:$L$5005=$D$1)*(Transactions!$M$9:$M$5005=93)*ROW(Transactions!$L$9:$L$5005)),0)=0,"",INDEX(Transactions!$D:$D,IFERROR(SUMPRODUCT((Transactions!$L$9:$L$5005=$D$1)*(Transactions!$M$9:$M$5005=93)*ROW(Transactions!$L$9:$L$5005)),0))),"")</f>
        <v>Amity Exam Fee</v>
      </c>
      <c r="E119" s="105" t="str">
        <f ca="1">IFERROR(IF(IFERROR(SUMPRODUCT((Transactions!$L$9:$L$5005=$D$1)*(Transactions!$M$9:$M$5005=93)*ROW(Transactions!$L$9:$L$5005)),0)=0,"",INDEX(Transactions!$F:$F,IFERROR(SUMPRODUCT((Transactions!$L$9:$L$5005=$D$1)*(Transactions!$M$9:$M$5005=93)*ROW(Transactions!$L$9:$L$5005)),0))),"")</f>
        <v>Expense</v>
      </c>
      <c r="F119" s="105" t="str">
        <f ca="1">IFERROR(IF(IFERROR(SUMPRODUCT((Transactions!$L$9:$L$5005=$D$1)*(Transactions!$M$9:$M$5005=93)*ROW(Transactions!$L$9:$L$5005)),0)=0,"",INDEX(Transactions!$G:$G,IFERROR(SUMPRODUCT((Transactions!$L$9:$L$5005=$D$1)*(Transactions!$M$9:$M$5005=93)*ROW(Transactions!$L$9:$L$5005)),0))),"")</f>
        <v>Rajan</v>
      </c>
      <c r="G119" s="106">
        <f ca="1">IFERROR(IF(IFERROR(SUMPRODUCT((Transactions!$L$9:$L$5005=$D$1)*(Transactions!$M$9:$M$5005=93)*ROW(Transactions!$L$9:$L$5005)),0)=0,"",INDEX(Transactions!$H:$H,IFERROR(SUMPRODUCT((Transactions!$L$9:$L$5005=$D$1)*(Transactions!$M$9:$M$5005=93)*ROW(Transactions!$L$9:$L$5005)),0))),"")</f>
        <v>1000</v>
      </c>
      <c r="H119" s="105">
        <f ca="1">IFERROR(IF(IFERROR(SUMPRODUCT((Transactions!$L$9:$L$5005=$D$1)*(Transactions!$M$9:$M$5005=93)*ROW(Transactions!$L$9:$L$5005)),0)=0,"",INDEX(Transactions!$J:$J,IFERROR(SUMPRODUCT((Transactions!$L$9:$L$5005=$D$1)*(Transactions!$M$9:$M$5005=93)*ROW(Transactions!$L$9:$L$5005)),0))),"")</f>
        <v>0</v>
      </c>
      <c r="I119" s="104">
        <f ca="1">IFERROR(IF(IFERROR(SUMPRODUCT((Transactions!$L$9:$L$5005=$D$1)*(Transactions!$M$9:$M$5005=93)*ROW(Transactions!$L$9:$L$5005)),0)=0,"",INDEX(Transactions!$K:$K,IFERROR(SUMPRODUCT((Transactions!$L$9:$L$5005=$D$1)*(Transactions!$M$9:$M$5005=93)*ROW(Transactions!$L$9:$L$5005)),0))),"")</f>
        <v>0</v>
      </c>
      <c r="J119" s="298">
        <f ca="1">IFERROR(IF(IFERROR(SUMPRODUCT((Transactions!$L$9:$L$5005=$D$1)*(Transactions!$M$9:$M$5005=93)*ROW(Transactions!$L$9:$L$5005)),0)=0,"",INDEX(Transactions!$L:$L,IFERROR(SUMPRODUCT((Transactions!$L$9:$L$5005=$D$1)*(Transactions!$M$9:$M$5005=93)*ROW(Transactions!$L$9:$L$5005)),0))),"")</f>
        <v>2023</v>
      </c>
      <c r="N119" s="112"/>
      <c r="O119" s="245"/>
      <c r="P119" s="246"/>
      <c r="Q119" s="246"/>
      <c r="R119" s="106"/>
      <c r="S119" s="246"/>
      <c r="T119" s="247"/>
      <c r="X119" s="296" t="str" cm="1">
        <f t="array" aca="1" ref="X11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19" s="245" t="str" cm="1">
        <f t="array" aca="1" ref="Y11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19" s="246" t="str" cm="1">
        <f t="array" aca="1" ref="Z11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19" s="246" t="str" cm="1">
        <f t="array" aca="1" ref="AA11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19" s="106" t="str" cm="1">
        <f t="array" aca="1" ref="AB11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19" s="246" t="str" cm="1">
        <f t="array" aca="1" ref="AC11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19" s="247" t="str" cm="1">
        <f t="array" aca="1" ref="AD11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19" s="305" t="str" cm="1">
        <f t="array" aca="1" ref="AE11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20" spans="3:31" ht="16.5" customHeight="1" x14ac:dyDescent="0.2">
      <c r="C120" s="297">
        <f ca="1">IFERROR(IF(IFERROR(SUMPRODUCT((Transactions!$L$9:$L$5005=$D$1)*(Transactions!$M$9:$M$5005=94)*ROW(Transactions!$L$9:$L$5005)),0)=0,"",INDEX(Transactions!$C:$C,IFERROR(SUMPRODUCT((Transactions!$L$9:$L$5005=$D$1)*(Transactions!$M$9:$M$5005=94)*ROW(Transactions!$L$9:$L$5005)),0))),"")</f>
        <v>45308</v>
      </c>
      <c r="D120" s="107" t="str">
        <f ca="1">IFERROR(IF(IFERROR(SUMPRODUCT((Transactions!$L$9:$L$5005=$D$1)*(Transactions!$M$9:$M$5005=94)*ROW(Transactions!$L$9:$L$5005)),0)=0,"",INDEX(Transactions!$D:$D,IFERROR(SUMPRODUCT((Transactions!$L$9:$L$5005=$D$1)*(Transactions!$M$9:$M$5005=94)*ROW(Transactions!$L$9:$L$5005)),0))),"")</f>
        <v>Clg 2nd sem fee</v>
      </c>
      <c r="E120" s="108" t="str">
        <f ca="1">IFERROR(IF(IFERROR(SUMPRODUCT((Transactions!$L$9:$L$5005=$D$1)*(Transactions!$M$9:$M$5005=94)*ROW(Transactions!$L$9:$L$5005)),0)=0,"",INDEX(Transactions!$F:$F,IFERROR(SUMPRODUCT((Transactions!$L$9:$L$5005=$D$1)*(Transactions!$M$9:$M$5005=94)*ROW(Transactions!$L$9:$L$5005)),0))),"")</f>
        <v>Expense</v>
      </c>
      <c r="F120" s="108" t="str">
        <f ca="1">IFERROR(IF(IFERROR(SUMPRODUCT((Transactions!$L$9:$L$5005=$D$1)*(Transactions!$M$9:$M$5005=94)*ROW(Transactions!$L$9:$L$5005)),0)=0,"",INDEX(Transactions!$G:$G,IFERROR(SUMPRODUCT((Transactions!$L$9:$L$5005=$D$1)*(Transactions!$M$9:$M$5005=94)*ROW(Transactions!$L$9:$L$5005)),0))),"")</f>
        <v>Nisha</v>
      </c>
      <c r="G120" s="109">
        <f ca="1">IFERROR(IF(IFERROR(SUMPRODUCT((Transactions!$L$9:$L$5005=$D$1)*(Transactions!$M$9:$M$5005=94)*ROW(Transactions!$L$9:$L$5005)),0)=0,"",INDEX(Transactions!$H:$H,IFERROR(SUMPRODUCT((Transactions!$L$9:$L$5005=$D$1)*(Transactions!$M$9:$M$5005=94)*ROW(Transactions!$L$9:$L$5005)),0))),"")</f>
        <v>51500</v>
      </c>
      <c r="H120" s="108">
        <f ca="1">IFERROR(IF(IFERROR(SUMPRODUCT((Transactions!$L$9:$L$5005=$D$1)*(Transactions!$M$9:$M$5005=94)*ROW(Transactions!$L$9:$L$5005)),0)=0,"",INDEX(Transactions!$J:$J,IFERROR(SUMPRODUCT((Transactions!$L$9:$L$5005=$D$1)*(Transactions!$M$9:$M$5005=94)*ROW(Transactions!$L$9:$L$5005)),0))),"")</f>
        <v>0</v>
      </c>
      <c r="I120" s="107">
        <f ca="1">IFERROR(IF(IFERROR(SUMPRODUCT((Transactions!$L$9:$L$5005=$D$1)*(Transactions!$M$9:$M$5005=94)*ROW(Transactions!$L$9:$L$5005)),0)=0,"",INDEX(Transactions!$K:$K,IFERROR(SUMPRODUCT((Transactions!$L$9:$L$5005=$D$1)*(Transactions!$M$9:$M$5005=94)*ROW(Transactions!$L$9:$L$5005)),0))),"")</f>
        <v>0</v>
      </c>
      <c r="J120" s="299">
        <f ca="1">IFERROR(IF(IFERROR(SUMPRODUCT((Transactions!$L$9:$L$5005=$D$1)*(Transactions!$M$9:$M$5005=94)*ROW(Transactions!$L$9:$L$5005)),0)=0,"",INDEX(Transactions!$L:$L,IFERROR(SUMPRODUCT((Transactions!$L$9:$L$5005=$D$1)*(Transactions!$M$9:$M$5005=94)*ROW(Transactions!$L$9:$L$5005)),0))),"")</f>
        <v>2023</v>
      </c>
      <c r="N120" s="112"/>
      <c r="O120" s="245"/>
      <c r="P120" s="246"/>
      <c r="Q120" s="246"/>
      <c r="R120" s="106"/>
      <c r="S120" s="246"/>
      <c r="T120" s="247"/>
      <c r="X120" s="296" t="str" cm="1">
        <f t="array" aca="1" ref="X12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20" s="245" t="str" cm="1">
        <f t="array" aca="1" ref="Y12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20" s="246" t="str" cm="1">
        <f t="array" aca="1" ref="Z12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20" s="246" t="str" cm="1">
        <f t="array" aca="1" ref="AA12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20" s="106" t="str" cm="1">
        <f t="array" aca="1" ref="AB12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20" s="246" t="str" cm="1">
        <f t="array" aca="1" ref="AC12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20" s="247" t="str" cm="1">
        <f t="array" aca="1" ref="AD12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20" s="305" t="str" cm="1">
        <f t="array" aca="1" ref="AE12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21" spans="3:31" ht="16.5" customHeight="1" x14ac:dyDescent="0.2">
      <c r="C121" s="296">
        <f ca="1">IFERROR(IF(IFERROR(SUMPRODUCT((Transactions!$L$9:$L$5005=$D$1)*(Transactions!$M$9:$M$5005=95)*ROW(Transactions!$L$9:$L$5005)),0)=0,"",INDEX(Transactions!$C:$C,IFERROR(SUMPRODUCT((Transactions!$L$9:$L$5005=$D$1)*(Transactions!$M$9:$M$5005=95)*ROW(Transactions!$L$9:$L$5005)),0))),"")</f>
        <v>45311</v>
      </c>
      <c r="D121" s="104" t="str">
        <f ca="1">IFERROR(IF(IFERROR(SUMPRODUCT((Transactions!$L$9:$L$5005=$D$1)*(Transactions!$M$9:$M$5005=95)*ROW(Transactions!$L$9:$L$5005)),0)=0,"",INDEX(Transactions!$D:$D,IFERROR(SUMPRODUCT((Transactions!$L$9:$L$5005=$D$1)*(Transactions!$M$9:$M$5005=95)*ROW(Transactions!$L$9:$L$5005)),0))),"")</f>
        <v>Laptop Repair</v>
      </c>
      <c r="E121" s="105" t="str">
        <f ca="1">IFERROR(IF(IFERROR(SUMPRODUCT((Transactions!$L$9:$L$5005=$D$1)*(Transactions!$M$9:$M$5005=95)*ROW(Transactions!$L$9:$L$5005)),0)=0,"",INDEX(Transactions!$F:$F,IFERROR(SUMPRODUCT((Transactions!$L$9:$L$5005=$D$1)*(Transactions!$M$9:$M$5005=95)*ROW(Transactions!$L$9:$L$5005)),0))),"")</f>
        <v>Expense</v>
      </c>
      <c r="F121" s="105" t="str">
        <f ca="1">IFERROR(IF(IFERROR(SUMPRODUCT((Transactions!$L$9:$L$5005=$D$1)*(Transactions!$M$9:$M$5005=95)*ROW(Transactions!$L$9:$L$5005)),0)=0,"",INDEX(Transactions!$G:$G,IFERROR(SUMPRODUCT((Transactions!$L$9:$L$5005=$D$1)*(Transactions!$M$9:$M$5005=95)*ROW(Transactions!$L$9:$L$5005)),0))),"")</f>
        <v>Home</v>
      </c>
      <c r="G121" s="106">
        <f ca="1">IFERROR(IF(IFERROR(SUMPRODUCT((Transactions!$L$9:$L$5005=$D$1)*(Transactions!$M$9:$M$5005=95)*ROW(Transactions!$L$9:$L$5005)),0)=0,"",INDEX(Transactions!$H:$H,IFERROR(SUMPRODUCT((Transactions!$L$9:$L$5005=$D$1)*(Transactions!$M$9:$M$5005=95)*ROW(Transactions!$L$9:$L$5005)),0))),"")</f>
        <v>3000</v>
      </c>
      <c r="H121" s="105">
        <f ca="1">IFERROR(IF(IFERROR(SUMPRODUCT((Transactions!$L$9:$L$5005=$D$1)*(Transactions!$M$9:$M$5005=95)*ROW(Transactions!$L$9:$L$5005)),0)=0,"",INDEX(Transactions!$J:$J,IFERROR(SUMPRODUCT((Transactions!$L$9:$L$5005=$D$1)*(Transactions!$M$9:$M$5005=95)*ROW(Transactions!$L$9:$L$5005)),0))),"")</f>
        <v>0</v>
      </c>
      <c r="I121" s="104">
        <f ca="1">IFERROR(IF(IFERROR(SUMPRODUCT((Transactions!$L$9:$L$5005=$D$1)*(Transactions!$M$9:$M$5005=95)*ROW(Transactions!$L$9:$L$5005)),0)=0,"",INDEX(Transactions!$K:$K,IFERROR(SUMPRODUCT((Transactions!$L$9:$L$5005=$D$1)*(Transactions!$M$9:$M$5005=95)*ROW(Transactions!$L$9:$L$5005)),0))),"")</f>
        <v>0</v>
      </c>
      <c r="J121" s="298">
        <f ca="1">IFERROR(IF(IFERROR(SUMPRODUCT((Transactions!$L$9:$L$5005=$D$1)*(Transactions!$M$9:$M$5005=95)*ROW(Transactions!$L$9:$L$5005)),0)=0,"",INDEX(Transactions!$L:$L,IFERROR(SUMPRODUCT((Transactions!$L$9:$L$5005=$D$1)*(Transactions!$M$9:$M$5005=95)*ROW(Transactions!$L$9:$L$5005)),0))),"")</f>
        <v>2023</v>
      </c>
      <c r="N121" s="112"/>
      <c r="O121" s="245"/>
      <c r="P121" s="246"/>
      <c r="Q121" s="246"/>
      <c r="R121" s="106"/>
      <c r="S121" s="246"/>
      <c r="T121" s="247"/>
      <c r="X121" s="296" t="str" cm="1">
        <f t="array" aca="1" ref="X12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21" s="245" t="str" cm="1">
        <f t="array" aca="1" ref="Y12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21" s="246" t="str" cm="1">
        <f t="array" aca="1" ref="Z12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21" s="246" t="str" cm="1">
        <f t="array" aca="1" ref="AA12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21" s="106" t="str" cm="1">
        <f t="array" aca="1" ref="AB12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21" s="246" t="str" cm="1">
        <f t="array" aca="1" ref="AC12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21" s="247" t="str" cm="1">
        <f t="array" aca="1" ref="AD12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21" s="305" t="str" cm="1">
        <f t="array" aca="1" ref="AE12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22" spans="3:31" ht="16.5" customHeight="1" x14ac:dyDescent="0.2">
      <c r="C122" s="297">
        <f ca="1">IFERROR(IF(IFERROR(SUMPRODUCT((Transactions!$L$9:$L$5005=$D$1)*(Transactions!$M$9:$M$5005=96)*ROW(Transactions!$L$9:$L$5005)),0)=0,"",INDEX(Transactions!$C:$C,IFERROR(SUMPRODUCT((Transactions!$L$9:$L$5005=$D$1)*(Transactions!$M$9:$M$5005=96)*ROW(Transactions!$L$9:$L$5005)),0))),"")</f>
        <v>45317</v>
      </c>
      <c r="D122" s="107" t="str">
        <f ca="1">IFERROR(IF(IFERROR(SUMPRODUCT((Transactions!$L$9:$L$5005=$D$1)*(Transactions!$M$9:$M$5005=96)*ROW(Transactions!$L$9:$L$5005)),0)=0,"",INDEX(Transactions!$D:$D,IFERROR(SUMPRODUCT((Transactions!$L$9:$L$5005=$D$1)*(Transactions!$M$9:$M$5005=96)*ROW(Transactions!$L$9:$L$5005)),0))),"")</f>
        <v>Jan-feb 1500, puja form 200</v>
      </c>
      <c r="E122" s="108" t="str">
        <f ca="1">IFERROR(IF(IFERROR(SUMPRODUCT((Transactions!$L$9:$L$5005=$D$1)*(Transactions!$M$9:$M$5005=96)*ROW(Transactions!$L$9:$L$5005)),0)=0,"",INDEX(Transactions!$F:$F,IFERROR(SUMPRODUCT((Transactions!$L$9:$L$5005=$D$1)*(Transactions!$M$9:$M$5005=96)*ROW(Transactions!$L$9:$L$5005)),0))),"")</f>
        <v>Expense</v>
      </c>
      <c r="F122" s="108" t="str">
        <f ca="1">IFERROR(IF(IFERROR(SUMPRODUCT((Transactions!$L$9:$L$5005=$D$1)*(Transactions!$M$9:$M$5005=96)*ROW(Transactions!$L$9:$L$5005)),0)=0,"",INDEX(Transactions!$G:$G,IFERROR(SUMPRODUCT((Transactions!$L$9:$L$5005=$D$1)*(Transactions!$M$9:$M$5005=96)*ROW(Transactions!$L$9:$L$5005)),0))),"")</f>
        <v>Nisha</v>
      </c>
      <c r="G122" s="109">
        <f ca="1">IFERROR(IF(IFERROR(SUMPRODUCT((Transactions!$L$9:$L$5005=$D$1)*(Transactions!$M$9:$M$5005=96)*ROW(Transactions!$L$9:$L$5005)),0)=0,"",INDEX(Transactions!$H:$H,IFERROR(SUMPRODUCT((Transactions!$L$9:$L$5005=$D$1)*(Transactions!$M$9:$M$5005=96)*ROW(Transactions!$L$9:$L$5005)),0))),"")</f>
        <v>1700</v>
      </c>
      <c r="H122" s="108">
        <f ca="1">IFERROR(IF(IFERROR(SUMPRODUCT((Transactions!$L$9:$L$5005=$D$1)*(Transactions!$M$9:$M$5005=96)*ROW(Transactions!$L$9:$L$5005)),0)=0,"",INDEX(Transactions!$J:$J,IFERROR(SUMPRODUCT((Transactions!$L$9:$L$5005=$D$1)*(Transactions!$M$9:$M$5005=96)*ROW(Transactions!$L$9:$L$5005)),0))),"")</f>
        <v>0</v>
      </c>
      <c r="I122" s="107">
        <f ca="1">IFERROR(IF(IFERROR(SUMPRODUCT((Transactions!$L$9:$L$5005=$D$1)*(Transactions!$M$9:$M$5005=96)*ROW(Transactions!$L$9:$L$5005)),0)=0,"",INDEX(Transactions!$K:$K,IFERROR(SUMPRODUCT((Transactions!$L$9:$L$5005=$D$1)*(Transactions!$M$9:$M$5005=96)*ROW(Transactions!$L$9:$L$5005)),0))),"")</f>
        <v>0</v>
      </c>
      <c r="J122" s="299">
        <f ca="1">IFERROR(IF(IFERROR(SUMPRODUCT((Transactions!$L$9:$L$5005=$D$1)*(Transactions!$M$9:$M$5005=96)*ROW(Transactions!$L$9:$L$5005)),0)=0,"",INDEX(Transactions!$L:$L,IFERROR(SUMPRODUCT((Transactions!$L$9:$L$5005=$D$1)*(Transactions!$M$9:$M$5005=96)*ROW(Transactions!$L$9:$L$5005)),0))),"")</f>
        <v>2023</v>
      </c>
      <c r="N122" s="112"/>
      <c r="O122" s="245"/>
      <c r="P122" s="246"/>
      <c r="Q122" s="246"/>
      <c r="R122" s="106"/>
      <c r="S122" s="246"/>
      <c r="T122" s="247"/>
      <c r="X122" s="296" t="str" cm="1">
        <f t="array" aca="1" ref="X12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22" s="245" t="str" cm="1">
        <f t="array" aca="1" ref="Y12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22" s="246" t="str" cm="1">
        <f t="array" aca="1" ref="Z12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22" s="246" t="str" cm="1">
        <f t="array" aca="1" ref="AA12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22" s="106" t="str" cm="1">
        <f t="array" aca="1" ref="AB12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22" s="246" t="str" cm="1">
        <f t="array" aca="1" ref="AC12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22" s="247" t="str" cm="1">
        <f t="array" aca="1" ref="AD12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22" s="305" t="str" cm="1">
        <f t="array" aca="1" ref="AE12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23" spans="3:31" ht="16.5" customHeight="1" x14ac:dyDescent="0.2">
      <c r="C123" s="296">
        <f ca="1">IFERROR(IF(IFERROR(SUMPRODUCT((Transactions!$L$9:$L$5005=$D$1)*(Transactions!$M$9:$M$5005=97)*ROW(Transactions!$L$9:$L$5005)),0)=0,"",INDEX(Transactions!$C:$C,IFERROR(SUMPRODUCT((Transactions!$L$9:$L$5005=$D$1)*(Transactions!$M$9:$M$5005=97)*ROW(Transactions!$L$9:$L$5005)),0))),"")</f>
        <v>45321</v>
      </c>
      <c r="D123" s="104" t="str">
        <f ca="1">IFERROR(IF(IFERROR(SUMPRODUCT((Transactions!$L$9:$L$5005=$D$1)*(Transactions!$M$9:$M$5005=97)*ROW(Transactions!$L$9:$L$5005)),0)=0,"",INDEX(Transactions!$D:$D,IFERROR(SUMPRODUCT((Transactions!$L$9:$L$5005=$D$1)*(Transactions!$M$9:$M$5005=97)*ROW(Transactions!$L$9:$L$5005)),0))),"")</f>
        <v>Paytm</v>
      </c>
      <c r="E123" s="105" t="str">
        <f ca="1">IFERROR(IF(IFERROR(SUMPRODUCT((Transactions!$L$9:$L$5005=$D$1)*(Transactions!$M$9:$M$5005=97)*ROW(Transactions!$L$9:$L$5005)),0)=0,"",INDEX(Transactions!$F:$F,IFERROR(SUMPRODUCT((Transactions!$L$9:$L$5005=$D$1)*(Transactions!$M$9:$M$5005=97)*ROW(Transactions!$L$9:$L$5005)),0))),"")</f>
        <v>Expense</v>
      </c>
      <c r="F123" s="105" t="str">
        <f ca="1">IFERROR(IF(IFERROR(SUMPRODUCT((Transactions!$L$9:$L$5005=$D$1)*(Transactions!$M$9:$M$5005=97)*ROW(Transactions!$L$9:$L$5005)),0)=0,"",INDEX(Transactions!$G:$G,IFERROR(SUMPRODUCT((Transactions!$L$9:$L$5005=$D$1)*(Transactions!$M$9:$M$5005=97)*ROW(Transactions!$L$9:$L$5005)),0))),"")</f>
        <v>Delhi</v>
      </c>
      <c r="G123" s="106">
        <f ca="1">IFERROR(IF(IFERROR(SUMPRODUCT((Transactions!$L$9:$L$5005=$D$1)*(Transactions!$M$9:$M$5005=97)*ROW(Transactions!$L$9:$L$5005)),0)=0,"",INDEX(Transactions!$H:$H,IFERROR(SUMPRODUCT((Transactions!$L$9:$L$5005=$D$1)*(Transactions!$M$9:$M$5005=97)*ROW(Transactions!$L$9:$L$5005)),0))),"")</f>
        <v>7500</v>
      </c>
      <c r="H123" s="105">
        <f ca="1">IFERROR(IF(IFERROR(SUMPRODUCT((Transactions!$L$9:$L$5005=$D$1)*(Transactions!$M$9:$M$5005=97)*ROW(Transactions!$L$9:$L$5005)),0)=0,"",INDEX(Transactions!$J:$J,IFERROR(SUMPRODUCT((Transactions!$L$9:$L$5005=$D$1)*(Transactions!$M$9:$M$5005=97)*ROW(Transactions!$L$9:$L$5005)),0))),"")</f>
        <v>0</v>
      </c>
      <c r="I123" s="104">
        <f ca="1">IFERROR(IF(IFERROR(SUMPRODUCT((Transactions!$L$9:$L$5005=$D$1)*(Transactions!$M$9:$M$5005=97)*ROW(Transactions!$L$9:$L$5005)),0)=0,"",INDEX(Transactions!$K:$K,IFERROR(SUMPRODUCT((Transactions!$L$9:$L$5005=$D$1)*(Transactions!$M$9:$M$5005=97)*ROW(Transactions!$L$9:$L$5005)),0))),"")</f>
        <v>0</v>
      </c>
      <c r="J123" s="298">
        <f ca="1">IFERROR(IF(IFERROR(SUMPRODUCT((Transactions!$L$9:$L$5005=$D$1)*(Transactions!$M$9:$M$5005=97)*ROW(Transactions!$L$9:$L$5005)),0)=0,"",INDEX(Transactions!$L:$L,IFERROR(SUMPRODUCT((Transactions!$L$9:$L$5005=$D$1)*(Transactions!$M$9:$M$5005=97)*ROW(Transactions!$L$9:$L$5005)),0))),"")</f>
        <v>2023</v>
      </c>
      <c r="N123" s="112"/>
      <c r="O123" s="245"/>
      <c r="P123" s="246"/>
      <c r="Q123" s="246"/>
      <c r="R123" s="106"/>
      <c r="S123" s="246"/>
      <c r="T123" s="247"/>
      <c r="X123" s="296" t="str" cm="1">
        <f t="array" aca="1" ref="X12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23" s="245" t="str" cm="1">
        <f t="array" aca="1" ref="Y12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23" s="246" t="str" cm="1">
        <f t="array" aca="1" ref="Z12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23" s="246" t="str" cm="1">
        <f t="array" aca="1" ref="AA12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23" s="106" t="str" cm="1">
        <f t="array" aca="1" ref="AB12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23" s="246" t="str" cm="1">
        <f t="array" aca="1" ref="AC12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23" s="247" t="str" cm="1">
        <f t="array" aca="1" ref="AD12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23" s="305" t="str" cm="1">
        <f t="array" aca="1" ref="AE12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24" spans="3:31" ht="16.5" customHeight="1" x14ac:dyDescent="0.2">
      <c r="C124" s="297">
        <f ca="1">IFERROR(IF(IFERROR(SUMPRODUCT((Transactions!$L$9:$L$5005=$D$1)*(Transactions!$M$9:$M$5005=98)*ROW(Transactions!$L$9:$L$5005)),0)=0,"",INDEX(Transactions!$C:$C,IFERROR(SUMPRODUCT((Transactions!$L$9:$L$5005=$D$1)*(Transactions!$M$9:$M$5005=98)*ROW(Transactions!$L$9:$L$5005)),0))),"")</f>
        <v>45322</v>
      </c>
      <c r="D124" s="107">
        <f ca="1">IFERROR(IF(IFERROR(SUMPRODUCT((Transactions!$L$9:$L$5005=$D$1)*(Transactions!$M$9:$M$5005=98)*ROW(Transactions!$L$9:$L$5005)),0)=0,"",INDEX(Transactions!$D:$D,IFERROR(SUMPRODUCT((Transactions!$L$9:$L$5005=$D$1)*(Transactions!$M$9:$M$5005=98)*ROW(Transactions!$L$9:$L$5005)),0))),"")</f>
        <v>45323</v>
      </c>
      <c r="E124" s="108" t="str">
        <f ca="1">IFERROR(IF(IFERROR(SUMPRODUCT((Transactions!$L$9:$L$5005=$D$1)*(Transactions!$M$9:$M$5005=98)*ROW(Transactions!$L$9:$L$5005)),0)=0,"",INDEX(Transactions!$F:$F,IFERROR(SUMPRODUCT((Transactions!$L$9:$L$5005=$D$1)*(Transactions!$M$9:$M$5005=98)*ROW(Transactions!$L$9:$L$5005)),0))),"")</f>
        <v>Expense</v>
      </c>
      <c r="F124" s="108" t="str">
        <f ca="1">IFERROR(IF(IFERROR(SUMPRODUCT((Transactions!$L$9:$L$5005=$D$1)*(Transactions!$M$9:$M$5005=98)*ROW(Transactions!$L$9:$L$5005)),0)=0,"",INDEX(Transactions!$G:$G,IFERROR(SUMPRODUCT((Transactions!$L$9:$L$5005=$D$1)*(Transactions!$M$9:$M$5005=98)*ROW(Transactions!$L$9:$L$5005)),0))),"")</f>
        <v>Pawan</v>
      </c>
      <c r="G124" s="109">
        <f ca="1">IFERROR(IF(IFERROR(SUMPRODUCT((Transactions!$L$9:$L$5005=$D$1)*(Transactions!$M$9:$M$5005=98)*ROW(Transactions!$L$9:$L$5005)),0)=0,"",INDEX(Transactions!$H:$H,IFERROR(SUMPRODUCT((Transactions!$L$9:$L$5005=$D$1)*(Transactions!$M$9:$M$5005=98)*ROW(Transactions!$L$9:$L$5005)),0))),"")</f>
        <v>4000</v>
      </c>
      <c r="H124" s="108">
        <f ca="1">IFERROR(IF(IFERROR(SUMPRODUCT((Transactions!$L$9:$L$5005=$D$1)*(Transactions!$M$9:$M$5005=98)*ROW(Transactions!$L$9:$L$5005)),0)=0,"",INDEX(Transactions!$J:$J,IFERROR(SUMPRODUCT((Transactions!$L$9:$L$5005=$D$1)*(Transactions!$M$9:$M$5005=98)*ROW(Transactions!$L$9:$L$5005)),0))),"")</f>
        <v>0</v>
      </c>
      <c r="I124" s="107">
        <f ca="1">IFERROR(IF(IFERROR(SUMPRODUCT((Transactions!$L$9:$L$5005=$D$1)*(Transactions!$M$9:$M$5005=98)*ROW(Transactions!$L$9:$L$5005)),0)=0,"",INDEX(Transactions!$K:$K,IFERROR(SUMPRODUCT((Transactions!$L$9:$L$5005=$D$1)*(Transactions!$M$9:$M$5005=98)*ROW(Transactions!$L$9:$L$5005)),0))),"")</f>
        <v>0</v>
      </c>
      <c r="J124" s="299">
        <f ca="1">IFERROR(IF(IFERROR(SUMPRODUCT((Transactions!$L$9:$L$5005=$D$1)*(Transactions!$M$9:$M$5005=98)*ROW(Transactions!$L$9:$L$5005)),0)=0,"",INDEX(Transactions!$L:$L,IFERROR(SUMPRODUCT((Transactions!$L$9:$L$5005=$D$1)*(Transactions!$M$9:$M$5005=98)*ROW(Transactions!$L$9:$L$5005)),0))),"")</f>
        <v>2023</v>
      </c>
      <c r="N124" s="112"/>
      <c r="O124" s="245"/>
      <c r="P124" s="246"/>
      <c r="Q124" s="246"/>
      <c r="R124" s="106"/>
      <c r="S124" s="246"/>
      <c r="T124" s="247"/>
      <c r="X124" s="296" t="str" cm="1">
        <f t="array" aca="1" ref="X12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24" s="245" t="str" cm="1">
        <f t="array" aca="1" ref="Y12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24" s="246" t="str" cm="1">
        <f t="array" aca="1" ref="Z12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24" s="246" t="str" cm="1">
        <f t="array" aca="1" ref="AA12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24" s="106" t="str" cm="1">
        <f t="array" aca="1" ref="AB12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24" s="246" t="str" cm="1">
        <f t="array" aca="1" ref="AC12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24" s="247" t="str" cm="1">
        <f t="array" aca="1" ref="AD12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24" s="305" t="str" cm="1">
        <f t="array" aca="1" ref="AE12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25" spans="3:31" ht="16.5" customHeight="1" x14ac:dyDescent="0.2">
      <c r="C125" s="296">
        <f ca="1">IFERROR(IF(IFERROR(SUMPRODUCT((Transactions!$L$9:$L$5005=$D$1)*(Transactions!$M$9:$M$5005=99)*ROW(Transactions!$L$9:$L$5005)),0)=0,"",INDEX(Transactions!$C:$C,IFERROR(SUMPRODUCT((Transactions!$L$9:$L$5005=$D$1)*(Transactions!$M$9:$M$5005=99)*ROW(Transactions!$L$9:$L$5005)),0))),"")</f>
        <v>45322</v>
      </c>
      <c r="D125" s="104" t="str">
        <f ca="1">IFERROR(IF(IFERROR(SUMPRODUCT((Transactions!$L$9:$L$5005=$D$1)*(Transactions!$M$9:$M$5005=99)*ROW(Transactions!$L$9:$L$5005)),0)=0,"",INDEX(Transactions!$D:$D,IFERROR(SUMPRODUCT((Transactions!$L$9:$L$5005=$D$1)*(Transactions!$M$9:$M$5005=99)*ROW(Transactions!$L$9:$L$5005)),0))),"")</f>
        <v>Cognizant Jan</v>
      </c>
      <c r="E125" s="105" t="str">
        <f ca="1">IFERROR(IF(IFERROR(SUMPRODUCT((Transactions!$L$9:$L$5005=$D$1)*(Transactions!$M$9:$M$5005=99)*ROW(Transactions!$L$9:$L$5005)),0)=0,"",INDEX(Transactions!$F:$F,IFERROR(SUMPRODUCT((Transactions!$L$9:$L$5005=$D$1)*(Transactions!$M$9:$M$5005=99)*ROW(Transactions!$L$9:$L$5005)),0))),"")</f>
        <v>Income</v>
      </c>
      <c r="F125" s="105" t="str">
        <f ca="1">IFERROR(IF(IFERROR(SUMPRODUCT((Transactions!$L$9:$L$5005=$D$1)*(Transactions!$M$9:$M$5005=99)*ROW(Transactions!$L$9:$L$5005)),0)=0,"",INDEX(Transactions!$G:$G,IFERROR(SUMPRODUCT((Transactions!$L$9:$L$5005=$D$1)*(Transactions!$M$9:$M$5005=99)*ROW(Transactions!$L$9:$L$5005)),0))),"")</f>
        <v>Salary</v>
      </c>
      <c r="G125" s="106">
        <f ca="1">IFERROR(IF(IFERROR(SUMPRODUCT((Transactions!$L$9:$L$5005=$D$1)*(Transactions!$M$9:$M$5005=99)*ROW(Transactions!$L$9:$L$5005)),0)=0,"",INDEX(Transactions!$H:$H,IFERROR(SUMPRODUCT((Transactions!$L$9:$L$5005=$D$1)*(Transactions!$M$9:$M$5005=99)*ROW(Transactions!$L$9:$L$5005)),0))),"")</f>
        <v>46000</v>
      </c>
      <c r="H125" s="105">
        <f ca="1">IFERROR(IF(IFERROR(SUMPRODUCT((Transactions!$L$9:$L$5005=$D$1)*(Transactions!$M$9:$M$5005=99)*ROW(Transactions!$L$9:$L$5005)),0)=0,"",INDEX(Transactions!$J:$J,IFERROR(SUMPRODUCT((Transactions!$L$9:$L$5005=$D$1)*(Transactions!$M$9:$M$5005=99)*ROW(Transactions!$L$9:$L$5005)),0))),"")</f>
        <v>0</v>
      </c>
      <c r="I125" s="104">
        <f ca="1">IFERROR(IF(IFERROR(SUMPRODUCT((Transactions!$L$9:$L$5005=$D$1)*(Transactions!$M$9:$M$5005=99)*ROW(Transactions!$L$9:$L$5005)),0)=0,"",INDEX(Transactions!$K:$K,IFERROR(SUMPRODUCT((Transactions!$L$9:$L$5005=$D$1)*(Transactions!$M$9:$M$5005=99)*ROW(Transactions!$L$9:$L$5005)),0))),"")</f>
        <v>0</v>
      </c>
      <c r="J125" s="298">
        <f ca="1">IFERROR(IF(IFERROR(SUMPRODUCT((Transactions!$L$9:$L$5005=$D$1)*(Transactions!$M$9:$M$5005=99)*ROW(Transactions!$L$9:$L$5005)),0)=0,"",INDEX(Transactions!$L:$L,IFERROR(SUMPRODUCT((Transactions!$L$9:$L$5005=$D$1)*(Transactions!$M$9:$M$5005=99)*ROW(Transactions!$L$9:$L$5005)),0))),"")</f>
        <v>2023</v>
      </c>
      <c r="N125" s="112"/>
      <c r="O125" s="245"/>
      <c r="P125" s="246"/>
      <c r="Q125" s="246"/>
      <c r="R125" s="106"/>
      <c r="S125" s="246"/>
      <c r="T125" s="247"/>
      <c r="X125" s="296" t="str" cm="1">
        <f t="array" aca="1" ref="X12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25" s="245" t="str" cm="1">
        <f t="array" aca="1" ref="Y12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25" s="246" t="str" cm="1">
        <f t="array" aca="1" ref="Z12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25" s="246" t="str" cm="1">
        <f t="array" aca="1" ref="AA12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25" s="106" t="str" cm="1">
        <f t="array" aca="1" ref="AB12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25" s="246" t="str" cm="1">
        <f t="array" aca="1" ref="AC12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25" s="247" t="str" cm="1">
        <f t="array" aca="1" ref="AD12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25" s="305" t="str" cm="1">
        <f t="array" aca="1" ref="AE12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26" spans="3:31" ht="16.5" customHeight="1" x14ac:dyDescent="0.2">
      <c r="C126" s="297">
        <f ca="1">IFERROR(IF(IFERROR(SUMPRODUCT((Transactions!$L$9:$L$5005=$D$1)*(Transactions!$M$9:$M$5005=100)*ROW(Transactions!$L$9:$L$5005)),0)=0,"",INDEX(Transactions!$C:$C,IFERROR(SUMPRODUCT((Transactions!$L$9:$L$5005=$D$1)*(Transactions!$M$9:$M$5005=100)*ROW(Transactions!$L$9:$L$5005)),0))),"")</f>
        <v>45324</v>
      </c>
      <c r="D126" s="107" t="str">
        <f ca="1">IFERROR(IF(IFERROR(SUMPRODUCT((Transactions!$L$9:$L$5005=$D$1)*(Transactions!$M$9:$M$5005=100)*ROW(Transactions!$L$9:$L$5005)),0)=0,"",INDEX(Transactions!$D:$D,IFERROR(SUMPRODUCT((Transactions!$L$9:$L$5005=$D$1)*(Transactions!$M$9:$M$5005=100)*ROW(Transactions!$L$9:$L$5005)),0))),"")</f>
        <v>Rhishikesh</v>
      </c>
      <c r="E126" s="108" t="str">
        <f ca="1">IFERROR(IF(IFERROR(SUMPRODUCT((Transactions!$L$9:$L$5005=$D$1)*(Transactions!$M$9:$M$5005=100)*ROW(Transactions!$L$9:$L$5005)),0)=0,"",INDEX(Transactions!$F:$F,IFERROR(SUMPRODUCT((Transactions!$L$9:$L$5005=$D$1)*(Transactions!$M$9:$M$5005=100)*ROW(Transactions!$L$9:$L$5005)),0))),"")</f>
        <v>Expense</v>
      </c>
      <c r="F126" s="108" t="str">
        <f ca="1">IFERROR(IF(IFERROR(SUMPRODUCT((Transactions!$L$9:$L$5005=$D$1)*(Transactions!$M$9:$M$5005=100)*ROW(Transactions!$L$9:$L$5005)),0)=0,"",INDEX(Transactions!$G:$G,IFERROR(SUMPRODUCT((Transactions!$L$9:$L$5005=$D$1)*(Transactions!$M$9:$M$5005=100)*ROW(Transactions!$L$9:$L$5005)),0))),"")</f>
        <v>Rajan</v>
      </c>
      <c r="G126" s="109">
        <f ca="1">IFERROR(IF(IFERROR(SUMPRODUCT((Transactions!$L$9:$L$5005=$D$1)*(Transactions!$M$9:$M$5005=100)*ROW(Transactions!$L$9:$L$5005)),0)=0,"",INDEX(Transactions!$H:$H,IFERROR(SUMPRODUCT((Transactions!$L$9:$L$5005=$D$1)*(Transactions!$M$9:$M$5005=100)*ROW(Transactions!$L$9:$L$5005)),0))),"")</f>
        <v>3000</v>
      </c>
      <c r="H126" s="108">
        <f ca="1">IFERROR(IF(IFERROR(SUMPRODUCT((Transactions!$L$9:$L$5005=$D$1)*(Transactions!$M$9:$M$5005=100)*ROW(Transactions!$L$9:$L$5005)),0)=0,"",INDEX(Transactions!$J:$J,IFERROR(SUMPRODUCT((Transactions!$L$9:$L$5005=$D$1)*(Transactions!$M$9:$M$5005=100)*ROW(Transactions!$L$9:$L$5005)),0))),"")</f>
        <v>0</v>
      </c>
      <c r="I126" s="107">
        <f ca="1">IFERROR(IF(IFERROR(SUMPRODUCT((Transactions!$L$9:$L$5005=$D$1)*(Transactions!$M$9:$M$5005=100)*ROW(Transactions!$L$9:$L$5005)),0)=0,"",INDEX(Transactions!$K:$K,IFERROR(SUMPRODUCT((Transactions!$L$9:$L$5005=$D$1)*(Transactions!$M$9:$M$5005=100)*ROW(Transactions!$L$9:$L$5005)),0))),"")</f>
        <v>0</v>
      </c>
      <c r="J126" s="299">
        <f ca="1">IFERROR(IF(IFERROR(SUMPRODUCT((Transactions!$L$9:$L$5005=$D$1)*(Transactions!$M$9:$M$5005=100)*ROW(Transactions!$L$9:$L$5005)),0)=0,"",INDEX(Transactions!$L:$L,IFERROR(SUMPRODUCT((Transactions!$L$9:$L$5005=$D$1)*(Transactions!$M$9:$M$5005=100)*ROW(Transactions!$L$9:$L$5005)),0))),"")</f>
        <v>2023</v>
      </c>
      <c r="N126" s="112"/>
      <c r="O126" s="245"/>
      <c r="P126" s="246"/>
      <c r="Q126" s="246"/>
      <c r="R126" s="106"/>
      <c r="S126" s="246"/>
      <c r="T126" s="247"/>
      <c r="X126" s="296" t="str" cm="1">
        <f t="array" aca="1" ref="X12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26" s="245" t="str" cm="1">
        <f t="array" aca="1" ref="Y12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26" s="246" t="str" cm="1">
        <f t="array" aca="1" ref="Z12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26" s="246" t="str" cm="1">
        <f t="array" aca="1" ref="AA12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26" s="106" t="str" cm="1">
        <f t="array" aca="1" ref="AB12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26" s="246" t="str" cm="1">
        <f t="array" aca="1" ref="AC12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26" s="247" t="str" cm="1">
        <f t="array" aca="1" ref="AD12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26" s="305" t="str" cm="1">
        <f t="array" aca="1" ref="AE12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27" spans="3:31" ht="16.5" customHeight="1" x14ac:dyDescent="0.2">
      <c r="C127" s="296">
        <f ca="1">IFERROR(IF(IFERROR(SUMPRODUCT((Transactions!$L$9:$L$5005=$D$1)*(Transactions!$M$9:$M$5005=101)*ROW(Transactions!$L$9:$L$5005)),0)=0,"",INDEX(Transactions!$C:$C,IFERROR(SUMPRODUCT((Transactions!$L$9:$L$5005=$D$1)*(Transactions!$M$9:$M$5005=101)*ROW(Transactions!$L$9:$L$5005)),0))),"")</f>
        <v>45325</v>
      </c>
      <c r="D127" s="104" t="str">
        <f ca="1">IFERROR(IF(IFERROR(SUMPRODUCT((Transactions!$L$9:$L$5005=$D$1)*(Transactions!$M$9:$M$5005=101)*ROW(Transactions!$L$9:$L$5005)),0)=0,"",INDEX(Transactions!$D:$D,IFERROR(SUMPRODUCT((Transactions!$L$9:$L$5005=$D$1)*(Transactions!$M$9:$M$5005=101)*ROW(Transactions!$L$9:$L$5005)),0))),"")</f>
        <v>MBA11</v>
      </c>
      <c r="E127" s="105" t="str">
        <f ca="1">IFERROR(IF(IFERROR(SUMPRODUCT((Transactions!$L$9:$L$5005=$D$1)*(Transactions!$M$9:$M$5005=101)*ROW(Transactions!$L$9:$L$5005)),0)=0,"",INDEX(Transactions!$F:$F,IFERROR(SUMPRODUCT((Transactions!$L$9:$L$5005=$D$1)*(Transactions!$M$9:$M$5005=101)*ROW(Transactions!$L$9:$L$5005)),0))),"")</f>
        <v>Expense</v>
      </c>
      <c r="F127" s="105" t="str">
        <f ca="1">IFERROR(IF(IFERROR(SUMPRODUCT((Transactions!$L$9:$L$5005=$D$1)*(Transactions!$M$9:$M$5005=101)*ROW(Transactions!$L$9:$L$5005)),0)=0,"",INDEX(Transactions!$G:$G,IFERROR(SUMPRODUCT((Transactions!$L$9:$L$5005=$D$1)*(Transactions!$M$9:$M$5005=101)*ROW(Transactions!$L$9:$L$5005)),0))),"")</f>
        <v>Ed LOAN</v>
      </c>
      <c r="G127" s="106">
        <f ca="1">IFERROR(IF(IFERROR(SUMPRODUCT((Transactions!$L$9:$L$5005=$D$1)*(Transactions!$M$9:$M$5005=101)*ROW(Transactions!$L$9:$L$5005)),0)=0,"",INDEX(Transactions!$H:$H,IFERROR(SUMPRODUCT((Transactions!$L$9:$L$5005=$D$1)*(Transactions!$M$9:$M$5005=101)*ROW(Transactions!$L$9:$L$5005)),0))),"")</f>
        <v>6881</v>
      </c>
      <c r="H127" s="105">
        <f ca="1">IFERROR(IF(IFERROR(SUMPRODUCT((Transactions!$L$9:$L$5005=$D$1)*(Transactions!$M$9:$M$5005=101)*ROW(Transactions!$L$9:$L$5005)),0)=0,"",INDEX(Transactions!$J:$J,IFERROR(SUMPRODUCT((Transactions!$L$9:$L$5005=$D$1)*(Transactions!$M$9:$M$5005=101)*ROW(Transactions!$L$9:$L$5005)),0))),"")</f>
        <v>0</v>
      </c>
      <c r="I127" s="104">
        <f ca="1">IFERROR(IF(IFERROR(SUMPRODUCT((Transactions!$L$9:$L$5005=$D$1)*(Transactions!$M$9:$M$5005=101)*ROW(Transactions!$L$9:$L$5005)),0)=0,"",INDEX(Transactions!$K:$K,IFERROR(SUMPRODUCT((Transactions!$L$9:$L$5005=$D$1)*(Transactions!$M$9:$M$5005=101)*ROW(Transactions!$L$9:$L$5005)),0))),"")</f>
        <v>0</v>
      </c>
      <c r="J127" s="298">
        <f ca="1">IFERROR(IF(IFERROR(SUMPRODUCT((Transactions!$L$9:$L$5005=$D$1)*(Transactions!$M$9:$M$5005=101)*ROW(Transactions!$L$9:$L$5005)),0)=0,"",INDEX(Transactions!$L:$L,IFERROR(SUMPRODUCT((Transactions!$L$9:$L$5005=$D$1)*(Transactions!$M$9:$M$5005=101)*ROW(Transactions!$L$9:$L$5005)),0))),"")</f>
        <v>2023</v>
      </c>
      <c r="N127" s="112"/>
      <c r="O127" s="245"/>
      <c r="P127" s="246"/>
      <c r="Q127" s="246"/>
      <c r="R127" s="106"/>
      <c r="S127" s="246"/>
      <c r="T127" s="247"/>
      <c r="X127" s="296" t="str" cm="1">
        <f t="array" aca="1" ref="X12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27" s="245" t="str" cm="1">
        <f t="array" aca="1" ref="Y12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27" s="246" t="str" cm="1">
        <f t="array" aca="1" ref="Z12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27" s="246" t="str" cm="1">
        <f t="array" aca="1" ref="AA12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27" s="106" t="str" cm="1">
        <f t="array" aca="1" ref="AB12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27" s="246" t="str" cm="1">
        <f t="array" aca="1" ref="AC12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27" s="247" t="str" cm="1">
        <f t="array" aca="1" ref="AD12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27" s="305" t="str" cm="1">
        <f t="array" aca="1" ref="AE12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28" spans="3:31" ht="16.5" customHeight="1" x14ac:dyDescent="0.2">
      <c r="C128" s="297">
        <f ca="1">IFERROR(IF(IFERROR(SUMPRODUCT((Transactions!$L$9:$L$5005=$D$1)*(Transactions!$M$9:$M$5005=102)*ROW(Transactions!$L$9:$L$5005)),0)=0,"",INDEX(Transactions!$C:$C,IFERROR(SUMPRODUCT((Transactions!$L$9:$L$5005=$D$1)*(Transactions!$M$9:$M$5005=102)*ROW(Transactions!$L$9:$L$5005)),0))),"")</f>
        <v>45328</v>
      </c>
      <c r="D128" s="107" t="str">
        <f ca="1">IFERROR(IF(IFERROR(SUMPRODUCT((Transactions!$L$9:$L$5005=$D$1)*(Transactions!$M$9:$M$5005=102)*ROW(Transactions!$L$9:$L$5005)),0)=0,"",INDEX(Transactions!$D:$D,IFERROR(SUMPRODUCT((Transactions!$L$9:$L$5005=$D$1)*(Transactions!$M$9:$M$5005=102)*ROW(Transactions!$L$9:$L$5005)),0))),"")</f>
        <v>recharge</v>
      </c>
      <c r="E128" s="108" t="str">
        <f ca="1">IFERROR(IF(IFERROR(SUMPRODUCT((Transactions!$L$9:$L$5005=$D$1)*(Transactions!$M$9:$M$5005=102)*ROW(Transactions!$L$9:$L$5005)),0)=0,"",INDEX(Transactions!$F:$F,IFERROR(SUMPRODUCT((Transactions!$L$9:$L$5005=$D$1)*(Transactions!$M$9:$M$5005=102)*ROW(Transactions!$L$9:$L$5005)),0))),"")</f>
        <v>Expense</v>
      </c>
      <c r="F128" s="108" t="str">
        <f ca="1">IFERROR(IF(IFERROR(SUMPRODUCT((Transactions!$L$9:$L$5005=$D$1)*(Transactions!$M$9:$M$5005=102)*ROW(Transactions!$L$9:$L$5005)),0)=0,"",INDEX(Transactions!$G:$G,IFERROR(SUMPRODUCT((Transactions!$L$9:$L$5005=$D$1)*(Transactions!$M$9:$M$5005=102)*ROW(Transactions!$L$9:$L$5005)),0))),"")</f>
        <v>Home</v>
      </c>
      <c r="G128" s="109">
        <f ca="1">IFERROR(IF(IFERROR(SUMPRODUCT((Transactions!$L$9:$L$5005=$D$1)*(Transactions!$M$9:$M$5005=102)*ROW(Transactions!$L$9:$L$5005)),0)=0,"",INDEX(Transactions!$H:$H,IFERROR(SUMPRODUCT((Transactions!$L$9:$L$5005=$D$1)*(Transactions!$M$9:$M$5005=102)*ROW(Transactions!$L$9:$L$5005)),0))),"")</f>
        <v>482</v>
      </c>
      <c r="H128" s="108">
        <f ca="1">IFERROR(IF(IFERROR(SUMPRODUCT((Transactions!$L$9:$L$5005=$D$1)*(Transactions!$M$9:$M$5005=102)*ROW(Transactions!$L$9:$L$5005)),0)=0,"",INDEX(Transactions!$J:$J,IFERROR(SUMPRODUCT((Transactions!$L$9:$L$5005=$D$1)*(Transactions!$M$9:$M$5005=102)*ROW(Transactions!$L$9:$L$5005)),0))),"")</f>
        <v>0</v>
      </c>
      <c r="I128" s="107">
        <f ca="1">IFERROR(IF(IFERROR(SUMPRODUCT((Transactions!$L$9:$L$5005=$D$1)*(Transactions!$M$9:$M$5005=102)*ROW(Transactions!$L$9:$L$5005)),0)=0,"",INDEX(Transactions!$K:$K,IFERROR(SUMPRODUCT((Transactions!$L$9:$L$5005=$D$1)*(Transactions!$M$9:$M$5005=102)*ROW(Transactions!$L$9:$L$5005)),0))),"")</f>
        <v>0</v>
      </c>
      <c r="J128" s="299">
        <f ca="1">IFERROR(IF(IFERROR(SUMPRODUCT((Transactions!$L$9:$L$5005=$D$1)*(Transactions!$M$9:$M$5005=102)*ROW(Transactions!$L$9:$L$5005)),0)=0,"",INDEX(Transactions!$L:$L,IFERROR(SUMPRODUCT((Transactions!$L$9:$L$5005=$D$1)*(Transactions!$M$9:$M$5005=102)*ROW(Transactions!$L$9:$L$5005)),0))),"")</f>
        <v>2023</v>
      </c>
      <c r="N128" s="112"/>
      <c r="O128" s="245"/>
      <c r="P128" s="246"/>
      <c r="Q128" s="246"/>
      <c r="R128" s="106"/>
      <c r="S128" s="246"/>
      <c r="T128" s="247"/>
      <c r="X128" s="296" t="str" cm="1">
        <f t="array" aca="1" ref="X12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28" s="245" t="str" cm="1">
        <f t="array" aca="1" ref="Y12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28" s="246" t="str" cm="1">
        <f t="array" aca="1" ref="Z12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28" s="246" t="str" cm="1">
        <f t="array" aca="1" ref="AA12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28" s="106" t="str" cm="1">
        <f t="array" aca="1" ref="AB12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28" s="246" t="str" cm="1">
        <f t="array" aca="1" ref="AC12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28" s="247" t="str" cm="1">
        <f t="array" aca="1" ref="AD12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28" s="305" t="str" cm="1">
        <f t="array" aca="1" ref="AE12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29" spans="3:31" ht="16.5" customHeight="1" x14ac:dyDescent="0.2">
      <c r="C129" s="296">
        <f ca="1">IFERROR(IF(IFERROR(SUMPRODUCT((Transactions!$L$9:$L$5005=$D$1)*(Transactions!$M$9:$M$5005=103)*ROW(Transactions!$L$9:$L$5005)),0)=0,"",INDEX(Transactions!$C:$C,IFERROR(SUMPRODUCT((Transactions!$L$9:$L$5005=$D$1)*(Transactions!$M$9:$M$5005=103)*ROW(Transactions!$L$9:$L$5005)),0))),"")</f>
        <v>45332</v>
      </c>
      <c r="D129" s="104" t="str">
        <f ca="1">IFERROR(IF(IFERROR(SUMPRODUCT((Transactions!$L$9:$L$5005=$D$1)*(Transactions!$M$9:$M$5005=103)*ROW(Transactions!$L$9:$L$5005)),0)=0,"",INDEX(Transactions!$D:$D,IFERROR(SUMPRODUCT((Transactions!$L$9:$L$5005=$D$1)*(Transactions!$M$9:$M$5005=103)*ROW(Transactions!$L$9:$L$5005)),0))),"")</f>
        <v>Feb</v>
      </c>
      <c r="E129" s="105" t="str">
        <f ca="1">IFERROR(IF(IFERROR(SUMPRODUCT((Transactions!$L$9:$L$5005=$D$1)*(Transactions!$M$9:$M$5005=103)*ROW(Transactions!$L$9:$L$5005)),0)=0,"",INDEX(Transactions!$F:$F,IFERROR(SUMPRODUCT((Transactions!$L$9:$L$5005=$D$1)*(Transactions!$M$9:$M$5005=103)*ROW(Transactions!$L$9:$L$5005)),0))),"")</f>
        <v>Investment</v>
      </c>
      <c r="F129" s="105" t="str">
        <f ca="1">IFERROR(IF(IFERROR(SUMPRODUCT((Transactions!$L$9:$L$5005=$D$1)*(Transactions!$M$9:$M$5005=103)*ROW(Transactions!$L$9:$L$5005)),0)=0,"",INDEX(Transactions!$G:$G,IFERROR(SUMPRODUCT((Transactions!$L$9:$L$5005=$D$1)*(Transactions!$M$9:$M$5005=103)*ROW(Transactions!$L$9:$L$5005)),0))),"")</f>
        <v>Saving</v>
      </c>
      <c r="G129" s="106">
        <f ca="1">IFERROR(IF(IFERROR(SUMPRODUCT((Transactions!$L$9:$L$5005=$D$1)*(Transactions!$M$9:$M$5005=103)*ROW(Transactions!$L$9:$L$5005)),0)=0,"",INDEX(Transactions!$H:$H,IFERROR(SUMPRODUCT((Transactions!$L$9:$L$5005=$D$1)*(Transactions!$M$9:$M$5005=103)*ROW(Transactions!$L$9:$L$5005)),0))),"")</f>
        <v>1376</v>
      </c>
      <c r="H129" s="105">
        <f ca="1">IFERROR(IF(IFERROR(SUMPRODUCT((Transactions!$L$9:$L$5005=$D$1)*(Transactions!$M$9:$M$5005=103)*ROW(Transactions!$L$9:$L$5005)),0)=0,"",INDEX(Transactions!$J:$J,IFERROR(SUMPRODUCT((Transactions!$L$9:$L$5005=$D$1)*(Transactions!$M$9:$M$5005=103)*ROW(Transactions!$L$9:$L$5005)),0))),"")</f>
        <v>0</v>
      </c>
      <c r="I129" s="104">
        <f ca="1">IFERROR(IF(IFERROR(SUMPRODUCT((Transactions!$L$9:$L$5005=$D$1)*(Transactions!$M$9:$M$5005=103)*ROW(Transactions!$L$9:$L$5005)),0)=0,"",INDEX(Transactions!$K:$K,IFERROR(SUMPRODUCT((Transactions!$L$9:$L$5005=$D$1)*(Transactions!$M$9:$M$5005=103)*ROW(Transactions!$L$9:$L$5005)),0))),"")</f>
        <v>0</v>
      </c>
      <c r="J129" s="298">
        <f ca="1">IFERROR(IF(IFERROR(SUMPRODUCT((Transactions!$L$9:$L$5005=$D$1)*(Transactions!$M$9:$M$5005=103)*ROW(Transactions!$L$9:$L$5005)),0)=0,"",INDEX(Transactions!$L:$L,IFERROR(SUMPRODUCT((Transactions!$L$9:$L$5005=$D$1)*(Transactions!$M$9:$M$5005=103)*ROW(Transactions!$L$9:$L$5005)),0))),"")</f>
        <v>2023</v>
      </c>
      <c r="N129" s="112"/>
      <c r="O129" s="245"/>
      <c r="P129" s="246"/>
      <c r="Q129" s="246"/>
      <c r="R129" s="106"/>
      <c r="S129" s="246"/>
      <c r="T129" s="247"/>
      <c r="X129" s="296" t="str" cm="1">
        <f t="array" aca="1" ref="X12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29" s="245" t="str" cm="1">
        <f t="array" aca="1" ref="Y12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29" s="246" t="str" cm="1">
        <f t="array" aca="1" ref="Z12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29" s="246" t="str" cm="1">
        <f t="array" aca="1" ref="AA12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29" s="106" t="str" cm="1">
        <f t="array" aca="1" ref="AB12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29" s="246" t="str" cm="1">
        <f t="array" aca="1" ref="AC12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29" s="247" t="str" cm="1">
        <f t="array" aca="1" ref="AD12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29" s="305" t="str" cm="1">
        <f t="array" aca="1" ref="AE12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30" spans="3:31" ht="16.5" customHeight="1" x14ac:dyDescent="0.2">
      <c r="C130" s="297">
        <f ca="1">IFERROR(IF(IFERROR(SUMPRODUCT((Transactions!$L$9:$L$5005=$D$1)*(Transactions!$M$9:$M$5005=104)*ROW(Transactions!$L$9:$L$5005)),0)=0,"",INDEX(Transactions!$C:$C,IFERROR(SUMPRODUCT((Transactions!$L$9:$L$5005=$D$1)*(Transactions!$M$9:$M$5005=104)*ROW(Transactions!$L$9:$L$5005)),0))),"")</f>
        <v>45335</v>
      </c>
      <c r="D130" s="107" t="str">
        <f ca="1">IFERROR(IF(IFERROR(SUMPRODUCT((Transactions!$L$9:$L$5005=$D$1)*(Transactions!$M$9:$M$5005=104)*ROW(Transactions!$L$9:$L$5005)),0)=0,"",INDEX(Transactions!$D:$D,IFERROR(SUMPRODUCT((Transactions!$L$9:$L$5005=$D$1)*(Transactions!$M$9:$M$5005=104)*ROW(Transactions!$L$9:$L$5005)),0))),"")</f>
        <v>E bill</v>
      </c>
      <c r="E130" s="108" t="str">
        <f ca="1">IFERROR(IF(IFERROR(SUMPRODUCT((Transactions!$L$9:$L$5005=$D$1)*(Transactions!$M$9:$M$5005=104)*ROW(Transactions!$L$9:$L$5005)),0)=0,"",INDEX(Transactions!$F:$F,IFERROR(SUMPRODUCT((Transactions!$L$9:$L$5005=$D$1)*(Transactions!$M$9:$M$5005=104)*ROW(Transactions!$L$9:$L$5005)),0))),"")</f>
        <v>Expense</v>
      </c>
      <c r="F130" s="108" t="str">
        <f ca="1">IFERROR(IF(IFERROR(SUMPRODUCT((Transactions!$L$9:$L$5005=$D$1)*(Transactions!$M$9:$M$5005=104)*ROW(Transactions!$L$9:$L$5005)),0)=0,"",INDEX(Transactions!$G:$G,IFERROR(SUMPRODUCT((Transactions!$L$9:$L$5005=$D$1)*(Transactions!$M$9:$M$5005=104)*ROW(Transactions!$L$9:$L$5005)),0))),"")</f>
        <v>Home</v>
      </c>
      <c r="G130" s="109">
        <f ca="1">IFERROR(IF(IFERROR(SUMPRODUCT((Transactions!$L$9:$L$5005=$D$1)*(Transactions!$M$9:$M$5005=104)*ROW(Transactions!$L$9:$L$5005)),0)=0,"",INDEX(Transactions!$H:$H,IFERROR(SUMPRODUCT((Transactions!$L$9:$L$5005=$D$1)*(Transactions!$M$9:$M$5005=104)*ROW(Transactions!$L$9:$L$5005)),0))),"")</f>
        <v>975</v>
      </c>
      <c r="H130" s="108">
        <f ca="1">IFERROR(IF(IFERROR(SUMPRODUCT((Transactions!$L$9:$L$5005=$D$1)*(Transactions!$M$9:$M$5005=104)*ROW(Transactions!$L$9:$L$5005)),0)=0,"",INDEX(Transactions!$J:$J,IFERROR(SUMPRODUCT((Transactions!$L$9:$L$5005=$D$1)*(Transactions!$M$9:$M$5005=104)*ROW(Transactions!$L$9:$L$5005)),0))),"")</f>
        <v>0</v>
      </c>
      <c r="I130" s="107">
        <f ca="1">IFERROR(IF(IFERROR(SUMPRODUCT((Transactions!$L$9:$L$5005=$D$1)*(Transactions!$M$9:$M$5005=104)*ROW(Transactions!$L$9:$L$5005)),0)=0,"",INDEX(Transactions!$K:$K,IFERROR(SUMPRODUCT((Transactions!$L$9:$L$5005=$D$1)*(Transactions!$M$9:$M$5005=104)*ROW(Transactions!$L$9:$L$5005)),0))),"")</f>
        <v>0</v>
      </c>
      <c r="J130" s="299">
        <f ca="1">IFERROR(IF(IFERROR(SUMPRODUCT((Transactions!$L$9:$L$5005=$D$1)*(Transactions!$M$9:$M$5005=104)*ROW(Transactions!$L$9:$L$5005)),0)=0,"",INDEX(Transactions!$L:$L,IFERROR(SUMPRODUCT((Transactions!$L$9:$L$5005=$D$1)*(Transactions!$M$9:$M$5005=104)*ROW(Transactions!$L$9:$L$5005)),0))),"")</f>
        <v>2023</v>
      </c>
      <c r="N130" s="112"/>
      <c r="O130" s="245"/>
      <c r="P130" s="246"/>
      <c r="Q130" s="246"/>
      <c r="R130" s="106"/>
      <c r="S130" s="246"/>
      <c r="T130" s="247"/>
      <c r="X130" s="296" t="str" cm="1">
        <f t="array" aca="1" ref="X13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30" s="245" t="str" cm="1">
        <f t="array" aca="1" ref="Y13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30" s="246" t="str" cm="1">
        <f t="array" aca="1" ref="Z13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30" s="246" t="str" cm="1">
        <f t="array" aca="1" ref="AA13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30" s="106" t="str" cm="1">
        <f t="array" aca="1" ref="AB13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30" s="246" t="str" cm="1">
        <f t="array" aca="1" ref="AC13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30" s="247" t="str" cm="1">
        <f t="array" aca="1" ref="AD13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30" s="305" t="str" cm="1">
        <f t="array" aca="1" ref="AE13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31" spans="3:31" ht="16.5" customHeight="1" x14ac:dyDescent="0.2">
      <c r="C131" s="296">
        <f ca="1">IFERROR(IF(IFERROR(SUMPRODUCT((Transactions!$L$9:$L$5005=$D$1)*(Transactions!$M$9:$M$5005=105)*ROW(Transactions!$L$9:$L$5005)),0)=0,"",INDEX(Transactions!$C:$C,IFERROR(SUMPRODUCT((Transactions!$L$9:$L$5005=$D$1)*(Transactions!$M$9:$M$5005=105)*ROW(Transactions!$L$9:$L$5005)),0))),"")</f>
        <v>45335</v>
      </c>
      <c r="D131" s="104" t="str">
        <f ca="1">IFERROR(IF(IFERROR(SUMPRODUCT((Transactions!$L$9:$L$5005=$D$1)*(Transactions!$M$9:$M$5005=105)*ROW(Transactions!$L$9:$L$5005)),0)=0,"",INDEX(Transactions!$D:$D,IFERROR(SUMPRODUCT((Transactions!$L$9:$L$5005=$D$1)*(Transactions!$M$9:$M$5005=105)*ROW(Transactions!$L$9:$L$5005)),0))),"")</f>
        <v>recharge</v>
      </c>
      <c r="E131" s="105" t="str">
        <f ca="1">IFERROR(IF(IFERROR(SUMPRODUCT((Transactions!$L$9:$L$5005=$D$1)*(Transactions!$M$9:$M$5005=105)*ROW(Transactions!$L$9:$L$5005)),0)=0,"",INDEX(Transactions!$F:$F,IFERROR(SUMPRODUCT((Transactions!$L$9:$L$5005=$D$1)*(Transactions!$M$9:$M$5005=105)*ROW(Transactions!$L$9:$L$5005)),0))),"")</f>
        <v>Expense</v>
      </c>
      <c r="F131" s="105" t="str">
        <f ca="1">IFERROR(IF(IFERROR(SUMPRODUCT((Transactions!$L$9:$L$5005=$D$1)*(Transactions!$M$9:$M$5005=105)*ROW(Transactions!$L$9:$L$5005)),0)=0,"",INDEX(Transactions!$G:$G,IFERROR(SUMPRODUCT((Transactions!$L$9:$L$5005=$D$1)*(Transactions!$M$9:$M$5005=105)*ROW(Transactions!$L$9:$L$5005)),0))),"")</f>
        <v>Home</v>
      </c>
      <c r="G131" s="106">
        <f ca="1">IFERROR(IF(IFERROR(SUMPRODUCT((Transactions!$L$9:$L$5005=$D$1)*(Transactions!$M$9:$M$5005=105)*ROW(Transactions!$L$9:$L$5005)),0)=0,"",INDEX(Transactions!$H:$H,IFERROR(SUMPRODUCT((Transactions!$L$9:$L$5005=$D$1)*(Transactions!$M$9:$M$5005=105)*ROW(Transactions!$L$9:$L$5005)),0))),"")</f>
        <v>1045</v>
      </c>
      <c r="H131" s="105">
        <f ca="1">IFERROR(IF(IFERROR(SUMPRODUCT((Transactions!$L$9:$L$5005=$D$1)*(Transactions!$M$9:$M$5005=105)*ROW(Transactions!$L$9:$L$5005)),0)=0,"",INDEX(Transactions!$J:$J,IFERROR(SUMPRODUCT((Transactions!$L$9:$L$5005=$D$1)*(Transactions!$M$9:$M$5005=105)*ROW(Transactions!$L$9:$L$5005)),0))),"")</f>
        <v>0</v>
      </c>
      <c r="I131" s="104">
        <f ca="1">IFERROR(IF(IFERROR(SUMPRODUCT((Transactions!$L$9:$L$5005=$D$1)*(Transactions!$M$9:$M$5005=105)*ROW(Transactions!$L$9:$L$5005)),0)=0,"",INDEX(Transactions!$K:$K,IFERROR(SUMPRODUCT((Transactions!$L$9:$L$5005=$D$1)*(Transactions!$M$9:$M$5005=105)*ROW(Transactions!$L$9:$L$5005)),0))),"")</f>
        <v>0</v>
      </c>
      <c r="J131" s="298">
        <f ca="1">IFERROR(IF(IFERROR(SUMPRODUCT((Transactions!$L$9:$L$5005=$D$1)*(Transactions!$M$9:$M$5005=105)*ROW(Transactions!$L$9:$L$5005)),0)=0,"",INDEX(Transactions!$L:$L,IFERROR(SUMPRODUCT((Transactions!$L$9:$L$5005=$D$1)*(Transactions!$M$9:$M$5005=105)*ROW(Transactions!$L$9:$L$5005)),0))),"")</f>
        <v>2023</v>
      </c>
      <c r="N131" s="112"/>
      <c r="O131" s="245"/>
      <c r="P131" s="246"/>
      <c r="Q131" s="246"/>
      <c r="R131" s="106"/>
      <c r="S131" s="246"/>
      <c r="T131" s="247"/>
      <c r="X131" s="296" t="str" cm="1">
        <f t="array" aca="1" ref="X13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31" s="245" t="str" cm="1">
        <f t="array" aca="1" ref="Y13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31" s="246" t="str" cm="1">
        <f t="array" aca="1" ref="Z13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31" s="246" t="str" cm="1">
        <f t="array" aca="1" ref="AA13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31" s="106" t="str" cm="1">
        <f t="array" aca="1" ref="AB13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31" s="246" t="str" cm="1">
        <f t="array" aca="1" ref="AC13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31" s="247" t="str" cm="1">
        <f t="array" aca="1" ref="AD13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31" s="305" t="str" cm="1">
        <f t="array" aca="1" ref="AE13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32" spans="3:31" ht="16.5" customHeight="1" x14ac:dyDescent="0.2">
      <c r="C132" s="297">
        <f ca="1">IFERROR(IF(IFERROR(SUMPRODUCT((Transactions!$L$9:$L$5005=$D$1)*(Transactions!$M$9:$M$5005=106)*ROW(Transactions!$L$9:$L$5005)),0)=0,"",INDEX(Transactions!$C:$C,IFERROR(SUMPRODUCT((Transactions!$L$9:$L$5005=$D$1)*(Transactions!$M$9:$M$5005=106)*ROW(Transactions!$L$9:$L$5005)),0))),"")</f>
        <v>45338</v>
      </c>
      <c r="D132" s="107" t="str">
        <f ca="1">IFERROR(IF(IFERROR(SUMPRODUCT((Transactions!$L$9:$L$5005=$D$1)*(Transactions!$M$9:$M$5005=106)*ROW(Transactions!$L$9:$L$5005)),0)=0,"",INDEX(Transactions!$D:$D,IFERROR(SUMPRODUCT((Transactions!$L$9:$L$5005=$D$1)*(Transactions!$M$9:$M$5005=106)*ROW(Transactions!$L$9:$L$5005)),0))),"")</f>
        <v>Tution fee</v>
      </c>
      <c r="E132" s="108" t="str">
        <f ca="1">IFERROR(IF(IFERROR(SUMPRODUCT((Transactions!$L$9:$L$5005=$D$1)*(Transactions!$M$9:$M$5005=106)*ROW(Transactions!$L$9:$L$5005)),0)=0,"",INDEX(Transactions!$F:$F,IFERROR(SUMPRODUCT((Transactions!$L$9:$L$5005=$D$1)*(Transactions!$M$9:$M$5005=106)*ROW(Transactions!$L$9:$L$5005)),0))),"")</f>
        <v>Expense</v>
      </c>
      <c r="F132" s="108" t="str">
        <f ca="1">IFERROR(IF(IFERROR(SUMPRODUCT((Transactions!$L$9:$L$5005=$D$1)*(Transactions!$M$9:$M$5005=106)*ROW(Transactions!$L$9:$L$5005)),0)=0,"",INDEX(Transactions!$G:$G,IFERROR(SUMPRODUCT((Transactions!$L$9:$L$5005=$D$1)*(Transactions!$M$9:$M$5005=106)*ROW(Transactions!$L$9:$L$5005)),0))),"")</f>
        <v>Pawan</v>
      </c>
      <c r="G132" s="109">
        <f ca="1">IFERROR(IF(IFERROR(SUMPRODUCT((Transactions!$L$9:$L$5005=$D$1)*(Transactions!$M$9:$M$5005=106)*ROW(Transactions!$L$9:$L$5005)),0)=0,"",INDEX(Transactions!$H:$H,IFERROR(SUMPRODUCT((Transactions!$L$9:$L$5005=$D$1)*(Transactions!$M$9:$M$5005=106)*ROW(Transactions!$L$9:$L$5005)),0))),"")</f>
        <v>8600</v>
      </c>
      <c r="H132" s="108">
        <f ca="1">IFERROR(IF(IFERROR(SUMPRODUCT((Transactions!$L$9:$L$5005=$D$1)*(Transactions!$M$9:$M$5005=106)*ROW(Transactions!$L$9:$L$5005)),0)=0,"",INDEX(Transactions!$J:$J,IFERROR(SUMPRODUCT((Transactions!$L$9:$L$5005=$D$1)*(Transactions!$M$9:$M$5005=106)*ROW(Transactions!$L$9:$L$5005)),0))),"")</f>
        <v>0</v>
      </c>
      <c r="I132" s="107">
        <f ca="1">IFERROR(IF(IFERROR(SUMPRODUCT((Transactions!$L$9:$L$5005=$D$1)*(Transactions!$M$9:$M$5005=106)*ROW(Transactions!$L$9:$L$5005)),0)=0,"",INDEX(Transactions!$K:$K,IFERROR(SUMPRODUCT((Transactions!$L$9:$L$5005=$D$1)*(Transactions!$M$9:$M$5005=106)*ROW(Transactions!$L$9:$L$5005)),0))),"")</f>
        <v>0</v>
      </c>
      <c r="J132" s="299">
        <f ca="1">IFERROR(IF(IFERROR(SUMPRODUCT((Transactions!$L$9:$L$5005=$D$1)*(Transactions!$M$9:$M$5005=106)*ROW(Transactions!$L$9:$L$5005)),0)=0,"",INDEX(Transactions!$L:$L,IFERROR(SUMPRODUCT((Transactions!$L$9:$L$5005=$D$1)*(Transactions!$M$9:$M$5005=106)*ROW(Transactions!$L$9:$L$5005)),0))),"")</f>
        <v>2023</v>
      </c>
      <c r="N132" s="112"/>
      <c r="O132" s="245"/>
      <c r="P132" s="246"/>
      <c r="Q132" s="246"/>
      <c r="R132" s="106"/>
      <c r="S132" s="246"/>
      <c r="T132" s="247"/>
      <c r="X132" s="296" t="str" cm="1">
        <f t="array" aca="1" ref="X13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32" s="245" t="str" cm="1">
        <f t="array" aca="1" ref="Y13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32" s="246" t="str" cm="1">
        <f t="array" aca="1" ref="Z13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32" s="246" t="str" cm="1">
        <f t="array" aca="1" ref="AA13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32" s="106" t="str" cm="1">
        <f t="array" aca="1" ref="AB13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32" s="246" t="str" cm="1">
        <f t="array" aca="1" ref="AC13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32" s="247" t="str" cm="1">
        <f t="array" aca="1" ref="AD13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32" s="305" t="str" cm="1">
        <f t="array" aca="1" ref="AE13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33" spans="3:31" ht="16.5" customHeight="1" x14ac:dyDescent="0.2">
      <c r="C133" s="296">
        <f ca="1">IFERROR(IF(IFERROR(SUMPRODUCT((Transactions!$L$9:$L$5005=$D$1)*(Transactions!$M$9:$M$5005=107)*ROW(Transactions!$L$9:$L$5005)),0)=0,"",INDEX(Transactions!$C:$C,IFERROR(SUMPRODUCT((Transactions!$L$9:$L$5005=$D$1)*(Transactions!$M$9:$M$5005=107)*ROW(Transactions!$L$9:$L$5005)),0))),"")</f>
        <v>45341</v>
      </c>
      <c r="D133" s="104" t="str">
        <f ca="1">IFERROR(IF(IFERROR(SUMPRODUCT((Transactions!$L$9:$L$5005=$D$1)*(Transactions!$M$9:$M$5005=107)*ROW(Transactions!$L$9:$L$5005)),0)=0,"",INDEX(Transactions!$D:$D,IFERROR(SUMPRODUCT((Transactions!$L$9:$L$5005=$D$1)*(Transactions!$M$9:$M$5005=107)*ROW(Transactions!$L$9:$L$5005)),0))),"")</f>
        <v>Hostel Jan-feb24</v>
      </c>
      <c r="E133" s="105" t="str">
        <f ca="1">IFERROR(IF(IFERROR(SUMPRODUCT((Transactions!$L$9:$L$5005=$D$1)*(Transactions!$M$9:$M$5005=107)*ROW(Transactions!$L$9:$L$5005)),0)=0,"",INDEX(Transactions!$F:$F,IFERROR(SUMPRODUCT((Transactions!$L$9:$L$5005=$D$1)*(Transactions!$M$9:$M$5005=107)*ROW(Transactions!$L$9:$L$5005)),0))),"")</f>
        <v>Expense</v>
      </c>
      <c r="F133" s="105" t="str">
        <f ca="1">IFERROR(IF(IFERROR(SUMPRODUCT((Transactions!$L$9:$L$5005=$D$1)*(Transactions!$M$9:$M$5005=107)*ROW(Transactions!$L$9:$L$5005)),0)=0,"",INDEX(Transactions!$G:$G,IFERROR(SUMPRODUCT((Transactions!$L$9:$L$5005=$D$1)*(Transactions!$M$9:$M$5005=107)*ROW(Transactions!$L$9:$L$5005)),0))),"")</f>
        <v>Nisha</v>
      </c>
      <c r="G133" s="106">
        <f ca="1">IFERROR(IF(IFERROR(SUMPRODUCT((Transactions!$L$9:$L$5005=$D$1)*(Transactions!$M$9:$M$5005=107)*ROW(Transactions!$L$9:$L$5005)),0)=0,"",INDEX(Transactions!$H:$H,IFERROR(SUMPRODUCT((Transactions!$L$9:$L$5005=$D$1)*(Transactions!$M$9:$M$5005=107)*ROW(Transactions!$L$9:$L$5005)),0))),"")</f>
        <v>17000</v>
      </c>
      <c r="H133" s="105">
        <f ca="1">IFERROR(IF(IFERROR(SUMPRODUCT((Transactions!$L$9:$L$5005=$D$1)*(Transactions!$M$9:$M$5005=107)*ROW(Transactions!$L$9:$L$5005)),0)=0,"",INDEX(Transactions!$J:$J,IFERROR(SUMPRODUCT((Transactions!$L$9:$L$5005=$D$1)*(Transactions!$M$9:$M$5005=107)*ROW(Transactions!$L$9:$L$5005)),0))),"")</f>
        <v>0</v>
      </c>
      <c r="I133" s="104">
        <f ca="1">IFERROR(IF(IFERROR(SUMPRODUCT((Transactions!$L$9:$L$5005=$D$1)*(Transactions!$M$9:$M$5005=107)*ROW(Transactions!$L$9:$L$5005)),0)=0,"",INDEX(Transactions!$K:$K,IFERROR(SUMPRODUCT((Transactions!$L$9:$L$5005=$D$1)*(Transactions!$M$9:$M$5005=107)*ROW(Transactions!$L$9:$L$5005)),0))),"")</f>
        <v>0</v>
      </c>
      <c r="J133" s="298">
        <f ca="1">IFERROR(IF(IFERROR(SUMPRODUCT((Transactions!$L$9:$L$5005=$D$1)*(Transactions!$M$9:$M$5005=107)*ROW(Transactions!$L$9:$L$5005)),0)=0,"",INDEX(Transactions!$L:$L,IFERROR(SUMPRODUCT((Transactions!$L$9:$L$5005=$D$1)*(Transactions!$M$9:$M$5005=107)*ROW(Transactions!$L$9:$L$5005)),0))),"")</f>
        <v>2023</v>
      </c>
      <c r="N133" s="112"/>
      <c r="O133" s="245"/>
      <c r="P133" s="246"/>
      <c r="Q133" s="246"/>
      <c r="R133" s="106"/>
      <c r="S133" s="246"/>
      <c r="T133" s="247"/>
      <c r="X133" s="296" t="str" cm="1">
        <f t="array" aca="1" ref="X13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33" s="245" t="str" cm="1">
        <f t="array" aca="1" ref="Y13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33" s="246" t="str" cm="1">
        <f t="array" aca="1" ref="Z13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33" s="246" t="str" cm="1">
        <f t="array" aca="1" ref="AA13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33" s="106" t="str" cm="1">
        <f t="array" aca="1" ref="AB13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33" s="246" t="str" cm="1">
        <f t="array" aca="1" ref="AC13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33" s="247" t="str" cm="1">
        <f t="array" aca="1" ref="AD13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33" s="305" t="str" cm="1">
        <f t="array" aca="1" ref="AE13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34" spans="3:31" ht="16.5" customHeight="1" x14ac:dyDescent="0.2">
      <c r="C134" s="297">
        <f ca="1">IFERROR(IF(IFERROR(SUMPRODUCT((Transactions!$L$9:$L$5005=$D$1)*(Transactions!$M$9:$M$5005=108)*ROW(Transactions!$L$9:$L$5005)),0)=0,"",INDEX(Transactions!$C:$C,IFERROR(SUMPRODUCT((Transactions!$L$9:$L$5005=$D$1)*(Transactions!$M$9:$M$5005=108)*ROW(Transactions!$L$9:$L$5005)),0))),"")</f>
        <v>45345</v>
      </c>
      <c r="D134" s="107" t="str">
        <f ca="1">IFERROR(IF(IFERROR(SUMPRODUCT((Transactions!$L$9:$L$5005=$D$1)*(Transactions!$M$9:$M$5005=108)*ROW(Transactions!$L$9:$L$5005)),0)=0,"",INDEX(Transactions!$D:$D,IFERROR(SUMPRODUCT((Transactions!$L$9:$L$5005=$D$1)*(Transactions!$M$9:$M$5005=108)*ROW(Transactions!$L$9:$L$5005)),0))),"")</f>
        <v>Mine</v>
      </c>
      <c r="E134" s="108" t="str">
        <f ca="1">IFERROR(IF(IFERROR(SUMPRODUCT((Transactions!$L$9:$L$5005=$D$1)*(Transactions!$M$9:$M$5005=108)*ROW(Transactions!$L$9:$L$5005)),0)=0,"",INDEX(Transactions!$F:$F,IFERROR(SUMPRODUCT((Transactions!$L$9:$L$5005=$D$1)*(Transactions!$M$9:$M$5005=108)*ROW(Transactions!$L$9:$L$5005)),0))),"")</f>
        <v>Expense</v>
      </c>
      <c r="F134" s="108" t="str">
        <f ca="1">IFERROR(IF(IFERROR(SUMPRODUCT((Transactions!$L$9:$L$5005=$D$1)*(Transactions!$M$9:$M$5005=108)*ROW(Transactions!$L$9:$L$5005)),0)=0,"",INDEX(Transactions!$G:$G,IFERROR(SUMPRODUCT((Transactions!$L$9:$L$5005=$D$1)*(Transactions!$M$9:$M$5005=108)*ROW(Transactions!$L$9:$L$5005)),0))),"")</f>
        <v>Pawan</v>
      </c>
      <c r="G134" s="109">
        <f ca="1">IFERROR(IF(IFERROR(SUMPRODUCT((Transactions!$L$9:$L$5005=$D$1)*(Transactions!$M$9:$M$5005=108)*ROW(Transactions!$L$9:$L$5005)),0)=0,"",INDEX(Transactions!$H:$H,IFERROR(SUMPRODUCT((Transactions!$L$9:$L$5005=$D$1)*(Transactions!$M$9:$M$5005=108)*ROW(Transactions!$L$9:$L$5005)),0))),"")</f>
        <v>1000</v>
      </c>
      <c r="H134" s="108">
        <f ca="1">IFERROR(IF(IFERROR(SUMPRODUCT((Transactions!$L$9:$L$5005=$D$1)*(Transactions!$M$9:$M$5005=108)*ROW(Transactions!$L$9:$L$5005)),0)=0,"",INDEX(Transactions!$J:$J,IFERROR(SUMPRODUCT((Transactions!$L$9:$L$5005=$D$1)*(Transactions!$M$9:$M$5005=108)*ROW(Transactions!$L$9:$L$5005)),0))),"")</f>
        <v>0</v>
      </c>
      <c r="I134" s="107">
        <f ca="1">IFERROR(IF(IFERROR(SUMPRODUCT((Transactions!$L$9:$L$5005=$D$1)*(Transactions!$M$9:$M$5005=108)*ROW(Transactions!$L$9:$L$5005)),0)=0,"",INDEX(Transactions!$K:$K,IFERROR(SUMPRODUCT((Transactions!$L$9:$L$5005=$D$1)*(Transactions!$M$9:$M$5005=108)*ROW(Transactions!$L$9:$L$5005)),0))),"")</f>
        <v>0</v>
      </c>
      <c r="J134" s="299">
        <f ca="1">IFERROR(IF(IFERROR(SUMPRODUCT((Transactions!$L$9:$L$5005=$D$1)*(Transactions!$M$9:$M$5005=108)*ROW(Transactions!$L$9:$L$5005)),0)=0,"",INDEX(Transactions!$L:$L,IFERROR(SUMPRODUCT((Transactions!$L$9:$L$5005=$D$1)*(Transactions!$M$9:$M$5005=108)*ROW(Transactions!$L$9:$L$5005)),0))),"")</f>
        <v>2023</v>
      </c>
      <c r="N134" s="112"/>
      <c r="O134" s="245"/>
      <c r="P134" s="246"/>
      <c r="Q134" s="246"/>
      <c r="R134" s="106"/>
      <c r="S134" s="246"/>
      <c r="T134" s="247"/>
      <c r="X134" s="296" t="str" cm="1">
        <f t="array" aca="1" ref="X13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34" s="245" t="str" cm="1">
        <f t="array" aca="1" ref="Y13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34" s="246" t="str" cm="1">
        <f t="array" aca="1" ref="Z13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34" s="246" t="str" cm="1">
        <f t="array" aca="1" ref="AA13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34" s="106" t="str" cm="1">
        <f t="array" aca="1" ref="AB13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34" s="246" t="str" cm="1">
        <f t="array" aca="1" ref="AC13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34" s="247" t="str" cm="1">
        <f t="array" aca="1" ref="AD13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34" s="305" t="str" cm="1">
        <f t="array" aca="1" ref="AE13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35" spans="3:31" ht="16.5" customHeight="1" x14ac:dyDescent="0.2">
      <c r="C135" s="296">
        <f ca="1">IFERROR(IF(IFERROR(SUMPRODUCT((Transactions!$L$9:$L$5005=$D$1)*(Transactions!$M$9:$M$5005=109)*ROW(Transactions!$L$9:$L$5005)),0)=0,"",INDEX(Transactions!$C:$C,IFERROR(SUMPRODUCT((Transactions!$L$9:$L$5005=$D$1)*(Transactions!$M$9:$M$5005=109)*ROW(Transactions!$L$9:$L$5005)),0))),"")</f>
        <v>45349</v>
      </c>
      <c r="D135" s="104" t="str">
        <f ca="1">IFERROR(IF(IFERROR(SUMPRODUCT((Transactions!$L$9:$L$5005=$D$1)*(Transactions!$M$9:$M$5005=109)*ROW(Transactions!$L$9:$L$5005)),0)=0,"",INDEX(Transactions!$D:$D,IFERROR(SUMPRODUCT((Transactions!$L$9:$L$5005=$D$1)*(Transactions!$M$9:$M$5005=109)*ROW(Transactions!$L$9:$L$5005)),0))),"")</f>
        <v>Mar Expense</v>
      </c>
      <c r="E135" s="105" t="str">
        <f ca="1">IFERROR(IF(IFERROR(SUMPRODUCT((Transactions!$L$9:$L$5005=$D$1)*(Transactions!$M$9:$M$5005=109)*ROW(Transactions!$L$9:$L$5005)),0)=0,"",INDEX(Transactions!$F:$F,IFERROR(SUMPRODUCT((Transactions!$L$9:$L$5005=$D$1)*(Transactions!$M$9:$M$5005=109)*ROW(Transactions!$L$9:$L$5005)),0))),"")</f>
        <v>Expense</v>
      </c>
      <c r="F135" s="105" t="str">
        <f ca="1">IFERROR(IF(IFERROR(SUMPRODUCT((Transactions!$L$9:$L$5005=$D$1)*(Transactions!$M$9:$M$5005=109)*ROW(Transactions!$L$9:$L$5005)),0)=0,"",INDEX(Transactions!$G:$G,IFERROR(SUMPRODUCT((Transactions!$L$9:$L$5005=$D$1)*(Transactions!$M$9:$M$5005=109)*ROW(Transactions!$L$9:$L$5005)),0))),"")</f>
        <v>Nisha</v>
      </c>
      <c r="G135" s="106">
        <f ca="1">IFERROR(IF(IFERROR(SUMPRODUCT((Transactions!$L$9:$L$5005=$D$1)*(Transactions!$M$9:$M$5005=109)*ROW(Transactions!$L$9:$L$5005)),0)=0,"",INDEX(Transactions!$H:$H,IFERROR(SUMPRODUCT((Transactions!$L$9:$L$5005=$D$1)*(Transactions!$M$9:$M$5005=109)*ROW(Transactions!$L$9:$L$5005)),0))),"")</f>
        <v>2000</v>
      </c>
      <c r="H135" s="105">
        <f ca="1">IFERROR(IF(IFERROR(SUMPRODUCT((Transactions!$L$9:$L$5005=$D$1)*(Transactions!$M$9:$M$5005=109)*ROW(Transactions!$L$9:$L$5005)),0)=0,"",INDEX(Transactions!$J:$J,IFERROR(SUMPRODUCT((Transactions!$L$9:$L$5005=$D$1)*(Transactions!$M$9:$M$5005=109)*ROW(Transactions!$L$9:$L$5005)),0))),"")</f>
        <v>0</v>
      </c>
      <c r="I135" s="104">
        <f ca="1">IFERROR(IF(IFERROR(SUMPRODUCT((Transactions!$L$9:$L$5005=$D$1)*(Transactions!$M$9:$M$5005=109)*ROW(Transactions!$L$9:$L$5005)),0)=0,"",INDEX(Transactions!$K:$K,IFERROR(SUMPRODUCT((Transactions!$L$9:$L$5005=$D$1)*(Transactions!$M$9:$M$5005=109)*ROW(Transactions!$L$9:$L$5005)),0))),"")</f>
        <v>0</v>
      </c>
      <c r="J135" s="298">
        <f ca="1">IFERROR(IF(IFERROR(SUMPRODUCT((Transactions!$L$9:$L$5005=$D$1)*(Transactions!$M$9:$M$5005=109)*ROW(Transactions!$L$9:$L$5005)),0)=0,"",INDEX(Transactions!$L:$L,IFERROR(SUMPRODUCT((Transactions!$L$9:$L$5005=$D$1)*(Transactions!$M$9:$M$5005=109)*ROW(Transactions!$L$9:$L$5005)),0))),"")</f>
        <v>2023</v>
      </c>
      <c r="N135" s="112"/>
      <c r="O135" s="245"/>
      <c r="P135" s="246"/>
      <c r="Q135" s="246"/>
      <c r="R135" s="106"/>
      <c r="S135" s="246"/>
      <c r="T135" s="247"/>
      <c r="X135" s="296" t="str" cm="1">
        <f t="array" aca="1" ref="X13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35" s="245" t="str" cm="1">
        <f t="array" aca="1" ref="Y13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35" s="246" t="str" cm="1">
        <f t="array" aca="1" ref="Z13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35" s="246" t="str" cm="1">
        <f t="array" aca="1" ref="AA13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35" s="106" t="str" cm="1">
        <f t="array" aca="1" ref="AB13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35" s="246" t="str" cm="1">
        <f t="array" aca="1" ref="AC13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35" s="247" t="str" cm="1">
        <f t="array" aca="1" ref="AD13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35" s="305" t="str" cm="1">
        <f t="array" aca="1" ref="AE13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36" spans="3:31" ht="16.5" customHeight="1" x14ac:dyDescent="0.2">
      <c r="C136" s="297">
        <f ca="1">IFERROR(IF(IFERROR(SUMPRODUCT((Transactions!$L$9:$L$5005=$D$1)*(Transactions!$M$9:$M$5005=110)*ROW(Transactions!$L$9:$L$5005)),0)=0,"",INDEX(Transactions!$C:$C,IFERROR(SUMPRODUCT((Transactions!$L$9:$L$5005=$D$1)*(Transactions!$M$9:$M$5005=110)*ROW(Transactions!$L$9:$L$5005)),0))),"")</f>
        <v>45350</v>
      </c>
      <c r="D136" s="107" t="str">
        <f ca="1">IFERROR(IF(IFERROR(SUMPRODUCT((Transactions!$L$9:$L$5005=$D$1)*(Transactions!$M$9:$M$5005=110)*ROW(Transactions!$L$9:$L$5005)),0)=0,"",INDEX(Transactions!$D:$D,IFERROR(SUMPRODUCT((Transactions!$L$9:$L$5005=$D$1)*(Transactions!$M$9:$M$5005=110)*ROW(Transactions!$L$9:$L$5005)),0))),"")</f>
        <v>Paytm</v>
      </c>
      <c r="E136" s="108" t="str">
        <f ca="1">IFERROR(IF(IFERROR(SUMPRODUCT((Transactions!$L$9:$L$5005=$D$1)*(Transactions!$M$9:$M$5005=110)*ROW(Transactions!$L$9:$L$5005)),0)=0,"",INDEX(Transactions!$F:$F,IFERROR(SUMPRODUCT((Transactions!$L$9:$L$5005=$D$1)*(Transactions!$M$9:$M$5005=110)*ROW(Transactions!$L$9:$L$5005)),0))),"")</f>
        <v>Expense</v>
      </c>
      <c r="F136" s="108" t="str">
        <f ca="1">IFERROR(IF(IFERROR(SUMPRODUCT((Transactions!$L$9:$L$5005=$D$1)*(Transactions!$M$9:$M$5005=110)*ROW(Transactions!$L$9:$L$5005)),0)=0,"",INDEX(Transactions!$G:$G,IFERROR(SUMPRODUCT((Transactions!$L$9:$L$5005=$D$1)*(Transactions!$M$9:$M$5005=110)*ROW(Transactions!$L$9:$L$5005)),0))),"")</f>
        <v>Delhi</v>
      </c>
      <c r="G136" s="109">
        <f ca="1">IFERROR(IF(IFERROR(SUMPRODUCT((Transactions!$L$9:$L$5005=$D$1)*(Transactions!$M$9:$M$5005=110)*ROW(Transactions!$L$9:$L$5005)),0)=0,"",INDEX(Transactions!$H:$H,IFERROR(SUMPRODUCT((Transactions!$L$9:$L$5005=$D$1)*(Transactions!$M$9:$M$5005=110)*ROW(Transactions!$L$9:$L$5005)),0))),"")</f>
        <v>9274</v>
      </c>
      <c r="H136" s="108">
        <f ca="1">IFERROR(IF(IFERROR(SUMPRODUCT((Transactions!$L$9:$L$5005=$D$1)*(Transactions!$M$9:$M$5005=110)*ROW(Transactions!$L$9:$L$5005)),0)=0,"",INDEX(Transactions!$J:$J,IFERROR(SUMPRODUCT((Transactions!$L$9:$L$5005=$D$1)*(Transactions!$M$9:$M$5005=110)*ROW(Transactions!$L$9:$L$5005)),0))),"")</f>
        <v>0</v>
      </c>
      <c r="I136" s="107">
        <f ca="1">IFERROR(IF(IFERROR(SUMPRODUCT((Transactions!$L$9:$L$5005=$D$1)*(Transactions!$M$9:$M$5005=110)*ROW(Transactions!$L$9:$L$5005)),0)=0,"",INDEX(Transactions!$K:$K,IFERROR(SUMPRODUCT((Transactions!$L$9:$L$5005=$D$1)*(Transactions!$M$9:$M$5005=110)*ROW(Transactions!$L$9:$L$5005)),0))),"")</f>
        <v>0</v>
      </c>
      <c r="J136" s="299">
        <f ca="1">IFERROR(IF(IFERROR(SUMPRODUCT((Transactions!$L$9:$L$5005=$D$1)*(Transactions!$M$9:$M$5005=110)*ROW(Transactions!$L$9:$L$5005)),0)=0,"",INDEX(Transactions!$L:$L,IFERROR(SUMPRODUCT((Transactions!$L$9:$L$5005=$D$1)*(Transactions!$M$9:$M$5005=110)*ROW(Transactions!$L$9:$L$5005)),0))),"")</f>
        <v>2023</v>
      </c>
      <c r="N136" s="112"/>
      <c r="O136" s="245"/>
      <c r="P136" s="246"/>
      <c r="Q136" s="246"/>
      <c r="R136" s="106"/>
      <c r="S136" s="246"/>
      <c r="T136" s="247"/>
      <c r="X136" s="296" t="str" cm="1">
        <f t="array" aca="1" ref="X13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36" s="245" t="str" cm="1">
        <f t="array" aca="1" ref="Y13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36" s="246" t="str" cm="1">
        <f t="array" aca="1" ref="Z13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36" s="246" t="str" cm="1">
        <f t="array" aca="1" ref="AA13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36" s="106" t="str" cm="1">
        <f t="array" aca="1" ref="AB13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36" s="246" t="str" cm="1">
        <f t="array" aca="1" ref="AC13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36" s="247" t="str" cm="1">
        <f t="array" aca="1" ref="AD13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36" s="305" t="str" cm="1">
        <f t="array" aca="1" ref="AE13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37" spans="3:31" ht="16.5" customHeight="1" x14ac:dyDescent="0.2">
      <c r="C137" s="296">
        <f ca="1">IFERROR(IF(IFERROR(SUMPRODUCT((Transactions!$L$9:$L$5005=$D$1)*(Transactions!$M$9:$M$5005=111)*ROW(Transactions!$L$9:$L$5005)),0)=0,"",INDEX(Transactions!$C:$C,IFERROR(SUMPRODUCT((Transactions!$L$9:$L$5005=$D$1)*(Transactions!$M$9:$M$5005=111)*ROW(Transactions!$L$9:$L$5005)),0))),"")</f>
        <v>45350</v>
      </c>
      <c r="D137" s="104">
        <f ca="1">IFERROR(IF(IFERROR(SUMPRODUCT((Transactions!$L$9:$L$5005=$D$1)*(Transactions!$M$9:$M$5005=111)*ROW(Transactions!$L$9:$L$5005)),0)=0,"",INDEX(Transactions!$D:$D,IFERROR(SUMPRODUCT((Transactions!$L$9:$L$5005=$D$1)*(Transactions!$M$9:$M$5005=111)*ROW(Transactions!$L$9:$L$5005)),0))),"")</f>
        <v>45323</v>
      </c>
      <c r="E137" s="105" t="str">
        <f ca="1">IFERROR(IF(IFERROR(SUMPRODUCT((Transactions!$L$9:$L$5005=$D$1)*(Transactions!$M$9:$M$5005=111)*ROW(Transactions!$L$9:$L$5005)),0)=0,"",INDEX(Transactions!$F:$F,IFERROR(SUMPRODUCT((Transactions!$L$9:$L$5005=$D$1)*(Transactions!$M$9:$M$5005=111)*ROW(Transactions!$L$9:$L$5005)),0))),"")</f>
        <v>Expense</v>
      </c>
      <c r="F137" s="105" t="str">
        <f ca="1">IFERROR(IF(IFERROR(SUMPRODUCT((Transactions!$L$9:$L$5005=$D$1)*(Transactions!$M$9:$M$5005=111)*ROW(Transactions!$L$9:$L$5005)),0)=0,"",INDEX(Transactions!$G:$G,IFERROR(SUMPRODUCT((Transactions!$L$9:$L$5005=$D$1)*(Transactions!$M$9:$M$5005=111)*ROW(Transactions!$L$9:$L$5005)),0))),"")</f>
        <v>Pawan</v>
      </c>
      <c r="G137" s="106">
        <f ca="1">IFERROR(IF(IFERROR(SUMPRODUCT((Transactions!$L$9:$L$5005=$D$1)*(Transactions!$M$9:$M$5005=111)*ROW(Transactions!$L$9:$L$5005)),0)=0,"",INDEX(Transactions!$H:$H,IFERROR(SUMPRODUCT((Transactions!$L$9:$L$5005=$D$1)*(Transactions!$M$9:$M$5005=111)*ROW(Transactions!$L$9:$L$5005)),0))),"")</f>
        <v>1000</v>
      </c>
      <c r="H137" s="105">
        <f ca="1">IFERROR(IF(IFERROR(SUMPRODUCT((Transactions!$L$9:$L$5005=$D$1)*(Transactions!$M$9:$M$5005=111)*ROW(Transactions!$L$9:$L$5005)),0)=0,"",INDEX(Transactions!$J:$J,IFERROR(SUMPRODUCT((Transactions!$L$9:$L$5005=$D$1)*(Transactions!$M$9:$M$5005=111)*ROW(Transactions!$L$9:$L$5005)),0))),"")</f>
        <v>0</v>
      </c>
      <c r="I137" s="104">
        <f ca="1">IFERROR(IF(IFERROR(SUMPRODUCT((Transactions!$L$9:$L$5005=$D$1)*(Transactions!$M$9:$M$5005=111)*ROW(Transactions!$L$9:$L$5005)),0)=0,"",INDEX(Transactions!$K:$K,IFERROR(SUMPRODUCT((Transactions!$L$9:$L$5005=$D$1)*(Transactions!$M$9:$M$5005=111)*ROW(Transactions!$L$9:$L$5005)),0))),"")</f>
        <v>0</v>
      </c>
      <c r="J137" s="298">
        <f ca="1">IFERROR(IF(IFERROR(SUMPRODUCT((Transactions!$L$9:$L$5005=$D$1)*(Transactions!$M$9:$M$5005=111)*ROW(Transactions!$L$9:$L$5005)),0)=0,"",INDEX(Transactions!$L:$L,IFERROR(SUMPRODUCT((Transactions!$L$9:$L$5005=$D$1)*(Transactions!$M$9:$M$5005=111)*ROW(Transactions!$L$9:$L$5005)),0))),"")</f>
        <v>2023</v>
      </c>
      <c r="N137" s="112"/>
      <c r="O137" s="245"/>
      <c r="P137" s="246"/>
      <c r="Q137" s="246"/>
      <c r="R137" s="106"/>
      <c r="S137" s="246"/>
      <c r="T137" s="247"/>
      <c r="X137" s="296" t="str" cm="1">
        <f t="array" aca="1" ref="X13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37" s="245" t="str" cm="1">
        <f t="array" aca="1" ref="Y13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37" s="246" t="str" cm="1">
        <f t="array" aca="1" ref="Z13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37" s="246" t="str" cm="1">
        <f t="array" aca="1" ref="AA13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37" s="106" t="str" cm="1">
        <f t="array" aca="1" ref="AB13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37" s="246" t="str" cm="1">
        <f t="array" aca="1" ref="AC13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37" s="247" t="str" cm="1">
        <f t="array" aca="1" ref="AD13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37" s="305" t="str" cm="1">
        <f t="array" aca="1" ref="AE13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38" spans="3:31" ht="16.5" customHeight="1" x14ac:dyDescent="0.2">
      <c r="C138" s="297">
        <f ca="1">IFERROR(IF(IFERROR(SUMPRODUCT((Transactions!$L$9:$L$5005=$D$1)*(Transactions!$M$9:$M$5005=112)*ROW(Transactions!$L$9:$L$5005)),0)=0,"",INDEX(Transactions!$C:$C,IFERROR(SUMPRODUCT((Transactions!$L$9:$L$5005=$D$1)*(Transactions!$M$9:$M$5005=112)*ROW(Transactions!$L$9:$L$5005)),0))),"")</f>
        <v>45351</v>
      </c>
      <c r="D138" s="107">
        <f ca="1">IFERROR(IF(IFERROR(SUMPRODUCT((Transactions!$L$9:$L$5005=$D$1)*(Transactions!$M$9:$M$5005=112)*ROW(Transactions!$L$9:$L$5005)),0)=0,"",INDEX(Transactions!$D:$D,IFERROR(SUMPRODUCT((Transactions!$L$9:$L$5005=$D$1)*(Transactions!$M$9:$M$5005=112)*ROW(Transactions!$L$9:$L$5005)),0))),"")</f>
        <v>45352</v>
      </c>
      <c r="E138" s="108" t="str">
        <f ca="1">IFERROR(IF(IFERROR(SUMPRODUCT((Transactions!$L$9:$L$5005=$D$1)*(Transactions!$M$9:$M$5005=112)*ROW(Transactions!$L$9:$L$5005)),0)=0,"",INDEX(Transactions!$F:$F,IFERROR(SUMPRODUCT((Transactions!$L$9:$L$5005=$D$1)*(Transactions!$M$9:$M$5005=112)*ROW(Transactions!$L$9:$L$5005)),0))),"")</f>
        <v>Expense</v>
      </c>
      <c r="F138" s="108" t="str">
        <f ca="1">IFERROR(IF(IFERROR(SUMPRODUCT((Transactions!$L$9:$L$5005=$D$1)*(Transactions!$M$9:$M$5005=112)*ROW(Transactions!$L$9:$L$5005)),0)=0,"",INDEX(Transactions!$G:$G,IFERROR(SUMPRODUCT((Transactions!$L$9:$L$5005=$D$1)*(Transactions!$M$9:$M$5005=112)*ROW(Transactions!$L$9:$L$5005)),0))),"")</f>
        <v>Pawan</v>
      </c>
      <c r="G138" s="109">
        <f ca="1">IFERROR(IF(IFERROR(SUMPRODUCT((Transactions!$L$9:$L$5005=$D$1)*(Transactions!$M$9:$M$5005=112)*ROW(Transactions!$L$9:$L$5005)),0)=0,"",INDEX(Transactions!$H:$H,IFERROR(SUMPRODUCT((Transactions!$L$9:$L$5005=$D$1)*(Transactions!$M$9:$M$5005=112)*ROW(Transactions!$L$9:$L$5005)),0))),"")</f>
        <v>4000</v>
      </c>
      <c r="H138" s="108">
        <f ca="1">IFERROR(IF(IFERROR(SUMPRODUCT((Transactions!$L$9:$L$5005=$D$1)*(Transactions!$M$9:$M$5005=112)*ROW(Transactions!$L$9:$L$5005)),0)=0,"",INDEX(Transactions!$J:$J,IFERROR(SUMPRODUCT((Transactions!$L$9:$L$5005=$D$1)*(Transactions!$M$9:$M$5005=112)*ROW(Transactions!$L$9:$L$5005)),0))),"")</f>
        <v>0</v>
      </c>
      <c r="I138" s="107">
        <f ca="1">IFERROR(IF(IFERROR(SUMPRODUCT((Transactions!$L$9:$L$5005=$D$1)*(Transactions!$M$9:$M$5005=112)*ROW(Transactions!$L$9:$L$5005)),0)=0,"",INDEX(Transactions!$K:$K,IFERROR(SUMPRODUCT((Transactions!$L$9:$L$5005=$D$1)*(Transactions!$M$9:$M$5005=112)*ROW(Transactions!$L$9:$L$5005)),0))),"")</f>
        <v>0</v>
      </c>
      <c r="J138" s="299">
        <f ca="1">IFERROR(IF(IFERROR(SUMPRODUCT((Transactions!$L$9:$L$5005=$D$1)*(Transactions!$M$9:$M$5005=112)*ROW(Transactions!$L$9:$L$5005)),0)=0,"",INDEX(Transactions!$L:$L,IFERROR(SUMPRODUCT((Transactions!$L$9:$L$5005=$D$1)*(Transactions!$M$9:$M$5005=112)*ROW(Transactions!$L$9:$L$5005)),0))),"")</f>
        <v>2023</v>
      </c>
      <c r="N138" s="112"/>
      <c r="O138" s="245"/>
      <c r="P138" s="246"/>
      <c r="Q138" s="246"/>
      <c r="R138" s="106"/>
      <c r="S138" s="246"/>
      <c r="T138" s="247"/>
      <c r="X138" s="296" t="str" cm="1">
        <f t="array" aca="1" ref="X13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38" s="245" t="str" cm="1">
        <f t="array" aca="1" ref="Y13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38" s="246" t="str" cm="1">
        <f t="array" aca="1" ref="Z13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38" s="246" t="str" cm="1">
        <f t="array" aca="1" ref="AA13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38" s="106" t="str" cm="1">
        <f t="array" aca="1" ref="AB13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38" s="246" t="str" cm="1">
        <f t="array" aca="1" ref="AC13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38" s="247" t="str" cm="1">
        <f t="array" aca="1" ref="AD13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38" s="305" t="str" cm="1">
        <f t="array" aca="1" ref="AE13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39" spans="3:31" ht="16.5" customHeight="1" x14ac:dyDescent="0.2">
      <c r="C139" s="296">
        <f ca="1">IFERROR(IF(IFERROR(SUMPRODUCT((Transactions!$L$9:$L$5005=$D$1)*(Transactions!$M$9:$M$5005=113)*ROW(Transactions!$L$9:$L$5005)),0)=0,"",INDEX(Transactions!$C:$C,IFERROR(SUMPRODUCT((Transactions!$L$9:$L$5005=$D$1)*(Transactions!$M$9:$M$5005=113)*ROW(Transactions!$L$9:$L$5005)),0))),"")</f>
        <v>45351</v>
      </c>
      <c r="D139" s="104" t="str">
        <f ca="1">IFERROR(IF(IFERROR(SUMPRODUCT((Transactions!$L$9:$L$5005=$D$1)*(Transactions!$M$9:$M$5005=113)*ROW(Transactions!$L$9:$L$5005)),0)=0,"",INDEX(Transactions!$D:$D,IFERROR(SUMPRODUCT((Transactions!$L$9:$L$5005=$D$1)*(Transactions!$M$9:$M$5005=113)*ROW(Transactions!$L$9:$L$5005)),0))),"")</f>
        <v>Cognizant Feb</v>
      </c>
      <c r="E139" s="105" t="str">
        <f ca="1">IFERROR(IF(IFERROR(SUMPRODUCT((Transactions!$L$9:$L$5005=$D$1)*(Transactions!$M$9:$M$5005=113)*ROW(Transactions!$L$9:$L$5005)),0)=0,"",INDEX(Transactions!$F:$F,IFERROR(SUMPRODUCT((Transactions!$L$9:$L$5005=$D$1)*(Transactions!$M$9:$M$5005=113)*ROW(Transactions!$L$9:$L$5005)),0))),"")</f>
        <v>Income</v>
      </c>
      <c r="F139" s="105" t="str">
        <f ca="1">IFERROR(IF(IFERROR(SUMPRODUCT((Transactions!$L$9:$L$5005=$D$1)*(Transactions!$M$9:$M$5005=113)*ROW(Transactions!$L$9:$L$5005)),0)=0,"",INDEX(Transactions!$G:$G,IFERROR(SUMPRODUCT((Transactions!$L$9:$L$5005=$D$1)*(Transactions!$M$9:$M$5005=113)*ROW(Transactions!$L$9:$L$5005)),0))),"")</f>
        <v>Salary</v>
      </c>
      <c r="G139" s="106">
        <f ca="1">IFERROR(IF(IFERROR(SUMPRODUCT((Transactions!$L$9:$L$5005=$D$1)*(Transactions!$M$9:$M$5005=113)*ROW(Transactions!$L$9:$L$5005)),0)=0,"",INDEX(Transactions!$H:$H,IFERROR(SUMPRODUCT((Transactions!$L$9:$L$5005=$D$1)*(Transactions!$M$9:$M$5005=113)*ROW(Transactions!$L$9:$L$5005)),0))),"")</f>
        <v>46000</v>
      </c>
      <c r="H139" s="105">
        <f ca="1">IFERROR(IF(IFERROR(SUMPRODUCT((Transactions!$L$9:$L$5005=$D$1)*(Transactions!$M$9:$M$5005=113)*ROW(Transactions!$L$9:$L$5005)),0)=0,"",INDEX(Transactions!$J:$J,IFERROR(SUMPRODUCT((Transactions!$L$9:$L$5005=$D$1)*(Transactions!$M$9:$M$5005=113)*ROW(Transactions!$L$9:$L$5005)),0))),"")</f>
        <v>0</v>
      </c>
      <c r="I139" s="104">
        <f ca="1">IFERROR(IF(IFERROR(SUMPRODUCT((Transactions!$L$9:$L$5005=$D$1)*(Transactions!$M$9:$M$5005=113)*ROW(Transactions!$L$9:$L$5005)),0)=0,"",INDEX(Transactions!$K:$K,IFERROR(SUMPRODUCT((Transactions!$L$9:$L$5005=$D$1)*(Transactions!$M$9:$M$5005=113)*ROW(Transactions!$L$9:$L$5005)),0))),"")</f>
        <v>0</v>
      </c>
      <c r="J139" s="298">
        <f ca="1">IFERROR(IF(IFERROR(SUMPRODUCT((Transactions!$L$9:$L$5005=$D$1)*(Transactions!$M$9:$M$5005=113)*ROW(Transactions!$L$9:$L$5005)),0)=0,"",INDEX(Transactions!$L:$L,IFERROR(SUMPRODUCT((Transactions!$L$9:$L$5005=$D$1)*(Transactions!$M$9:$M$5005=113)*ROW(Transactions!$L$9:$L$5005)),0))),"")</f>
        <v>2023</v>
      </c>
      <c r="N139" s="112"/>
      <c r="O139" s="245"/>
      <c r="P139" s="246"/>
      <c r="Q139" s="246"/>
      <c r="R139" s="106"/>
      <c r="S139" s="246"/>
      <c r="T139" s="247"/>
      <c r="X139" s="296" t="str" cm="1">
        <f t="array" aca="1" ref="X13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39" s="245" t="str" cm="1">
        <f t="array" aca="1" ref="Y13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39" s="246" t="str" cm="1">
        <f t="array" aca="1" ref="Z13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39" s="246" t="str" cm="1">
        <f t="array" aca="1" ref="AA13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39" s="106" t="str" cm="1">
        <f t="array" aca="1" ref="AB13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39" s="246" t="str" cm="1">
        <f t="array" aca="1" ref="AC13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39" s="247" t="str" cm="1">
        <f t="array" aca="1" ref="AD13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39" s="305" t="str" cm="1">
        <f t="array" aca="1" ref="AE13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40" spans="3:31" ht="16.5" customHeight="1" x14ac:dyDescent="0.2">
      <c r="C140" s="297">
        <f ca="1">IFERROR(IF(IFERROR(SUMPRODUCT((Transactions!$L$9:$L$5005=$D$1)*(Transactions!$M$9:$M$5005=114)*ROW(Transactions!$L$9:$L$5005)),0)=0,"",INDEX(Transactions!$C:$C,IFERROR(SUMPRODUCT((Transactions!$L$9:$L$5005=$D$1)*(Transactions!$M$9:$M$5005=114)*ROW(Transactions!$L$9:$L$5005)),0))),"")</f>
        <v>45352</v>
      </c>
      <c r="D140" s="107" t="str">
        <f ca="1">IFERROR(IF(IFERROR(SUMPRODUCT((Transactions!$L$9:$L$5005=$D$1)*(Transactions!$M$9:$M$5005=114)*ROW(Transactions!$L$9:$L$5005)),0)=0,"",INDEX(Transactions!$D:$D,IFERROR(SUMPRODUCT((Transactions!$L$9:$L$5005=$D$1)*(Transactions!$M$9:$M$5005=114)*ROW(Transactions!$L$9:$L$5005)),0))),"")</f>
        <v>TKT +BLAZER</v>
      </c>
      <c r="E140" s="108" t="str">
        <f ca="1">IFERROR(IF(IFERROR(SUMPRODUCT((Transactions!$L$9:$L$5005=$D$1)*(Transactions!$M$9:$M$5005=114)*ROW(Transactions!$L$9:$L$5005)),0)=0,"",INDEX(Transactions!$F:$F,IFERROR(SUMPRODUCT((Transactions!$L$9:$L$5005=$D$1)*(Transactions!$M$9:$M$5005=114)*ROW(Transactions!$L$9:$L$5005)),0))),"")</f>
        <v>Expense</v>
      </c>
      <c r="F140" s="108" t="str">
        <f ca="1">IFERROR(IF(IFERROR(SUMPRODUCT((Transactions!$L$9:$L$5005=$D$1)*(Transactions!$M$9:$M$5005=114)*ROW(Transactions!$L$9:$L$5005)),0)=0,"",INDEX(Transactions!$G:$G,IFERROR(SUMPRODUCT((Transactions!$L$9:$L$5005=$D$1)*(Transactions!$M$9:$M$5005=114)*ROW(Transactions!$L$9:$L$5005)),0))),"")</f>
        <v>Home</v>
      </c>
      <c r="G140" s="109">
        <f ca="1">IFERROR(IF(IFERROR(SUMPRODUCT((Transactions!$L$9:$L$5005=$D$1)*(Transactions!$M$9:$M$5005=114)*ROW(Transactions!$L$9:$L$5005)),0)=0,"",INDEX(Transactions!$H:$H,IFERROR(SUMPRODUCT((Transactions!$L$9:$L$5005=$D$1)*(Transactions!$M$9:$M$5005=114)*ROW(Transactions!$L$9:$L$5005)),0))),"")</f>
        <v>13040.6</v>
      </c>
      <c r="H140" s="108">
        <f ca="1">IFERROR(IF(IFERROR(SUMPRODUCT((Transactions!$L$9:$L$5005=$D$1)*(Transactions!$M$9:$M$5005=114)*ROW(Transactions!$L$9:$L$5005)),0)=0,"",INDEX(Transactions!$J:$J,IFERROR(SUMPRODUCT((Transactions!$L$9:$L$5005=$D$1)*(Transactions!$M$9:$M$5005=114)*ROW(Transactions!$L$9:$L$5005)),0))),"")</f>
        <v>0</v>
      </c>
      <c r="I140" s="107" t="str">
        <f ca="1">IFERROR(IF(IFERROR(SUMPRODUCT((Transactions!$L$9:$L$5005=$D$1)*(Transactions!$M$9:$M$5005=114)*ROW(Transactions!$L$9:$L$5005)),0)=0,"",INDEX(Transactions!$K:$K,IFERROR(SUMPRODUCT((Transactions!$L$9:$L$5005=$D$1)*(Transactions!$M$9:$M$5005=114)*ROW(Transactions!$L$9:$L$5005)),0))),"")</f>
        <v xml:space="preserve">5283.6        1320.9        return
3200        1500+1700        blazer
2653.6        1326.8        d to g-2
3980.4        1326.8        d to g 3
950                return 1
-1700                bitan bhai blazer
-1327                bitan bjai 1 tkt
13040.6                </v>
      </c>
      <c r="J140" s="299">
        <f ca="1">IFERROR(IF(IFERROR(SUMPRODUCT((Transactions!$L$9:$L$5005=$D$1)*(Transactions!$M$9:$M$5005=114)*ROW(Transactions!$L$9:$L$5005)),0)=0,"",INDEX(Transactions!$L:$L,IFERROR(SUMPRODUCT((Transactions!$L$9:$L$5005=$D$1)*(Transactions!$M$9:$M$5005=114)*ROW(Transactions!$L$9:$L$5005)),0))),"")</f>
        <v>2023</v>
      </c>
      <c r="N140" s="112"/>
      <c r="O140" s="245"/>
      <c r="P140" s="246"/>
      <c r="Q140" s="246"/>
      <c r="R140" s="106"/>
      <c r="S140" s="246"/>
      <c r="T140" s="247"/>
      <c r="X140" s="296" t="str" cm="1">
        <f t="array" aca="1" ref="X14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40" s="245" t="str" cm="1">
        <f t="array" aca="1" ref="Y14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40" s="246" t="str" cm="1">
        <f t="array" aca="1" ref="Z14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40" s="246" t="str" cm="1">
        <f t="array" aca="1" ref="AA14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40" s="106" t="str" cm="1">
        <f t="array" aca="1" ref="AB14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40" s="246" t="str" cm="1">
        <f t="array" aca="1" ref="AC14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40" s="247" t="str" cm="1">
        <f t="array" aca="1" ref="AD14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40" s="305" t="str" cm="1">
        <f t="array" aca="1" ref="AE14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41" spans="3:31" ht="16.5" customHeight="1" x14ac:dyDescent="0.2">
      <c r="C141" s="296">
        <f ca="1">IFERROR(IF(IFERROR(SUMPRODUCT((Transactions!$L$9:$L$5005=$D$1)*(Transactions!$M$9:$M$5005=115)*ROW(Transactions!$L$9:$L$5005)),0)=0,"",INDEX(Transactions!$C:$C,IFERROR(SUMPRODUCT((Transactions!$L$9:$L$5005=$D$1)*(Transactions!$M$9:$M$5005=115)*ROW(Transactions!$L$9:$L$5005)),0))),"")</f>
        <v>45355</v>
      </c>
      <c r="D141" s="104" t="str">
        <f ca="1">IFERROR(IF(IFERROR(SUMPRODUCT((Transactions!$L$9:$L$5005=$D$1)*(Transactions!$M$9:$M$5005=115)*ROW(Transactions!$L$9:$L$5005)),0)=0,"",INDEX(Transactions!$D:$D,IFERROR(SUMPRODUCT((Transactions!$L$9:$L$5005=$D$1)*(Transactions!$M$9:$M$5005=115)*ROW(Transactions!$L$9:$L$5005)),0))),"")</f>
        <v>MBA12</v>
      </c>
      <c r="E141" s="105" t="str">
        <f ca="1">IFERROR(IF(IFERROR(SUMPRODUCT((Transactions!$L$9:$L$5005=$D$1)*(Transactions!$M$9:$M$5005=115)*ROW(Transactions!$L$9:$L$5005)),0)=0,"",INDEX(Transactions!$F:$F,IFERROR(SUMPRODUCT((Transactions!$L$9:$L$5005=$D$1)*(Transactions!$M$9:$M$5005=115)*ROW(Transactions!$L$9:$L$5005)),0))),"")</f>
        <v>Expense</v>
      </c>
      <c r="F141" s="105" t="str">
        <f ca="1">IFERROR(IF(IFERROR(SUMPRODUCT((Transactions!$L$9:$L$5005=$D$1)*(Transactions!$M$9:$M$5005=115)*ROW(Transactions!$L$9:$L$5005)),0)=0,"",INDEX(Transactions!$G:$G,IFERROR(SUMPRODUCT((Transactions!$L$9:$L$5005=$D$1)*(Transactions!$M$9:$M$5005=115)*ROW(Transactions!$L$9:$L$5005)),0))),"")</f>
        <v>Ed LOAN</v>
      </c>
      <c r="G141" s="106">
        <f ca="1">IFERROR(IF(IFERROR(SUMPRODUCT((Transactions!$L$9:$L$5005=$D$1)*(Transactions!$M$9:$M$5005=115)*ROW(Transactions!$L$9:$L$5005)),0)=0,"",INDEX(Transactions!$H:$H,IFERROR(SUMPRODUCT((Transactions!$L$9:$L$5005=$D$1)*(Transactions!$M$9:$M$5005=115)*ROW(Transactions!$L$9:$L$5005)),0))),"")</f>
        <v>6882.54</v>
      </c>
      <c r="H141" s="105">
        <f ca="1">IFERROR(IF(IFERROR(SUMPRODUCT((Transactions!$L$9:$L$5005=$D$1)*(Transactions!$M$9:$M$5005=115)*ROW(Transactions!$L$9:$L$5005)),0)=0,"",INDEX(Transactions!$J:$J,IFERROR(SUMPRODUCT((Transactions!$L$9:$L$5005=$D$1)*(Transactions!$M$9:$M$5005=115)*ROW(Transactions!$L$9:$L$5005)),0))),"")</f>
        <v>0</v>
      </c>
      <c r="I141" s="104">
        <f ca="1">IFERROR(IF(IFERROR(SUMPRODUCT((Transactions!$L$9:$L$5005=$D$1)*(Transactions!$M$9:$M$5005=115)*ROW(Transactions!$L$9:$L$5005)),0)=0,"",INDEX(Transactions!$K:$K,IFERROR(SUMPRODUCT((Transactions!$L$9:$L$5005=$D$1)*(Transactions!$M$9:$M$5005=115)*ROW(Transactions!$L$9:$L$5005)),0))),"")</f>
        <v>0</v>
      </c>
      <c r="J141" s="298">
        <f ca="1">IFERROR(IF(IFERROR(SUMPRODUCT((Transactions!$L$9:$L$5005=$D$1)*(Transactions!$M$9:$M$5005=115)*ROW(Transactions!$L$9:$L$5005)),0)=0,"",INDEX(Transactions!$L:$L,IFERROR(SUMPRODUCT((Transactions!$L$9:$L$5005=$D$1)*(Transactions!$M$9:$M$5005=115)*ROW(Transactions!$L$9:$L$5005)),0))),"")</f>
        <v>2023</v>
      </c>
      <c r="N141" s="112"/>
      <c r="O141" s="245"/>
      <c r="P141" s="246"/>
      <c r="Q141" s="246"/>
      <c r="R141" s="106"/>
      <c r="S141" s="246"/>
      <c r="T141" s="247"/>
      <c r="X141" s="296" t="str" cm="1">
        <f t="array" aca="1" ref="X14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41" s="245" t="str" cm="1">
        <f t="array" aca="1" ref="Y14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41" s="246" t="str" cm="1">
        <f t="array" aca="1" ref="Z14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41" s="246" t="str" cm="1">
        <f t="array" aca="1" ref="AA14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41" s="106" t="str" cm="1">
        <f t="array" aca="1" ref="AB14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41" s="246" t="str" cm="1">
        <f t="array" aca="1" ref="AC14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41" s="247" t="str" cm="1">
        <f t="array" aca="1" ref="AD14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41" s="305" t="str" cm="1">
        <f t="array" aca="1" ref="AE14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42" spans="3:31" ht="16.5" customHeight="1" x14ac:dyDescent="0.2">
      <c r="C142" s="297">
        <f ca="1">IFERROR(IF(IFERROR(SUMPRODUCT((Transactions!$L$9:$L$5005=$D$1)*(Transactions!$M$9:$M$5005=116)*ROW(Transactions!$L$9:$L$5005)),0)=0,"",INDEX(Transactions!$C:$C,IFERROR(SUMPRODUCT((Transactions!$L$9:$L$5005=$D$1)*(Transactions!$M$9:$M$5005=116)*ROW(Transactions!$L$9:$L$5005)),0))),"")</f>
        <v>45361</v>
      </c>
      <c r="D142" s="107" t="str">
        <f ca="1">IFERROR(IF(IFERROR(SUMPRODUCT((Transactions!$L$9:$L$5005=$D$1)*(Transactions!$M$9:$M$5005=116)*ROW(Transactions!$L$9:$L$5005)),0)=0,"",INDEX(Transactions!$D:$D,IFERROR(SUMPRODUCT((Transactions!$L$9:$L$5005=$D$1)*(Transactions!$M$9:$M$5005=116)*ROW(Transactions!$L$9:$L$5005)),0))),"")</f>
        <v>Mar</v>
      </c>
      <c r="E142" s="108" t="str">
        <f ca="1">IFERROR(IF(IFERROR(SUMPRODUCT((Transactions!$L$9:$L$5005=$D$1)*(Transactions!$M$9:$M$5005=116)*ROW(Transactions!$L$9:$L$5005)),0)=0,"",INDEX(Transactions!$F:$F,IFERROR(SUMPRODUCT((Transactions!$L$9:$L$5005=$D$1)*(Transactions!$M$9:$M$5005=116)*ROW(Transactions!$L$9:$L$5005)),0))),"")</f>
        <v>Investment</v>
      </c>
      <c r="F142" s="108" t="str">
        <f ca="1">IFERROR(IF(IFERROR(SUMPRODUCT((Transactions!$L$9:$L$5005=$D$1)*(Transactions!$M$9:$M$5005=116)*ROW(Transactions!$L$9:$L$5005)),0)=0,"",INDEX(Transactions!$G:$G,IFERROR(SUMPRODUCT((Transactions!$L$9:$L$5005=$D$1)*(Transactions!$M$9:$M$5005=116)*ROW(Transactions!$L$9:$L$5005)),0))),"")</f>
        <v>Saving</v>
      </c>
      <c r="G142" s="109">
        <f ca="1">IFERROR(IF(IFERROR(SUMPRODUCT((Transactions!$L$9:$L$5005=$D$1)*(Transactions!$M$9:$M$5005=116)*ROW(Transactions!$L$9:$L$5005)),0)=0,"",INDEX(Transactions!$H:$H,IFERROR(SUMPRODUCT((Transactions!$L$9:$L$5005=$D$1)*(Transactions!$M$9:$M$5005=116)*ROW(Transactions!$L$9:$L$5005)),0))),"")</f>
        <v>1376</v>
      </c>
      <c r="H142" s="108">
        <f ca="1">IFERROR(IF(IFERROR(SUMPRODUCT((Transactions!$L$9:$L$5005=$D$1)*(Transactions!$M$9:$M$5005=116)*ROW(Transactions!$L$9:$L$5005)),0)=0,"",INDEX(Transactions!$J:$J,IFERROR(SUMPRODUCT((Transactions!$L$9:$L$5005=$D$1)*(Transactions!$M$9:$M$5005=116)*ROW(Transactions!$L$9:$L$5005)),0))),"")</f>
        <v>0</v>
      </c>
      <c r="I142" s="107">
        <f ca="1">IFERROR(IF(IFERROR(SUMPRODUCT((Transactions!$L$9:$L$5005=$D$1)*(Transactions!$M$9:$M$5005=116)*ROW(Transactions!$L$9:$L$5005)),0)=0,"",INDEX(Transactions!$K:$K,IFERROR(SUMPRODUCT((Transactions!$L$9:$L$5005=$D$1)*(Transactions!$M$9:$M$5005=116)*ROW(Transactions!$L$9:$L$5005)),0))),"")</f>
        <v>0</v>
      </c>
      <c r="J142" s="299">
        <f ca="1">IFERROR(IF(IFERROR(SUMPRODUCT((Transactions!$L$9:$L$5005=$D$1)*(Transactions!$M$9:$M$5005=116)*ROW(Transactions!$L$9:$L$5005)),0)=0,"",INDEX(Transactions!$L:$L,IFERROR(SUMPRODUCT((Transactions!$L$9:$L$5005=$D$1)*(Transactions!$M$9:$M$5005=116)*ROW(Transactions!$L$9:$L$5005)),0))),"")</f>
        <v>2023</v>
      </c>
      <c r="N142" s="112"/>
      <c r="O142" s="245"/>
      <c r="P142" s="246"/>
      <c r="Q142" s="246"/>
      <c r="R142" s="106"/>
      <c r="S142" s="246"/>
      <c r="T142" s="247"/>
      <c r="X142" s="296" t="str" cm="1">
        <f t="array" aca="1" ref="X14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42" s="245" t="str" cm="1">
        <f t="array" aca="1" ref="Y14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42" s="246" t="str" cm="1">
        <f t="array" aca="1" ref="Z14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42" s="246" t="str" cm="1">
        <f t="array" aca="1" ref="AA14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42" s="106" t="str" cm="1">
        <f t="array" aca="1" ref="AB14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42" s="246" t="str" cm="1">
        <f t="array" aca="1" ref="AC14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42" s="247" t="str" cm="1">
        <f t="array" aca="1" ref="AD14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42" s="305" t="str" cm="1">
        <f t="array" aca="1" ref="AE14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43" spans="3:31" ht="16.5" customHeight="1" x14ac:dyDescent="0.2">
      <c r="C143" s="296">
        <f ca="1">IFERROR(IF(IFERROR(SUMPRODUCT((Transactions!$L$9:$L$5005=$D$1)*(Transactions!$M$9:$M$5005=117)*ROW(Transactions!$L$9:$L$5005)),0)=0,"",INDEX(Transactions!$C:$C,IFERROR(SUMPRODUCT((Transactions!$L$9:$L$5005=$D$1)*(Transactions!$M$9:$M$5005=117)*ROW(Transactions!$L$9:$L$5005)),0))),"")</f>
        <v>45364</v>
      </c>
      <c r="D143" s="104" t="str">
        <f ca="1">IFERROR(IF(IFERROR(SUMPRODUCT((Transactions!$L$9:$L$5005=$D$1)*(Transactions!$M$9:$M$5005=117)*ROW(Transactions!$L$9:$L$5005)),0)=0,"",INDEX(Transactions!$D:$D,IFERROR(SUMPRODUCT((Transactions!$L$9:$L$5005=$D$1)*(Transactions!$M$9:$M$5005=117)*ROW(Transactions!$L$9:$L$5005)),0))),"")</f>
        <v>Puja beltron</v>
      </c>
      <c r="E143" s="105" t="str">
        <f ca="1">IFERROR(IF(IFERROR(SUMPRODUCT((Transactions!$L$9:$L$5005=$D$1)*(Transactions!$M$9:$M$5005=117)*ROW(Transactions!$L$9:$L$5005)),0)=0,"",INDEX(Transactions!$F:$F,IFERROR(SUMPRODUCT((Transactions!$L$9:$L$5005=$D$1)*(Transactions!$M$9:$M$5005=117)*ROW(Transactions!$L$9:$L$5005)),0))),"")</f>
        <v>Expense</v>
      </c>
      <c r="F143" s="105" t="str">
        <f ca="1">IFERROR(IF(IFERROR(SUMPRODUCT((Transactions!$L$9:$L$5005=$D$1)*(Transactions!$M$9:$M$5005=117)*ROW(Transactions!$L$9:$L$5005)),0)=0,"",INDEX(Transactions!$G:$G,IFERROR(SUMPRODUCT((Transactions!$L$9:$L$5005=$D$1)*(Transactions!$M$9:$M$5005=117)*ROW(Transactions!$L$9:$L$5005)),0))),"")</f>
        <v>Home</v>
      </c>
      <c r="G143" s="106">
        <f ca="1">IFERROR(IF(IFERROR(SUMPRODUCT((Transactions!$L$9:$L$5005=$D$1)*(Transactions!$M$9:$M$5005=117)*ROW(Transactions!$L$9:$L$5005)),0)=0,"",INDEX(Transactions!$H:$H,IFERROR(SUMPRODUCT((Transactions!$L$9:$L$5005=$D$1)*(Transactions!$M$9:$M$5005=117)*ROW(Transactions!$L$9:$L$5005)),0))),"")</f>
        <v>250</v>
      </c>
      <c r="H143" s="105">
        <f ca="1">IFERROR(IF(IFERROR(SUMPRODUCT((Transactions!$L$9:$L$5005=$D$1)*(Transactions!$M$9:$M$5005=117)*ROW(Transactions!$L$9:$L$5005)),0)=0,"",INDEX(Transactions!$J:$J,IFERROR(SUMPRODUCT((Transactions!$L$9:$L$5005=$D$1)*(Transactions!$M$9:$M$5005=117)*ROW(Transactions!$L$9:$L$5005)),0))),"")</f>
        <v>0</v>
      </c>
      <c r="I143" s="104">
        <f ca="1">IFERROR(IF(IFERROR(SUMPRODUCT((Transactions!$L$9:$L$5005=$D$1)*(Transactions!$M$9:$M$5005=117)*ROW(Transactions!$L$9:$L$5005)),0)=0,"",INDEX(Transactions!$K:$K,IFERROR(SUMPRODUCT((Transactions!$L$9:$L$5005=$D$1)*(Transactions!$M$9:$M$5005=117)*ROW(Transactions!$L$9:$L$5005)),0))),"")</f>
        <v>0</v>
      </c>
      <c r="J143" s="298">
        <f ca="1">IFERROR(IF(IFERROR(SUMPRODUCT((Transactions!$L$9:$L$5005=$D$1)*(Transactions!$M$9:$M$5005=117)*ROW(Transactions!$L$9:$L$5005)),0)=0,"",INDEX(Transactions!$L:$L,IFERROR(SUMPRODUCT((Transactions!$L$9:$L$5005=$D$1)*(Transactions!$M$9:$M$5005=117)*ROW(Transactions!$L$9:$L$5005)),0))),"")</f>
        <v>2023</v>
      </c>
      <c r="N143" s="112"/>
      <c r="O143" s="245"/>
      <c r="P143" s="246"/>
      <c r="Q143" s="246"/>
      <c r="R143" s="106"/>
      <c r="S143" s="246"/>
      <c r="T143" s="247"/>
      <c r="X143" s="296" t="str" cm="1">
        <f t="array" aca="1" ref="X14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43" s="245" t="str" cm="1">
        <f t="array" aca="1" ref="Y14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43" s="246" t="str" cm="1">
        <f t="array" aca="1" ref="Z14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43" s="246" t="str" cm="1">
        <f t="array" aca="1" ref="AA14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43" s="106" t="str" cm="1">
        <f t="array" aca="1" ref="AB14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43" s="246" t="str" cm="1">
        <f t="array" aca="1" ref="AC14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43" s="247" t="str" cm="1">
        <f t="array" aca="1" ref="AD14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43" s="305" t="str" cm="1">
        <f t="array" aca="1" ref="AE14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44" spans="3:31" ht="16.5" customHeight="1" x14ac:dyDescent="0.2">
      <c r="C144" s="297">
        <f ca="1">IFERROR(IF(IFERROR(SUMPRODUCT((Transactions!$L$9:$L$5005=$D$1)*(Transactions!$M$9:$M$5005=118)*ROW(Transactions!$L$9:$L$5005)),0)=0,"",INDEX(Transactions!$C:$C,IFERROR(SUMPRODUCT((Transactions!$L$9:$L$5005=$D$1)*(Transactions!$M$9:$M$5005=118)*ROW(Transactions!$L$9:$L$5005)),0))),"")</f>
        <v>45365</v>
      </c>
      <c r="D144" s="107" t="str">
        <f ca="1">IFERROR(IF(IFERROR(SUMPRODUCT((Transactions!$L$9:$L$5005=$D$1)*(Transactions!$M$9:$M$5005=118)*ROW(Transactions!$L$9:$L$5005)),0)=0,"",INDEX(Transactions!$D:$D,IFERROR(SUMPRODUCT((Transactions!$L$9:$L$5005=$D$1)*(Transactions!$M$9:$M$5005=118)*ROW(Transactions!$L$9:$L$5005)),0))),"")</f>
        <v>E bill</v>
      </c>
      <c r="E144" s="108" t="str">
        <f ca="1">IFERROR(IF(IFERROR(SUMPRODUCT((Transactions!$L$9:$L$5005=$D$1)*(Transactions!$M$9:$M$5005=118)*ROW(Transactions!$L$9:$L$5005)),0)=0,"",INDEX(Transactions!$F:$F,IFERROR(SUMPRODUCT((Transactions!$L$9:$L$5005=$D$1)*(Transactions!$M$9:$M$5005=118)*ROW(Transactions!$L$9:$L$5005)),0))),"")</f>
        <v>Expense</v>
      </c>
      <c r="F144" s="108" t="str">
        <f ca="1">IFERROR(IF(IFERROR(SUMPRODUCT((Transactions!$L$9:$L$5005=$D$1)*(Transactions!$M$9:$M$5005=118)*ROW(Transactions!$L$9:$L$5005)),0)=0,"",INDEX(Transactions!$G:$G,IFERROR(SUMPRODUCT((Transactions!$L$9:$L$5005=$D$1)*(Transactions!$M$9:$M$5005=118)*ROW(Transactions!$L$9:$L$5005)),0))),"")</f>
        <v>Home</v>
      </c>
      <c r="G144" s="109">
        <f ca="1">IFERROR(IF(IFERROR(SUMPRODUCT((Transactions!$L$9:$L$5005=$D$1)*(Transactions!$M$9:$M$5005=118)*ROW(Transactions!$L$9:$L$5005)),0)=0,"",INDEX(Transactions!$H:$H,IFERROR(SUMPRODUCT((Transactions!$L$9:$L$5005=$D$1)*(Transactions!$M$9:$M$5005=118)*ROW(Transactions!$L$9:$L$5005)),0))),"")</f>
        <v>535</v>
      </c>
      <c r="H144" s="108">
        <f ca="1">IFERROR(IF(IFERROR(SUMPRODUCT((Transactions!$L$9:$L$5005=$D$1)*(Transactions!$M$9:$M$5005=118)*ROW(Transactions!$L$9:$L$5005)),0)=0,"",INDEX(Transactions!$J:$J,IFERROR(SUMPRODUCT((Transactions!$L$9:$L$5005=$D$1)*(Transactions!$M$9:$M$5005=118)*ROW(Transactions!$L$9:$L$5005)),0))),"")</f>
        <v>0</v>
      </c>
      <c r="I144" s="107">
        <f ca="1">IFERROR(IF(IFERROR(SUMPRODUCT((Transactions!$L$9:$L$5005=$D$1)*(Transactions!$M$9:$M$5005=118)*ROW(Transactions!$L$9:$L$5005)),0)=0,"",INDEX(Transactions!$K:$K,IFERROR(SUMPRODUCT((Transactions!$L$9:$L$5005=$D$1)*(Transactions!$M$9:$M$5005=118)*ROW(Transactions!$L$9:$L$5005)),0))),"")</f>
        <v>0</v>
      </c>
      <c r="J144" s="299">
        <f ca="1">IFERROR(IF(IFERROR(SUMPRODUCT((Transactions!$L$9:$L$5005=$D$1)*(Transactions!$M$9:$M$5005=118)*ROW(Transactions!$L$9:$L$5005)),0)=0,"",INDEX(Transactions!$L:$L,IFERROR(SUMPRODUCT((Transactions!$L$9:$L$5005=$D$1)*(Transactions!$M$9:$M$5005=118)*ROW(Transactions!$L$9:$L$5005)),0))),"")</f>
        <v>2023</v>
      </c>
      <c r="N144" s="112"/>
      <c r="O144" s="245"/>
      <c r="P144" s="246"/>
      <c r="Q144" s="246"/>
      <c r="R144" s="106"/>
      <c r="S144" s="246"/>
      <c r="T144" s="247"/>
      <c r="X144" s="296" t="str" cm="1">
        <f t="array" aca="1" ref="X14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44" s="245" t="str" cm="1">
        <f t="array" aca="1" ref="Y14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44" s="246" t="str" cm="1">
        <f t="array" aca="1" ref="Z14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44" s="246" t="str" cm="1">
        <f t="array" aca="1" ref="AA14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44" s="106" t="str" cm="1">
        <f t="array" aca="1" ref="AB14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44" s="246" t="str" cm="1">
        <f t="array" aca="1" ref="AC14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44" s="247" t="str" cm="1">
        <f t="array" aca="1" ref="AD14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44" s="305" t="str" cm="1">
        <f t="array" aca="1" ref="AE14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45" spans="3:31" ht="16.5" customHeight="1" x14ac:dyDescent="0.2">
      <c r="C145" s="296">
        <f ca="1">IFERROR(IF(IFERROR(SUMPRODUCT((Transactions!$L$9:$L$5005=$D$1)*(Transactions!$M$9:$M$5005=119)*ROW(Transactions!$L$9:$L$5005)),0)=0,"",INDEX(Transactions!$C:$C,IFERROR(SUMPRODUCT((Transactions!$L$9:$L$5005=$D$1)*(Transactions!$M$9:$M$5005=119)*ROW(Transactions!$L$9:$L$5005)),0))),"")</f>
        <v>45365</v>
      </c>
      <c r="D145" s="104" t="str">
        <f ca="1">IFERROR(IF(IFERROR(SUMPRODUCT((Transactions!$L$9:$L$5005=$D$1)*(Transactions!$M$9:$M$5005=119)*ROW(Transactions!$L$9:$L$5005)),0)=0,"",INDEX(Transactions!$D:$D,IFERROR(SUMPRODUCT((Transactions!$L$9:$L$5005=$D$1)*(Transactions!$M$9:$M$5005=119)*ROW(Transactions!$L$9:$L$5005)),0))),"")</f>
        <v>Car Insurance</v>
      </c>
      <c r="E145" s="105" t="str">
        <f ca="1">IFERROR(IF(IFERROR(SUMPRODUCT((Transactions!$L$9:$L$5005=$D$1)*(Transactions!$M$9:$M$5005=119)*ROW(Transactions!$L$9:$L$5005)),0)=0,"",INDEX(Transactions!$F:$F,IFERROR(SUMPRODUCT((Transactions!$L$9:$L$5005=$D$1)*(Transactions!$M$9:$M$5005=119)*ROW(Transactions!$L$9:$L$5005)),0))),"")</f>
        <v>Expense</v>
      </c>
      <c r="F145" s="105" t="str">
        <f ca="1">IFERROR(IF(IFERROR(SUMPRODUCT((Transactions!$L$9:$L$5005=$D$1)*(Transactions!$M$9:$M$5005=119)*ROW(Transactions!$L$9:$L$5005)),0)=0,"",INDEX(Transactions!$G:$G,IFERROR(SUMPRODUCT((Transactions!$L$9:$L$5005=$D$1)*(Transactions!$M$9:$M$5005=119)*ROW(Transactions!$L$9:$L$5005)),0))),"")</f>
        <v>Home</v>
      </c>
      <c r="G145" s="106">
        <f ca="1">IFERROR(IF(IFERROR(SUMPRODUCT((Transactions!$L$9:$L$5005=$D$1)*(Transactions!$M$9:$M$5005=119)*ROW(Transactions!$L$9:$L$5005)),0)=0,"",INDEX(Transactions!$H:$H,IFERROR(SUMPRODUCT((Transactions!$L$9:$L$5005=$D$1)*(Transactions!$M$9:$M$5005=119)*ROW(Transactions!$L$9:$L$5005)),0))),"")</f>
        <v>2500</v>
      </c>
      <c r="H145" s="105">
        <f ca="1">IFERROR(IF(IFERROR(SUMPRODUCT((Transactions!$L$9:$L$5005=$D$1)*(Transactions!$M$9:$M$5005=119)*ROW(Transactions!$L$9:$L$5005)),0)=0,"",INDEX(Transactions!$J:$J,IFERROR(SUMPRODUCT((Transactions!$L$9:$L$5005=$D$1)*(Transactions!$M$9:$M$5005=119)*ROW(Transactions!$L$9:$L$5005)),0))),"")</f>
        <v>0</v>
      </c>
      <c r="I145" s="104">
        <f ca="1">IFERROR(IF(IFERROR(SUMPRODUCT((Transactions!$L$9:$L$5005=$D$1)*(Transactions!$M$9:$M$5005=119)*ROW(Transactions!$L$9:$L$5005)),0)=0,"",INDEX(Transactions!$K:$K,IFERROR(SUMPRODUCT((Transactions!$L$9:$L$5005=$D$1)*(Transactions!$M$9:$M$5005=119)*ROW(Transactions!$L$9:$L$5005)),0))),"")</f>
        <v>0</v>
      </c>
      <c r="J145" s="298">
        <f ca="1">IFERROR(IF(IFERROR(SUMPRODUCT((Transactions!$L$9:$L$5005=$D$1)*(Transactions!$M$9:$M$5005=119)*ROW(Transactions!$L$9:$L$5005)),0)=0,"",INDEX(Transactions!$L:$L,IFERROR(SUMPRODUCT((Transactions!$L$9:$L$5005=$D$1)*(Transactions!$M$9:$M$5005=119)*ROW(Transactions!$L$9:$L$5005)),0))),"")</f>
        <v>2023</v>
      </c>
      <c r="N145" s="112"/>
      <c r="O145" s="245"/>
      <c r="P145" s="246"/>
      <c r="Q145" s="246"/>
      <c r="R145" s="106"/>
      <c r="S145" s="246"/>
      <c r="T145" s="247"/>
      <c r="X145" s="296" t="str" cm="1">
        <f t="array" aca="1" ref="X14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45" s="245" t="str" cm="1">
        <f t="array" aca="1" ref="Y14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45" s="246" t="str" cm="1">
        <f t="array" aca="1" ref="Z14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45" s="246" t="str" cm="1">
        <f t="array" aca="1" ref="AA14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45" s="106" t="str" cm="1">
        <f t="array" aca="1" ref="AB14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45" s="246" t="str" cm="1">
        <f t="array" aca="1" ref="AC14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45" s="247" t="str" cm="1">
        <f t="array" aca="1" ref="AD14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45" s="305" t="str" cm="1">
        <f t="array" aca="1" ref="AE14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46" spans="3:31" ht="16.5" customHeight="1" x14ac:dyDescent="0.2">
      <c r="C146" s="297">
        <f ca="1">IFERROR(IF(IFERROR(SUMPRODUCT((Transactions!$L$9:$L$5005=$D$1)*(Transactions!$M$9:$M$5005=120)*ROW(Transactions!$L$9:$L$5005)),0)=0,"",INDEX(Transactions!$C:$C,IFERROR(SUMPRODUCT((Transactions!$L$9:$L$5005=$D$1)*(Transactions!$M$9:$M$5005=120)*ROW(Transactions!$L$9:$L$5005)),0))),"")</f>
        <v>45365</v>
      </c>
      <c r="D146" s="107" t="str">
        <f ca="1">IFERROR(IF(IFERROR(SUMPRODUCT((Transactions!$L$9:$L$5005=$D$1)*(Transactions!$M$9:$M$5005=120)*ROW(Transactions!$L$9:$L$5005)),0)=0,"",INDEX(Transactions!$D:$D,IFERROR(SUMPRODUCT((Transactions!$L$9:$L$5005=$D$1)*(Transactions!$M$9:$M$5005=120)*ROW(Transactions!$L$9:$L$5005)),0))),"")</f>
        <v>CREDIT CARD</v>
      </c>
      <c r="E146" s="108" t="str">
        <f ca="1">IFERROR(IF(IFERROR(SUMPRODUCT((Transactions!$L$9:$L$5005=$D$1)*(Transactions!$M$9:$M$5005=120)*ROW(Transactions!$L$9:$L$5005)),0)=0,"",INDEX(Transactions!$F:$F,IFERROR(SUMPRODUCT((Transactions!$L$9:$L$5005=$D$1)*(Transactions!$M$9:$M$5005=120)*ROW(Transactions!$L$9:$L$5005)),0))),"")</f>
        <v>Expense</v>
      </c>
      <c r="F146" s="108" t="str">
        <f ca="1">IFERROR(IF(IFERROR(SUMPRODUCT((Transactions!$L$9:$L$5005=$D$1)*(Transactions!$M$9:$M$5005=120)*ROW(Transactions!$L$9:$L$5005)),0)=0,"",INDEX(Transactions!$G:$G,IFERROR(SUMPRODUCT((Transactions!$L$9:$L$5005=$D$1)*(Transactions!$M$9:$M$5005=120)*ROW(Transactions!$L$9:$L$5005)),0))),"")</f>
        <v>Home</v>
      </c>
      <c r="G146" s="109">
        <f ca="1">IFERROR(IF(IFERROR(SUMPRODUCT((Transactions!$L$9:$L$5005=$D$1)*(Transactions!$M$9:$M$5005=120)*ROW(Transactions!$L$9:$L$5005)),0)=0,"",INDEX(Transactions!$H:$H,IFERROR(SUMPRODUCT((Transactions!$L$9:$L$5005=$D$1)*(Transactions!$M$9:$M$5005=120)*ROW(Transactions!$L$9:$L$5005)),0))),"")</f>
        <v>2500</v>
      </c>
      <c r="H146" s="108">
        <f ca="1">IFERROR(IF(IFERROR(SUMPRODUCT((Transactions!$L$9:$L$5005=$D$1)*(Transactions!$M$9:$M$5005=120)*ROW(Transactions!$L$9:$L$5005)),0)=0,"",INDEX(Transactions!$J:$J,IFERROR(SUMPRODUCT((Transactions!$L$9:$L$5005=$D$1)*(Transactions!$M$9:$M$5005=120)*ROW(Transactions!$L$9:$L$5005)),0))),"")</f>
        <v>0</v>
      </c>
      <c r="I146" s="107">
        <f ca="1">IFERROR(IF(IFERROR(SUMPRODUCT((Transactions!$L$9:$L$5005=$D$1)*(Transactions!$M$9:$M$5005=120)*ROW(Transactions!$L$9:$L$5005)),0)=0,"",INDEX(Transactions!$K:$K,IFERROR(SUMPRODUCT((Transactions!$L$9:$L$5005=$D$1)*(Transactions!$M$9:$M$5005=120)*ROW(Transactions!$L$9:$L$5005)),0))),"")</f>
        <v>0</v>
      </c>
      <c r="J146" s="299">
        <f ca="1">IFERROR(IF(IFERROR(SUMPRODUCT((Transactions!$L$9:$L$5005=$D$1)*(Transactions!$M$9:$M$5005=120)*ROW(Transactions!$L$9:$L$5005)),0)=0,"",INDEX(Transactions!$L:$L,IFERROR(SUMPRODUCT((Transactions!$L$9:$L$5005=$D$1)*(Transactions!$M$9:$M$5005=120)*ROW(Transactions!$L$9:$L$5005)),0))),"")</f>
        <v>2023</v>
      </c>
      <c r="N146" s="112"/>
      <c r="O146" s="245"/>
      <c r="P146" s="246"/>
      <c r="Q146" s="246"/>
      <c r="R146" s="106"/>
      <c r="S146" s="246"/>
      <c r="T146" s="247"/>
      <c r="X146" s="296" t="str" cm="1">
        <f t="array" aca="1" ref="X14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46" s="245" t="str" cm="1">
        <f t="array" aca="1" ref="Y14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46" s="246" t="str" cm="1">
        <f t="array" aca="1" ref="Z14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46" s="246" t="str" cm="1">
        <f t="array" aca="1" ref="AA14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46" s="106" t="str" cm="1">
        <f t="array" aca="1" ref="AB14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46" s="246" t="str" cm="1">
        <f t="array" aca="1" ref="AC14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46" s="247" t="str" cm="1">
        <f t="array" aca="1" ref="AD14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46" s="305" t="str" cm="1">
        <f t="array" aca="1" ref="AE14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47" spans="3:31" ht="16.5" customHeight="1" x14ac:dyDescent="0.2">
      <c r="C147" s="296">
        <f ca="1">IFERROR(IF(IFERROR(SUMPRODUCT((Transactions!$L$9:$L$5005=$D$1)*(Transactions!$M$9:$M$5005=121)*ROW(Transactions!$L$9:$L$5005)),0)=0,"",INDEX(Transactions!$C:$C,IFERROR(SUMPRODUCT((Transactions!$L$9:$L$5005=$D$1)*(Transactions!$M$9:$M$5005=121)*ROW(Transactions!$L$9:$L$5005)),0))),"")</f>
        <v>45366</v>
      </c>
      <c r="D147" s="104" t="str">
        <f ca="1">IFERROR(IF(IFERROR(SUMPRODUCT((Transactions!$L$9:$L$5005=$D$1)*(Transactions!$M$9:$M$5005=121)*ROW(Transactions!$L$9:$L$5005)),0)=0,"",INDEX(Transactions!$D:$D,IFERROR(SUMPRODUCT((Transactions!$L$9:$L$5005=$D$1)*(Transactions!$M$9:$M$5005=121)*ROW(Transactions!$L$9:$L$5005)),0))),"")</f>
        <v xml:space="preserve">Cognizant Bonus </v>
      </c>
      <c r="E147" s="105" t="str">
        <f ca="1">IFERROR(IF(IFERROR(SUMPRODUCT((Transactions!$L$9:$L$5005=$D$1)*(Transactions!$M$9:$M$5005=121)*ROW(Transactions!$L$9:$L$5005)),0)=0,"",INDEX(Transactions!$F:$F,IFERROR(SUMPRODUCT((Transactions!$L$9:$L$5005=$D$1)*(Transactions!$M$9:$M$5005=121)*ROW(Transactions!$L$9:$L$5005)),0))),"")</f>
        <v>Income</v>
      </c>
      <c r="F147" s="105" t="str">
        <f ca="1">IFERROR(IF(IFERROR(SUMPRODUCT((Transactions!$L$9:$L$5005=$D$1)*(Transactions!$M$9:$M$5005=121)*ROW(Transactions!$L$9:$L$5005)),0)=0,"",INDEX(Transactions!$G:$G,IFERROR(SUMPRODUCT((Transactions!$L$9:$L$5005=$D$1)*(Transactions!$M$9:$M$5005=121)*ROW(Transactions!$L$9:$L$5005)),0))),"")</f>
        <v>Salary</v>
      </c>
      <c r="G147" s="106">
        <f ca="1">IFERROR(IF(IFERROR(SUMPRODUCT((Transactions!$L$9:$L$5005=$D$1)*(Transactions!$M$9:$M$5005=121)*ROW(Transactions!$L$9:$L$5005)),0)=0,"",INDEX(Transactions!$H:$H,IFERROR(SUMPRODUCT((Transactions!$L$9:$L$5005=$D$1)*(Transactions!$M$9:$M$5005=121)*ROW(Transactions!$L$9:$L$5005)),0))),"")</f>
        <v>8500</v>
      </c>
      <c r="H147" s="105">
        <f ca="1">IFERROR(IF(IFERROR(SUMPRODUCT((Transactions!$L$9:$L$5005=$D$1)*(Transactions!$M$9:$M$5005=121)*ROW(Transactions!$L$9:$L$5005)),0)=0,"",INDEX(Transactions!$J:$J,IFERROR(SUMPRODUCT((Transactions!$L$9:$L$5005=$D$1)*(Transactions!$M$9:$M$5005=121)*ROW(Transactions!$L$9:$L$5005)),0))),"")</f>
        <v>0</v>
      </c>
      <c r="I147" s="104">
        <f ca="1">IFERROR(IF(IFERROR(SUMPRODUCT((Transactions!$L$9:$L$5005=$D$1)*(Transactions!$M$9:$M$5005=121)*ROW(Transactions!$L$9:$L$5005)),0)=0,"",INDEX(Transactions!$K:$K,IFERROR(SUMPRODUCT((Transactions!$L$9:$L$5005=$D$1)*(Transactions!$M$9:$M$5005=121)*ROW(Transactions!$L$9:$L$5005)),0))),"")</f>
        <v>0</v>
      </c>
      <c r="J147" s="298">
        <f ca="1">IFERROR(IF(IFERROR(SUMPRODUCT((Transactions!$L$9:$L$5005=$D$1)*(Transactions!$M$9:$M$5005=121)*ROW(Transactions!$L$9:$L$5005)),0)=0,"",INDEX(Transactions!$L:$L,IFERROR(SUMPRODUCT((Transactions!$L$9:$L$5005=$D$1)*(Transactions!$M$9:$M$5005=121)*ROW(Transactions!$L$9:$L$5005)),0))),"")</f>
        <v>2023</v>
      </c>
      <c r="N147" s="112"/>
      <c r="O147" s="245"/>
      <c r="P147" s="246"/>
      <c r="Q147" s="246"/>
      <c r="R147" s="106"/>
      <c r="S147" s="246"/>
      <c r="T147" s="247"/>
      <c r="X147" s="296" t="str" cm="1">
        <f t="array" aca="1" ref="X14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47" s="245" t="str" cm="1">
        <f t="array" aca="1" ref="Y14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47" s="246" t="str" cm="1">
        <f t="array" aca="1" ref="Z14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47" s="246" t="str" cm="1">
        <f t="array" aca="1" ref="AA14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47" s="106" t="str" cm="1">
        <f t="array" aca="1" ref="AB14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47" s="246" t="str" cm="1">
        <f t="array" aca="1" ref="AC14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47" s="247" t="str" cm="1">
        <f t="array" aca="1" ref="AD14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47" s="305" t="str" cm="1">
        <f t="array" aca="1" ref="AE14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48" spans="3:31" ht="16.5" customHeight="1" x14ac:dyDescent="0.2">
      <c r="C148" s="297">
        <f ca="1">IFERROR(IF(IFERROR(SUMPRODUCT((Transactions!$L$9:$L$5005=$D$1)*(Transactions!$M$9:$M$5005=122)*ROW(Transactions!$L$9:$L$5005)),0)=0,"",INDEX(Transactions!$C:$C,IFERROR(SUMPRODUCT((Transactions!$L$9:$L$5005=$D$1)*(Transactions!$M$9:$M$5005=122)*ROW(Transactions!$L$9:$L$5005)),0))),"")</f>
        <v>45367</v>
      </c>
      <c r="D148" s="107">
        <f ca="1">IFERROR(IF(IFERROR(SUMPRODUCT((Transactions!$L$9:$L$5005=$D$1)*(Transactions!$M$9:$M$5005=122)*ROW(Transactions!$L$9:$L$5005)),0)=0,"",INDEX(Transactions!$D:$D,IFERROR(SUMPRODUCT((Transactions!$L$9:$L$5005=$D$1)*(Transactions!$M$9:$M$5005=122)*ROW(Transactions!$L$9:$L$5005)),0))),"")</f>
        <v>45352</v>
      </c>
      <c r="E148" s="108" t="str">
        <f ca="1">IFERROR(IF(IFERROR(SUMPRODUCT((Transactions!$L$9:$L$5005=$D$1)*(Transactions!$M$9:$M$5005=122)*ROW(Transactions!$L$9:$L$5005)),0)=0,"",INDEX(Transactions!$F:$F,IFERROR(SUMPRODUCT((Transactions!$L$9:$L$5005=$D$1)*(Transactions!$M$9:$M$5005=122)*ROW(Transactions!$L$9:$L$5005)),0))),"")</f>
        <v>Expense</v>
      </c>
      <c r="F148" s="108" t="str">
        <f ca="1">IFERROR(IF(IFERROR(SUMPRODUCT((Transactions!$L$9:$L$5005=$D$1)*(Transactions!$M$9:$M$5005=122)*ROW(Transactions!$L$9:$L$5005)),0)=0,"",INDEX(Transactions!$G:$G,IFERROR(SUMPRODUCT((Transactions!$L$9:$L$5005=$D$1)*(Transactions!$M$9:$M$5005=122)*ROW(Transactions!$L$9:$L$5005)),0))),"")</f>
        <v>Pawan</v>
      </c>
      <c r="G148" s="109">
        <f ca="1">IFERROR(IF(IFERROR(SUMPRODUCT((Transactions!$L$9:$L$5005=$D$1)*(Transactions!$M$9:$M$5005=122)*ROW(Transactions!$L$9:$L$5005)),0)=0,"",INDEX(Transactions!$H:$H,IFERROR(SUMPRODUCT((Transactions!$L$9:$L$5005=$D$1)*(Transactions!$M$9:$M$5005=122)*ROW(Transactions!$L$9:$L$5005)),0))),"")</f>
        <v>2000</v>
      </c>
      <c r="H148" s="108">
        <f ca="1">IFERROR(IF(IFERROR(SUMPRODUCT((Transactions!$L$9:$L$5005=$D$1)*(Transactions!$M$9:$M$5005=122)*ROW(Transactions!$L$9:$L$5005)),0)=0,"",INDEX(Transactions!$J:$J,IFERROR(SUMPRODUCT((Transactions!$L$9:$L$5005=$D$1)*(Transactions!$M$9:$M$5005=122)*ROW(Transactions!$L$9:$L$5005)),0))),"")</f>
        <v>0</v>
      </c>
      <c r="I148" s="107">
        <f ca="1">IFERROR(IF(IFERROR(SUMPRODUCT((Transactions!$L$9:$L$5005=$D$1)*(Transactions!$M$9:$M$5005=122)*ROW(Transactions!$L$9:$L$5005)),0)=0,"",INDEX(Transactions!$K:$K,IFERROR(SUMPRODUCT((Transactions!$L$9:$L$5005=$D$1)*(Transactions!$M$9:$M$5005=122)*ROW(Transactions!$L$9:$L$5005)),0))),"")</f>
        <v>0</v>
      </c>
      <c r="J148" s="299">
        <f ca="1">IFERROR(IF(IFERROR(SUMPRODUCT((Transactions!$L$9:$L$5005=$D$1)*(Transactions!$M$9:$M$5005=122)*ROW(Transactions!$L$9:$L$5005)),0)=0,"",INDEX(Transactions!$L:$L,IFERROR(SUMPRODUCT((Transactions!$L$9:$L$5005=$D$1)*(Transactions!$M$9:$M$5005=122)*ROW(Transactions!$L$9:$L$5005)),0))),"")</f>
        <v>2023</v>
      </c>
      <c r="N148" s="112"/>
      <c r="O148" s="245"/>
      <c r="P148" s="246"/>
      <c r="Q148" s="246"/>
      <c r="R148" s="106"/>
      <c r="S148" s="246"/>
      <c r="T148" s="247"/>
      <c r="X148" s="296" t="str" cm="1">
        <f t="array" aca="1" ref="X14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48" s="245" t="str" cm="1">
        <f t="array" aca="1" ref="Y14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48" s="246" t="str" cm="1">
        <f t="array" aca="1" ref="Z14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48" s="246" t="str" cm="1">
        <f t="array" aca="1" ref="AA14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48" s="106" t="str" cm="1">
        <f t="array" aca="1" ref="AB14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48" s="246" t="str" cm="1">
        <f t="array" aca="1" ref="AC14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48" s="247" t="str" cm="1">
        <f t="array" aca="1" ref="AD14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48" s="305" t="str" cm="1">
        <f t="array" aca="1" ref="AE14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49" spans="3:31" ht="16.5" customHeight="1" x14ac:dyDescent="0.2">
      <c r="C149" s="296">
        <f ca="1">IFERROR(IF(IFERROR(SUMPRODUCT((Transactions!$L$9:$L$5005=$D$1)*(Transactions!$M$9:$M$5005=123)*ROW(Transactions!$L$9:$L$5005)),0)=0,"",INDEX(Transactions!$C:$C,IFERROR(SUMPRODUCT((Transactions!$L$9:$L$5005=$D$1)*(Transactions!$M$9:$M$5005=123)*ROW(Transactions!$L$9:$L$5005)),0))),"")</f>
        <v>45379</v>
      </c>
      <c r="D149" s="104">
        <f ca="1">IFERROR(IF(IFERROR(SUMPRODUCT((Transactions!$L$9:$L$5005=$D$1)*(Transactions!$M$9:$M$5005=123)*ROW(Transactions!$L$9:$L$5005)),0)=0,"",INDEX(Transactions!$D:$D,IFERROR(SUMPRODUCT((Transactions!$L$9:$L$5005=$D$1)*(Transactions!$M$9:$M$5005=123)*ROW(Transactions!$L$9:$L$5005)),0))),"")</f>
        <v>45383</v>
      </c>
      <c r="E149" s="105" t="str">
        <f ca="1">IFERROR(IF(IFERROR(SUMPRODUCT((Transactions!$L$9:$L$5005=$D$1)*(Transactions!$M$9:$M$5005=123)*ROW(Transactions!$L$9:$L$5005)),0)=0,"",INDEX(Transactions!$F:$F,IFERROR(SUMPRODUCT((Transactions!$L$9:$L$5005=$D$1)*(Transactions!$M$9:$M$5005=123)*ROW(Transactions!$L$9:$L$5005)),0))),"")</f>
        <v>Expense</v>
      </c>
      <c r="F149" s="105" t="str">
        <f ca="1">IFERROR(IF(IFERROR(SUMPRODUCT((Transactions!$L$9:$L$5005=$D$1)*(Transactions!$M$9:$M$5005=123)*ROW(Transactions!$L$9:$L$5005)),0)=0,"",INDEX(Transactions!$G:$G,IFERROR(SUMPRODUCT((Transactions!$L$9:$L$5005=$D$1)*(Transactions!$M$9:$M$5005=123)*ROW(Transactions!$L$9:$L$5005)),0))),"")</f>
        <v>Pawan</v>
      </c>
      <c r="G149" s="106">
        <f ca="1">IFERROR(IF(IFERROR(SUMPRODUCT((Transactions!$L$9:$L$5005=$D$1)*(Transactions!$M$9:$M$5005=123)*ROW(Transactions!$L$9:$L$5005)),0)=0,"",INDEX(Transactions!$H:$H,IFERROR(SUMPRODUCT((Transactions!$L$9:$L$5005=$D$1)*(Transactions!$M$9:$M$5005=123)*ROW(Transactions!$L$9:$L$5005)),0))),"")</f>
        <v>4000</v>
      </c>
      <c r="H149" s="105">
        <f ca="1">IFERROR(IF(IFERROR(SUMPRODUCT((Transactions!$L$9:$L$5005=$D$1)*(Transactions!$M$9:$M$5005=123)*ROW(Transactions!$L$9:$L$5005)),0)=0,"",INDEX(Transactions!$J:$J,IFERROR(SUMPRODUCT((Transactions!$L$9:$L$5005=$D$1)*(Transactions!$M$9:$M$5005=123)*ROW(Transactions!$L$9:$L$5005)),0))),"")</f>
        <v>0</v>
      </c>
      <c r="I149" s="104">
        <f ca="1">IFERROR(IF(IFERROR(SUMPRODUCT((Transactions!$L$9:$L$5005=$D$1)*(Transactions!$M$9:$M$5005=123)*ROW(Transactions!$L$9:$L$5005)),0)=0,"",INDEX(Transactions!$K:$K,IFERROR(SUMPRODUCT((Transactions!$L$9:$L$5005=$D$1)*(Transactions!$M$9:$M$5005=123)*ROW(Transactions!$L$9:$L$5005)),0))),"")</f>
        <v>0</v>
      </c>
      <c r="J149" s="298">
        <f ca="1">IFERROR(IF(IFERROR(SUMPRODUCT((Transactions!$L$9:$L$5005=$D$1)*(Transactions!$M$9:$M$5005=123)*ROW(Transactions!$L$9:$L$5005)),0)=0,"",INDEX(Transactions!$L:$L,IFERROR(SUMPRODUCT((Transactions!$L$9:$L$5005=$D$1)*(Transactions!$M$9:$M$5005=123)*ROW(Transactions!$L$9:$L$5005)),0))),"")</f>
        <v>2023</v>
      </c>
      <c r="N149" s="112"/>
      <c r="O149" s="245"/>
      <c r="P149" s="246"/>
      <c r="Q149" s="246"/>
      <c r="R149" s="106"/>
      <c r="S149" s="246"/>
      <c r="T149" s="247"/>
      <c r="X149" s="296" t="str" cm="1">
        <f t="array" aca="1" ref="X14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49" s="245" t="str" cm="1">
        <f t="array" aca="1" ref="Y14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49" s="246" t="str" cm="1">
        <f t="array" aca="1" ref="Z14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49" s="246" t="str" cm="1">
        <f t="array" aca="1" ref="AA14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49" s="106" t="str" cm="1">
        <f t="array" aca="1" ref="AB14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49" s="246" t="str" cm="1">
        <f t="array" aca="1" ref="AC14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49" s="247" t="str" cm="1">
        <f t="array" aca="1" ref="AD14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49" s="305" t="str" cm="1">
        <f t="array" aca="1" ref="AE14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50" spans="3:31" ht="16.5" customHeight="1" x14ac:dyDescent="0.2">
      <c r="C150" s="297">
        <f ca="1">IFERROR(IF(IFERROR(SUMPRODUCT((Transactions!$L$9:$L$5005=$D$1)*(Transactions!$M$9:$M$5005=124)*ROW(Transactions!$L$9:$L$5005)),0)=0,"",INDEX(Transactions!$C:$C,IFERROR(SUMPRODUCT((Transactions!$L$9:$L$5005=$D$1)*(Transactions!$M$9:$M$5005=124)*ROW(Transactions!$L$9:$L$5005)),0))),"")</f>
        <v>45379</v>
      </c>
      <c r="D150" s="107" t="str">
        <f ca="1">IFERROR(IF(IFERROR(SUMPRODUCT((Transactions!$L$9:$L$5005=$D$1)*(Transactions!$M$9:$M$5005=124)*ROW(Transactions!$L$9:$L$5005)),0)=0,"",INDEX(Transactions!$D:$D,IFERROR(SUMPRODUCT((Transactions!$L$9:$L$5005=$D$1)*(Transactions!$M$9:$M$5005=124)*ROW(Transactions!$L$9:$L$5005)),0))),"")</f>
        <v>Cognizant Mar</v>
      </c>
      <c r="E150" s="108" t="str">
        <f ca="1">IFERROR(IF(IFERROR(SUMPRODUCT((Transactions!$L$9:$L$5005=$D$1)*(Transactions!$M$9:$M$5005=124)*ROW(Transactions!$L$9:$L$5005)),0)=0,"",INDEX(Transactions!$F:$F,IFERROR(SUMPRODUCT((Transactions!$L$9:$L$5005=$D$1)*(Transactions!$M$9:$M$5005=124)*ROW(Transactions!$L$9:$L$5005)),0))),"")</f>
        <v>Income</v>
      </c>
      <c r="F150" s="108" t="str">
        <f ca="1">IFERROR(IF(IFERROR(SUMPRODUCT((Transactions!$L$9:$L$5005=$D$1)*(Transactions!$M$9:$M$5005=124)*ROW(Transactions!$L$9:$L$5005)),0)=0,"",INDEX(Transactions!$G:$G,IFERROR(SUMPRODUCT((Transactions!$L$9:$L$5005=$D$1)*(Transactions!$M$9:$M$5005=124)*ROW(Transactions!$L$9:$L$5005)),0))),"")</f>
        <v>Salary</v>
      </c>
      <c r="G150" s="109">
        <f ca="1">IFERROR(IF(IFERROR(SUMPRODUCT((Transactions!$L$9:$L$5005=$D$1)*(Transactions!$M$9:$M$5005=124)*ROW(Transactions!$L$9:$L$5005)),0)=0,"",INDEX(Transactions!$H:$H,IFERROR(SUMPRODUCT((Transactions!$L$9:$L$5005=$D$1)*(Transactions!$M$9:$M$5005=124)*ROW(Transactions!$L$9:$L$5005)),0))),"")</f>
        <v>46000</v>
      </c>
      <c r="H150" s="108">
        <f ca="1">IFERROR(IF(IFERROR(SUMPRODUCT((Transactions!$L$9:$L$5005=$D$1)*(Transactions!$M$9:$M$5005=124)*ROW(Transactions!$L$9:$L$5005)),0)=0,"",INDEX(Transactions!$J:$J,IFERROR(SUMPRODUCT((Transactions!$L$9:$L$5005=$D$1)*(Transactions!$M$9:$M$5005=124)*ROW(Transactions!$L$9:$L$5005)),0))),"")</f>
        <v>0</v>
      </c>
      <c r="I150" s="107">
        <f ca="1">IFERROR(IF(IFERROR(SUMPRODUCT((Transactions!$L$9:$L$5005=$D$1)*(Transactions!$M$9:$M$5005=124)*ROW(Transactions!$L$9:$L$5005)),0)=0,"",INDEX(Transactions!$K:$K,IFERROR(SUMPRODUCT((Transactions!$L$9:$L$5005=$D$1)*(Transactions!$M$9:$M$5005=124)*ROW(Transactions!$L$9:$L$5005)),0))),"")</f>
        <v>0</v>
      </c>
      <c r="J150" s="299">
        <f ca="1">IFERROR(IF(IFERROR(SUMPRODUCT((Transactions!$L$9:$L$5005=$D$1)*(Transactions!$M$9:$M$5005=124)*ROW(Transactions!$L$9:$L$5005)),0)=0,"",INDEX(Transactions!$L:$L,IFERROR(SUMPRODUCT((Transactions!$L$9:$L$5005=$D$1)*(Transactions!$M$9:$M$5005=124)*ROW(Transactions!$L$9:$L$5005)),0))),"")</f>
        <v>2023</v>
      </c>
      <c r="N150" s="112"/>
      <c r="O150" s="245"/>
      <c r="P150" s="246"/>
      <c r="Q150" s="246"/>
      <c r="R150" s="106"/>
      <c r="S150" s="246"/>
      <c r="T150" s="247"/>
      <c r="X150" s="296" t="str" cm="1">
        <f t="array" aca="1" ref="X15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50" s="245" t="str" cm="1">
        <f t="array" aca="1" ref="Y15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50" s="246" t="str" cm="1">
        <f t="array" aca="1" ref="Z15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50" s="246" t="str" cm="1">
        <f t="array" aca="1" ref="AA15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50" s="106" t="str" cm="1">
        <f t="array" aca="1" ref="AB15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50" s="246" t="str" cm="1">
        <f t="array" aca="1" ref="AC15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50" s="247" t="str" cm="1">
        <f t="array" aca="1" ref="AD15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50" s="305" t="str" cm="1">
        <f t="array" aca="1" ref="AE15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51" spans="3:31" ht="16.5" customHeight="1" x14ac:dyDescent="0.2">
      <c r="C151" s="296">
        <f ca="1">IFERROR(IF(IFERROR(SUMPRODUCT((Transactions!$L$9:$L$5005=$D$1)*(Transactions!$M$9:$M$5005=125)*ROW(Transactions!$L$9:$L$5005)),0)=0,"",INDEX(Transactions!$C:$C,IFERROR(SUMPRODUCT((Transactions!$L$9:$L$5005=$D$1)*(Transactions!$M$9:$M$5005=125)*ROW(Transactions!$L$9:$L$5005)),0))),"")</f>
        <v>45382</v>
      </c>
      <c r="D151" s="104" t="str">
        <f ca="1">IFERROR(IF(IFERROR(SUMPRODUCT((Transactions!$L$9:$L$5005=$D$1)*(Transactions!$M$9:$M$5005=125)*ROW(Transactions!$L$9:$L$5005)),0)=0,"",INDEX(Transactions!$D:$D,IFERROR(SUMPRODUCT((Transactions!$L$9:$L$5005=$D$1)*(Transactions!$M$9:$M$5005=125)*ROW(Transactions!$L$9:$L$5005)),0))),"")</f>
        <v>Paytm: Delhi+Home</v>
      </c>
      <c r="E151" s="105" t="str">
        <f ca="1">IFERROR(IF(IFERROR(SUMPRODUCT((Transactions!$L$9:$L$5005=$D$1)*(Transactions!$M$9:$M$5005=125)*ROW(Transactions!$L$9:$L$5005)),0)=0,"",INDEX(Transactions!$F:$F,IFERROR(SUMPRODUCT((Transactions!$L$9:$L$5005=$D$1)*(Transactions!$M$9:$M$5005=125)*ROW(Transactions!$L$9:$L$5005)),0))),"")</f>
        <v>Expense</v>
      </c>
      <c r="F151" s="105" t="str">
        <f ca="1">IFERROR(IF(IFERROR(SUMPRODUCT((Transactions!$L$9:$L$5005=$D$1)*(Transactions!$M$9:$M$5005=125)*ROW(Transactions!$L$9:$L$5005)),0)=0,"",INDEX(Transactions!$G:$G,IFERROR(SUMPRODUCT((Transactions!$L$9:$L$5005=$D$1)*(Transactions!$M$9:$M$5005=125)*ROW(Transactions!$L$9:$L$5005)),0))),"")</f>
        <v>Home</v>
      </c>
      <c r="G151" s="106">
        <f ca="1">IFERROR(IF(IFERROR(SUMPRODUCT((Transactions!$L$9:$L$5005=$D$1)*(Transactions!$M$9:$M$5005=125)*ROW(Transactions!$L$9:$L$5005)),0)=0,"",INDEX(Transactions!$H:$H,IFERROR(SUMPRODUCT((Transactions!$L$9:$L$5005=$D$1)*(Transactions!$M$9:$M$5005=125)*ROW(Transactions!$L$9:$L$5005)),0))),"")</f>
        <v>13260</v>
      </c>
      <c r="H151" s="105">
        <f ca="1">IFERROR(IF(IFERROR(SUMPRODUCT((Transactions!$L$9:$L$5005=$D$1)*(Transactions!$M$9:$M$5005=125)*ROW(Transactions!$L$9:$L$5005)),0)=0,"",INDEX(Transactions!$J:$J,IFERROR(SUMPRODUCT((Transactions!$L$9:$L$5005=$D$1)*(Transactions!$M$9:$M$5005=125)*ROW(Transactions!$L$9:$L$5005)),0))),"")</f>
        <v>0</v>
      </c>
      <c r="I151" s="104">
        <f ca="1">IFERROR(IF(IFERROR(SUMPRODUCT((Transactions!$L$9:$L$5005=$D$1)*(Transactions!$M$9:$M$5005=125)*ROW(Transactions!$L$9:$L$5005)),0)=0,"",INDEX(Transactions!$K:$K,IFERROR(SUMPRODUCT((Transactions!$L$9:$L$5005=$D$1)*(Transactions!$M$9:$M$5005=125)*ROW(Transactions!$L$9:$L$5005)),0))),"")</f>
        <v>0</v>
      </c>
      <c r="J151" s="298">
        <f ca="1">IFERROR(IF(IFERROR(SUMPRODUCT((Transactions!$L$9:$L$5005=$D$1)*(Transactions!$M$9:$M$5005=125)*ROW(Transactions!$L$9:$L$5005)),0)=0,"",INDEX(Transactions!$L:$L,IFERROR(SUMPRODUCT((Transactions!$L$9:$L$5005=$D$1)*(Transactions!$M$9:$M$5005=125)*ROW(Transactions!$L$9:$L$5005)),0))),"")</f>
        <v>2023</v>
      </c>
      <c r="N151" s="112"/>
      <c r="O151" s="245"/>
      <c r="P151" s="246"/>
      <c r="Q151" s="246"/>
      <c r="R151" s="106"/>
      <c r="S151" s="246"/>
      <c r="T151" s="247"/>
      <c r="X151" s="296" t="str" cm="1">
        <f t="array" aca="1" ref="X15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51" s="245" t="str" cm="1">
        <f t="array" aca="1" ref="Y15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51" s="246" t="str" cm="1">
        <f t="array" aca="1" ref="Z15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51" s="246" t="str" cm="1">
        <f t="array" aca="1" ref="AA15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51" s="106" t="str" cm="1">
        <f t="array" aca="1" ref="AB15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51" s="246" t="str" cm="1">
        <f t="array" aca="1" ref="AC15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51" s="247" t="str" cm="1">
        <f t="array" aca="1" ref="AD15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51" s="305" t="str" cm="1">
        <f t="array" aca="1" ref="AE15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52" spans="3:31" ht="16.5" customHeight="1" x14ac:dyDescent="0.2">
      <c r="C152" s="297" t="str">
        <f ca="1">IFERROR(IF(IFERROR(SUMPRODUCT((Transactions!$L$9:$L$5005=$D$1)*(Transactions!$M$9:$M$5005=126)*ROW(Transactions!$L$9:$L$5005)),0)=0,"",INDEX(Transactions!$C:$C,IFERROR(SUMPRODUCT((Transactions!$L$9:$L$5005=$D$1)*(Transactions!$M$9:$M$5005=126)*ROW(Transactions!$L$9:$L$5005)),0))),"")</f>
        <v/>
      </c>
      <c r="D152" s="107" t="str">
        <f ca="1">IFERROR(IF(IFERROR(SUMPRODUCT((Transactions!$L$9:$L$5005=$D$1)*(Transactions!$M$9:$M$5005=126)*ROW(Transactions!$L$9:$L$5005)),0)=0,"",INDEX(Transactions!$D:$D,IFERROR(SUMPRODUCT((Transactions!$L$9:$L$5005=$D$1)*(Transactions!$M$9:$M$5005=126)*ROW(Transactions!$L$9:$L$5005)),0))),"")</f>
        <v/>
      </c>
      <c r="E152" s="108" t="str">
        <f ca="1">IFERROR(IF(IFERROR(SUMPRODUCT((Transactions!$L$9:$L$5005=$D$1)*(Transactions!$M$9:$M$5005=126)*ROW(Transactions!$L$9:$L$5005)),0)=0,"",INDEX(Transactions!$F:$F,IFERROR(SUMPRODUCT((Transactions!$L$9:$L$5005=$D$1)*(Transactions!$M$9:$M$5005=126)*ROW(Transactions!$L$9:$L$5005)),0))),"")</f>
        <v/>
      </c>
      <c r="F152" s="108" t="str">
        <f ca="1">IFERROR(IF(IFERROR(SUMPRODUCT((Transactions!$L$9:$L$5005=$D$1)*(Transactions!$M$9:$M$5005=126)*ROW(Transactions!$L$9:$L$5005)),0)=0,"",INDEX(Transactions!$G:$G,IFERROR(SUMPRODUCT((Transactions!$L$9:$L$5005=$D$1)*(Transactions!$M$9:$M$5005=126)*ROW(Transactions!$L$9:$L$5005)),0))),"")</f>
        <v/>
      </c>
      <c r="G152" s="109" t="str">
        <f ca="1">IFERROR(IF(IFERROR(SUMPRODUCT((Transactions!$L$9:$L$5005=$D$1)*(Transactions!$M$9:$M$5005=126)*ROW(Transactions!$L$9:$L$5005)),0)=0,"",INDEX(Transactions!$H:$H,IFERROR(SUMPRODUCT((Transactions!$L$9:$L$5005=$D$1)*(Transactions!$M$9:$M$5005=126)*ROW(Transactions!$L$9:$L$5005)),0))),"")</f>
        <v/>
      </c>
      <c r="H152" s="108" t="str">
        <f ca="1">IFERROR(IF(IFERROR(SUMPRODUCT((Transactions!$L$9:$L$5005=$D$1)*(Transactions!$M$9:$M$5005=126)*ROW(Transactions!$L$9:$L$5005)),0)=0,"",INDEX(Transactions!$J:$J,IFERROR(SUMPRODUCT((Transactions!$L$9:$L$5005=$D$1)*(Transactions!$M$9:$M$5005=126)*ROW(Transactions!$L$9:$L$5005)),0))),"")</f>
        <v/>
      </c>
      <c r="I152" s="107" t="str">
        <f ca="1">IFERROR(IF(IFERROR(SUMPRODUCT((Transactions!$L$9:$L$5005=$D$1)*(Transactions!$M$9:$M$5005=126)*ROW(Transactions!$L$9:$L$5005)),0)=0,"",INDEX(Transactions!$K:$K,IFERROR(SUMPRODUCT((Transactions!$L$9:$L$5005=$D$1)*(Transactions!$M$9:$M$5005=126)*ROW(Transactions!$L$9:$L$5005)),0))),"")</f>
        <v/>
      </c>
      <c r="J152" s="299" t="str">
        <f ca="1">IFERROR(IF(IFERROR(SUMPRODUCT((Transactions!$L$9:$L$5005=$D$1)*(Transactions!$M$9:$M$5005=126)*ROW(Transactions!$L$9:$L$5005)),0)=0,"",INDEX(Transactions!$L:$L,IFERROR(SUMPRODUCT((Transactions!$L$9:$L$5005=$D$1)*(Transactions!$M$9:$M$5005=126)*ROW(Transactions!$L$9:$L$5005)),0))),"")</f>
        <v/>
      </c>
      <c r="N152" s="112"/>
      <c r="O152" s="245"/>
      <c r="P152" s="246"/>
      <c r="Q152" s="246"/>
      <c r="R152" s="106"/>
      <c r="S152" s="246"/>
      <c r="T152" s="247"/>
      <c r="X152" s="296" t="str" cm="1">
        <f t="array" aca="1" ref="X15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52" s="245" t="str" cm="1">
        <f t="array" aca="1" ref="Y15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52" s="246" t="str" cm="1">
        <f t="array" aca="1" ref="Z15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52" s="246" t="str" cm="1">
        <f t="array" aca="1" ref="AA15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52" s="106" t="str" cm="1">
        <f t="array" aca="1" ref="AB15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52" s="246" t="str" cm="1">
        <f t="array" aca="1" ref="AC15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52" s="247" t="str" cm="1">
        <f t="array" aca="1" ref="AD15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52" s="305" t="str" cm="1">
        <f t="array" aca="1" ref="AE15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53" spans="3:31" ht="16.5" customHeight="1" x14ac:dyDescent="0.2">
      <c r="C153" s="296" t="str">
        <f ca="1">IFERROR(IF(IFERROR(SUMPRODUCT((Transactions!$L$9:$L$5005=$D$1)*(Transactions!$M$9:$M$5005=127)*ROW(Transactions!$L$9:$L$5005)),0)=0,"",INDEX(Transactions!$C:$C,IFERROR(SUMPRODUCT((Transactions!$L$9:$L$5005=$D$1)*(Transactions!$M$9:$M$5005=127)*ROW(Transactions!$L$9:$L$5005)),0))),"")</f>
        <v/>
      </c>
      <c r="D153" s="104" t="str">
        <f ca="1">IFERROR(IF(IFERROR(SUMPRODUCT((Transactions!$L$9:$L$5005=$D$1)*(Transactions!$M$9:$M$5005=127)*ROW(Transactions!$L$9:$L$5005)),0)=0,"",INDEX(Transactions!$D:$D,IFERROR(SUMPRODUCT((Transactions!$L$9:$L$5005=$D$1)*(Transactions!$M$9:$M$5005=127)*ROW(Transactions!$L$9:$L$5005)),0))),"")</f>
        <v/>
      </c>
      <c r="E153" s="105" t="str">
        <f ca="1">IFERROR(IF(IFERROR(SUMPRODUCT((Transactions!$L$9:$L$5005=$D$1)*(Transactions!$M$9:$M$5005=127)*ROW(Transactions!$L$9:$L$5005)),0)=0,"",INDEX(Transactions!$F:$F,IFERROR(SUMPRODUCT((Transactions!$L$9:$L$5005=$D$1)*(Transactions!$M$9:$M$5005=127)*ROW(Transactions!$L$9:$L$5005)),0))),"")</f>
        <v/>
      </c>
      <c r="F153" s="105" t="str">
        <f ca="1">IFERROR(IF(IFERROR(SUMPRODUCT((Transactions!$L$9:$L$5005=$D$1)*(Transactions!$M$9:$M$5005=127)*ROW(Transactions!$L$9:$L$5005)),0)=0,"",INDEX(Transactions!$G:$G,IFERROR(SUMPRODUCT((Transactions!$L$9:$L$5005=$D$1)*(Transactions!$M$9:$M$5005=127)*ROW(Transactions!$L$9:$L$5005)),0))),"")</f>
        <v/>
      </c>
      <c r="G153" s="106" t="str">
        <f ca="1">IFERROR(IF(IFERROR(SUMPRODUCT((Transactions!$L$9:$L$5005=$D$1)*(Transactions!$M$9:$M$5005=127)*ROW(Transactions!$L$9:$L$5005)),0)=0,"",INDEX(Transactions!$H:$H,IFERROR(SUMPRODUCT((Transactions!$L$9:$L$5005=$D$1)*(Transactions!$M$9:$M$5005=127)*ROW(Transactions!$L$9:$L$5005)),0))),"")</f>
        <v/>
      </c>
      <c r="H153" s="105" t="str">
        <f ca="1">IFERROR(IF(IFERROR(SUMPRODUCT((Transactions!$L$9:$L$5005=$D$1)*(Transactions!$M$9:$M$5005=127)*ROW(Transactions!$L$9:$L$5005)),0)=0,"",INDEX(Transactions!$J:$J,IFERROR(SUMPRODUCT((Transactions!$L$9:$L$5005=$D$1)*(Transactions!$M$9:$M$5005=127)*ROW(Transactions!$L$9:$L$5005)),0))),"")</f>
        <v/>
      </c>
      <c r="I153" s="104" t="str">
        <f ca="1">IFERROR(IF(IFERROR(SUMPRODUCT((Transactions!$L$9:$L$5005=$D$1)*(Transactions!$M$9:$M$5005=127)*ROW(Transactions!$L$9:$L$5005)),0)=0,"",INDEX(Transactions!$K:$K,IFERROR(SUMPRODUCT((Transactions!$L$9:$L$5005=$D$1)*(Transactions!$M$9:$M$5005=127)*ROW(Transactions!$L$9:$L$5005)),0))),"")</f>
        <v/>
      </c>
      <c r="J153" s="298" t="str">
        <f ca="1">IFERROR(IF(IFERROR(SUMPRODUCT((Transactions!$L$9:$L$5005=$D$1)*(Transactions!$M$9:$M$5005=127)*ROW(Transactions!$L$9:$L$5005)),0)=0,"",INDEX(Transactions!$L:$L,IFERROR(SUMPRODUCT((Transactions!$L$9:$L$5005=$D$1)*(Transactions!$M$9:$M$5005=127)*ROW(Transactions!$L$9:$L$5005)),0))),"")</f>
        <v/>
      </c>
      <c r="N153" s="112"/>
      <c r="O153" s="245"/>
      <c r="P153" s="246"/>
      <c r="Q153" s="246"/>
      <c r="R153" s="106"/>
      <c r="S153" s="246"/>
      <c r="T153" s="247"/>
      <c r="X153" s="296" t="str" cm="1">
        <f t="array" aca="1" ref="X15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53" s="245" t="str" cm="1">
        <f t="array" aca="1" ref="Y15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53" s="246" t="str" cm="1">
        <f t="array" aca="1" ref="Z15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53" s="246" t="str" cm="1">
        <f t="array" aca="1" ref="AA15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53" s="106" t="str" cm="1">
        <f t="array" aca="1" ref="AB15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53" s="246" t="str" cm="1">
        <f t="array" aca="1" ref="AC15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53" s="247" t="str" cm="1">
        <f t="array" aca="1" ref="AD15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53" s="305" t="str" cm="1">
        <f t="array" aca="1" ref="AE15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54" spans="3:31" ht="16.5" customHeight="1" x14ac:dyDescent="0.2">
      <c r="C154" s="297" t="str">
        <f ca="1">IFERROR(IF(IFERROR(SUMPRODUCT((Transactions!$L$9:$L$5005=$D$1)*(Transactions!$M$9:$M$5005=128)*ROW(Transactions!$L$9:$L$5005)),0)=0,"",INDEX(Transactions!$C:$C,IFERROR(SUMPRODUCT((Transactions!$L$9:$L$5005=$D$1)*(Transactions!$M$9:$M$5005=128)*ROW(Transactions!$L$9:$L$5005)),0))),"")</f>
        <v/>
      </c>
      <c r="D154" s="107" t="str">
        <f ca="1">IFERROR(IF(IFERROR(SUMPRODUCT((Transactions!$L$9:$L$5005=$D$1)*(Transactions!$M$9:$M$5005=128)*ROW(Transactions!$L$9:$L$5005)),0)=0,"",INDEX(Transactions!$D:$D,IFERROR(SUMPRODUCT((Transactions!$L$9:$L$5005=$D$1)*(Transactions!$M$9:$M$5005=128)*ROW(Transactions!$L$9:$L$5005)),0))),"")</f>
        <v/>
      </c>
      <c r="E154" s="108" t="str">
        <f ca="1">IFERROR(IF(IFERROR(SUMPRODUCT((Transactions!$L$9:$L$5005=$D$1)*(Transactions!$M$9:$M$5005=128)*ROW(Transactions!$L$9:$L$5005)),0)=0,"",INDEX(Transactions!$F:$F,IFERROR(SUMPRODUCT((Transactions!$L$9:$L$5005=$D$1)*(Transactions!$M$9:$M$5005=128)*ROW(Transactions!$L$9:$L$5005)),0))),"")</f>
        <v/>
      </c>
      <c r="F154" s="108" t="str">
        <f ca="1">IFERROR(IF(IFERROR(SUMPRODUCT((Transactions!$L$9:$L$5005=$D$1)*(Transactions!$M$9:$M$5005=128)*ROW(Transactions!$L$9:$L$5005)),0)=0,"",INDEX(Transactions!$G:$G,IFERROR(SUMPRODUCT((Transactions!$L$9:$L$5005=$D$1)*(Transactions!$M$9:$M$5005=128)*ROW(Transactions!$L$9:$L$5005)),0))),"")</f>
        <v/>
      </c>
      <c r="G154" s="109" t="str">
        <f ca="1">IFERROR(IF(IFERROR(SUMPRODUCT((Transactions!$L$9:$L$5005=$D$1)*(Transactions!$M$9:$M$5005=128)*ROW(Transactions!$L$9:$L$5005)),0)=0,"",INDEX(Transactions!$H:$H,IFERROR(SUMPRODUCT((Transactions!$L$9:$L$5005=$D$1)*(Transactions!$M$9:$M$5005=128)*ROW(Transactions!$L$9:$L$5005)),0))),"")</f>
        <v/>
      </c>
      <c r="H154" s="108" t="str">
        <f ca="1">IFERROR(IF(IFERROR(SUMPRODUCT((Transactions!$L$9:$L$5005=$D$1)*(Transactions!$M$9:$M$5005=128)*ROW(Transactions!$L$9:$L$5005)),0)=0,"",INDEX(Transactions!$J:$J,IFERROR(SUMPRODUCT((Transactions!$L$9:$L$5005=$D$1)*(Transactions!$M$9:$M$5005=128)*ROW(Transactions!$L$9:$L$5005)),0))),"")</f>
        <v/>
      </c>
      <c r="I154" s="107" t="str">
        <f ca="1">IFERROR(IF(IFERROR(SUMPRODUCT((Transactions!$L$9:$L$5005=$D$1)*(Transactions!$M$9:$M$5005=128)*ROW(Transactions!$L$9:$L$5005)),0)=0,"",INDEX(Transactions!$K:$K,IFERROR(SUMPRODUCT((Transactions!$L$9:$L$5005=$D$1)*(Transactions!$M$9:$M$5005=128)*ROW(Transactions!$L$9:$L$5005)),0))),"")</f>
        <v/>
      </c>
      <c r="J154" s="299" t="str">
        <f ca="1">IFERROR(IF(IFERROR(SUMPRODUCT((Transactions!$L$9:$L$5005=$D$1)*(Transactions!$M$9:$M$5005=128)*ROW(Transactions!$L$9:$L$5005)),0)=0,"",INDEX(Transactions!$L:$L,IFERROR(SUMPRODUCT((Transactions!$L$9:$L$5005=$D$1)*(Transactions!$M$9:$M$5005=128)*ROW(Transactions!$L$9:$L$5005)),0))),"")</f>
        <v/>
      </c>
      <c r="N154" s="112"/>
      <c r="O154" s="245"/>
      <c r="P154" s="246"/>
      <c r="Q154" s="246"/>
      <c r="R154" s="106"/>
      <c r="S154" s="246"/>
      <c r="T154" s="247"/>
      <c r="X154" s="296" t="str" cm="1">
        <f t="array" aca="1" ref="X15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54" s="245" t="str" cm="1">
        <f t="array" aca="1" ref="Y15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54" s="246" t="str" cm="1">
        <f t="array" aca="1" ref="Z15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54" s="246" t="str" cm="1">
        <f t="array" aca="1" ref="AA15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54" s="106" t="str" cm="1">
        <f t="array" aca="1" ref="AB15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54" s="246" t="str" cm="1">
        <f t="array" aca="1" ref="AC15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54" s="247" t="str" cm="1">
        <f t="array" aca="1" ref="AD15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54" s="305" t="str" cm="1">
        <f t="array" aca="1" ref="AE15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55" spans="3:31" ht="16.5" customHeight="1" x14ac:dyDescent="0.2">
      <c r="C155" s="296" t="str">
        <f ca="1">IFERROR(IF(IFERROR(SUMPRODUCT((Transactions!$L$9:$L$5005=$D$1)*(Transactions!$M$9:$M$5005=129)*ROW(Transactions!$L$9:$L$5005)),0)=0,"",INDEX(Transactions!$C:$C,IFERROR(SUMPRODUCT((Transactions!$L$9:$L$5005=$D$1)*(Transactions!$M$9:$M$5005=129)*ROW(Transactions!$L$9:$L$5005)),0))),"")</f>
        <v/>
      </c>
      <c r="D155" s="104" t="str">
        <f ca="1">IFERROR(IF(IFERROR(SUMPRODUCT((Transactions!$L$9:$L$5005=$D$1)*(Transactions!$M$9:$M$5005=129)*ROW(Transactions!$L$9:$L$5005)),0)=0,"",INDEX(Transactions!$D:$D,IFERROR(SUMPRODUCT((Transactions!$L$9:$L$5005=$D$1)*(Transactions!$M$9:$M$5005=129)*ROW(Transactions!$L$9:$L$5005)),0))),"")</f>
        <v/>
      </c>
      <c r="E155" s="105" t="str">
        <f ca="1">IFERROR(IF(IFERROR(SUMPRODUCT((Transactions!$L$9:$L$5005=$D$1)*(Transactions!$M$9:$M$5005=129)*ROW(Transactions!$L$9:$L$5005)),0)=0,"",INDEX(Transactions!$F:$F,IFERROR(SUMPRODUCT((Transactions!$L$9:$L$5005=$D$1)*(Transactions!$M$9:$M$5005=129)*ROW(Transactions!$L$9:$L$5005)),0))),"")</f>
        <v/>
      </c>
      <c r="F155" s="105" t="str">
        <f ca="1">IFERROR(IF(IFERROR(SUMPRODUCT((Transactions!$L$9:$L$5005=$D$1)*(Transactions!$M$9:$M$5005=129)*ROW(Transactions!$L$9:$L$5005)),0)=0,"",INDEX(Transactions!$G:$G,IFERROR(SUMPRODUCT((Transactions!$L$9:$L$5005=$D$1)*(Transactions!$M$9:$M$5005=129)*ROW(Transactions!$L$9:$L$5005)),0))),"")</f>
        <v/>
      </c>
      <c r="G155" s="106" t="str">
        <f ca="1">IFERROR(IF(IFERROR(SUMPRODUCT((Transactions!$L$9:$L$5005=$D$1)*(Transactions!$M$9:$M$5005=129)*ROW(Transactions!$L$9:$L$5005)),0)=0,"",INDEX(Transactions!$H:$H,IFERROR(SUMPRODUCT((Transactions!$L$9:$L$5005=$D$1)*(Transactions!$M$9:$M$5005=129)*ROW(Transactions!$L$9:$L$5005)),0))),"")</f>
        <v/>
      </c>
      <c r="H155" s="105" t="str">
        <f ca="1">IFERROR(IF(IFERROR(SUMPRODUCT((Transactions!$L$9:$L$5005=$D$1)*(Transactions!$M$9:$M$5005=129)*ROW(Transactions!$L$9:$L$5005)),0)=0,"",INDEX(Transactions!$J:$J,IFERROR(SUMPRODUCT((Transactions!$L$9:$L$5005=$D$1)*(Transactions!$M$9:$M$5005=129)*ROW(Transactions!$L$9:$L$5005)),0))),"")</f>
        <v/>
      </c>
      <c r="I155" s="104" t="str">
        <f ca="1">IFERROR(IF(IFERROR(SUMPRODUCT((Transactions!$L$9:$L$5005=$D$1)*(Transactions!$M$9:$M$5005=129)*ROW(Transactions!$L$9:$L$5005)),0)=0,"",INDEX(Transactions!$K:$K,IFERROR(SUMPRODUCT((Transactions!$L$9:$L$5005=$D$1)*(Transactions!$M$9:$M$5005=129)*ROW(Transactions!$L$9:$L$5005)),0))),"")</f>
        <v/>
      </c>
      <c r="J155" s="298" t="str">
        <f ca="1">IFERROR(IF(IFERROR(SUMPRODUCT((Transactions!$L$9:$L$5005=$D$1)*(Transactions!$M$9:$M$5005=129)*ROW(Transactions!$L$9:$L$5005)),0)=0,"",INDEX(Transactions!$L:$L,IFERROR(SUMPRODUCT((Transactions!$L$9:$L$5005=$D$1)*(Transactions!$M$9:$M$5005=129)*ROW(Transactions!$L$9:$L$5005)),0))),"")</f>
        <v/>
      </c>
      <c r="N155" s="112"/>
      <c r="O155" s="245"/>
      <c r="P155" s="246"/>
      <c r="Q155" s="246"/>
      <c r="R155" s="106"/>
      <c r="S155" s="246"/>
      <c r="T155" s="247"/>
      <c r="X155" s="296" t="str" cm="1">
        <f t="array" aca="1" ref="X15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55" s="245" t="str" cm="1">
        <f t="array" aca="1" ref="Y15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55" s="246" t="str" cm="1">
        <f t="array" aca="1" ref="Z15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55" s="246" t="str" cm="1">
        <f t="array" aca="1" ref="AA15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55" s="106" t="str" cm="1">
        <f t="array" aca="1" ref="AB15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55" s="246" t="str" cm="1">
        <f t="array" aca="1" ref="AC15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55" s="247" t="str" cm="1">
        <f t="array" aca="1" ref="AD15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55" s="305" t="str" cm="1">
        <f t="array" aca="1" ref="AE15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56" spans="3:31" ht="16.5" customHeight="1" x14ac:dyDescent="0.2">
      <c r="C156" s="297" t="str">
        <f ca="1">IFERROR(IF(IFERROR(SUMPRODUCT((Transactions!$L$9:$L$5005=$D$1)*(Transactions!$M$9:$M$5005=130)*ROW(Transactions!$L$9:$L$5005)),0)=0,"",INDEX(Transactions!$C:$C,IFERROR(SUMPRODUCT((Transactions!$L$9:$L$5005=$D$1)*(Transactions!$M$9:$M$5005=130)*ROW(Transactions!$L$9:$L$5005)),0))),"")</f>
        <v/>
      </c>
      <c r="D156" s="107" t="str">
        <f ca="1">IFERROR(IF(IFERROR(SUMPRODUCT((Transactions!$L$9:$L$5005=$D$1)*(Transactions!$M$9:$M$5005=130)*ROW(Transactions!$L$9:$L$5005)),0)=0,"",INDEX(Transactions!$D:$D,IFERROR(SUMPRODUCT((Transactions!$L$9:$L$5005=$D$1)*(Transactions!$M$9:$M$5005=130)*ROW(Transactions!$L$9:$L$5005)),0))),"")</f>
        <v/>
      </c>
      <c r="E156" s="108" t="str">
        <f ca="1">IFERROR(IF(IFERROR(SUMPRODUCT((Transactions!$L$9:$L$5005=$D$1)*(Transactions!$M$9:$M$5005=130)*ROW(Transactions!$L$9:$L$5005)),0)=0,"",INDEX(Transactions!$F:$F,IFERROR(SUMPRODUCT((Transactions!$L$9:$L$5005=$D$1)*(Transactions!$M$9:$M$5005=130)*ROW(Transactions!$L$9:$L$5005)),0))),"")</f>
        <v/>
      </c>
      <c r="F156" s="108" t="str">
        <f ca="1">IFERROR(IF(IFERROR(SUMPRODUCT((Transactions!$L$9:$L$5005=$D$1)*(Transactions!$M$9:$M$5005=130)*ROW(Transactions!$L$9:$L$5005)),0)=0,"",INDEX(Transactions!$G:$G,IFERROR(SUMPRODUCT((Transactions!$L$9:$L$5005=$D$1)*(Transactions!$M$9:$M$5005=130)*ROW(Transactions!$L$9:$L$5005)),0))),"")</f>
        <v/>
      </c>
      <c r="G156" s="109" t="str">
        <f ca="1">IFERROR(IF(IFERROR(SUMPRODUCT((Transactions!$L$9:$L$5005=$D$1)*(Transactions!$M$9:$M$5005=130)*ROW(Transactions!$L$9:$L$5005)),0)=0,"",INDEX(Transactions!$H:$H,IFERROR(SUMPRODUCT((Transactions!$L$9:$L$5005=$D$1)*(Transactions!$M$9:$M$5005=130)*ROW(Transactions!$L$9:$L$5005)),0))),"")</f>
        <v/>
      </c>
      <c r="H156" s="108" t="str">
        <f ca="1">IFERROR(IF(IFERROR(SUMPRODUCT((Transactions!$L$9:$L$5005=$D$1)*(Transactions!$M$9:$M$5005=130)*ROW(Transactions!$L$9:$L$5005)),0)=0,"",INDEX(Transactions!$J:$J,IFERROR(SUMPRODUCT((Transactions!$L$9:$L$5005=$D$1)*(Transactions!$M$9:$M$5005=130)*ROW(Transactions!$L$9:$L$5005)),0))),"")</f>
        <v/>
      </c>
      <c r="I156" s="107" t="str">
        <f ca="1">IFERROR(IF(IFERROR(SUMPRODUCT((Transactions!$L$9:$L$5005=$D$1)*(Transactions!$M$9:$M$5005=130)*ROW(Transactions!$L$9:$L$5005)),0)=0,"",INDEX(Transactions!$K:$K,IFERROR(SUMPRODUCT((Transactions!$L$9:$L$5005=$D$1)*(Transactions!$M$9:$M$5005=130)*ROW(Transactions!$L$9:$L$5005)),0))),"")</f>
        <v/>
      </c>
      <c r="J156" s="299" t="str">
        <f ca="1">IFERROR(IF(IFERROR(SUMPRODUCT((Transactions!$L$9:$L$5005=$D$1)*(Transactions!$M$9:$M$5005=130)*ROW(Transactions!$L$9:$L$5005)),0)=0,"",INDEX(Transactions!$L:$L,IFERROR(SUMPRODUCT((Transactions!$L$9:$L$5005=$D$1)*(Transactions!$M$9:$M$5005=130)*ROW(Transactions!$L$9:$L$5005)),0))),"")</f>
        <v/>
      </c>
      <c r="N156" s="112"/>
      <c r="O156" s="245"/>
      <c r="P156" s="246"/>
      <c r="Q156" s="246"/>
      <c r="R156" s="106"/>
      <c r="S156" s="246"/>
      <c r="T156" s="247"/>
      <c r="X156" s="296" t="str" cm="1">
        <f t="array" aca="1" ref="X15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56" s="245" t="str" cm="1">
        <f t="array" aca="1" ref="Y15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56" s="246" t="str" cm="1">
        <f t="array" aca="1" ref="Z15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56" s="246" t="str" cm="1">
        <f t="array" aca="1" ref="AA15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56" s="106" t="str" cm="1">
        <f t="array" aca="1" ref="AB15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56" s="246" t="str" cm="1">
        <f t="array" aca="1" ref="AC15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56" s="247" t="str" cm="1">
        <f t="array" aca="1" ref="AD15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56" s="305" t="str" cm="1">
        <f t="array" aca="1" ref="AE15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57" spans="3:31" ht="16.5" customHeight="1" x14ac:dyDescent="0.2">
      <c r="C157" s="296" t="str">
        <f ca="1">IFERROR(IF(IFERROR(SUMPRODUCT((Transactions!$L$9:$L$5005=$D$1)*(Transactions!$M$9:$M$5005=131)*ROW(Transactions!$L$9:$L$5005)),0)=0,"",INDEX(Transactions!$C:$C,IFERROR(SUMPRODUCT((Transactions!$L$9:$L$5005=$D$1)*(Transactions!$M$9:$M$5005=131)*ROW(Transactions!$L$9:$L$5005)),0))),"")</f>
        <v/>
      </c>
      <c r="D157" s="104" t="str">
        <f ca="1">IFERROR(IF(IFERROR(SUMPRODUCT((Transactions!$L$9:$L$5005=$D$1)*(Transactions!$M$9:$M$5005=131)*ROW(Transactions!$L$9:$L$5005)),0)=0,"",INDEX(Transactions!$D:$D,IFERROR(SUMPRODUCT((Transactions!$L$9:$L$5005=$D$1)*(Transactions!$M$9:$M$5005=131)*ROW(Transactions!$L$9:$L$5005)),0))),"")</f>
        <v/>
      </c>
      <c r="E157" s="105" t="str">
        <f ca="1">IFERROR(IF(IFERROR(SUMPRODUCT((Transactions!$L$9:$L$5005=$D$1)*(Transactions!$M$9:$M$5005=131)*ROW(Transactions!$L$9:$L$5005)),0)=0,"",INDEX(Transactions!$F:$F,IFERROR(SUMPRODUCT((Transactions!$L$9:$L$5005=$D$1)*(Transactions!$M$9:$M$5005=131)*ROW(Transactions!$L$9:$L$5005)),0))),"")</f>
        <v/>
      </c>
      <c r="F157" s="105" t="str">
        <f ca="1">IFERROR(IF(IFERROR(SUMPRODUCT((Transactions!$L$9:$L$5005=$D$1)*(Transactions!$M$9:$M$5005=131)*ROW(Transactions!$L$9:$L$5005)),0)=0,"",INDEX(Transactions!$G:$G,IFERROR(SUMPRODUCT((Transactions!$L$9:$L$5005=$D$1)*(Transactions!$M$9:$M$5005=131)*ROW(Transactions!$L$9:$L$5005)),0))),"")</f>
        <v/>
      </c>
      <c r="G157" s="106" t="str">
        <f ca="1">IFERROR(IF(IFERROR(SUMPRODUCT((Transactions!$L$9:$L$5005=$D$1)*(Transactions!$M$9:$M$5005=131)*ROW(Transactions!$L$9:$L$5005)),0)=0,"",INDEX(Transactions!$H:$H,IFERROR(SUMPRODUCT((Transactions!$L$9:$L$5005=$D$1)*(Transactions!$M$9:$M$5005=131)*ROW(Transactions!$L$9:$L$5005)),0))),"")</f>
        <v/>
      </c>
      <c r="H157" s="105" t="str">
        <f ca="1">IFERROR(IF(IFERROR(SUMPRODUCT((Transactions!$L$9:$L$5005=$D$1)*(Transactions!$M$9:$M$5005=131)*ROW(Transactions!$L$9:$L$5005)),0)=0,"",INDEX(Transactions!$J:$J,IFERROR(SUMPRODUCT((Transactions!$L$9:$L$5005=$D$1)*(Transactions!$M$9:$M$5005=131)*ROW(Transactions!$L$9:$L$5005)),0))),"")</f>
        <v/>
      </c>
      <c r="I157" s="104" t="str">
        <f ca="1">IFERROR(IF(IFERROR(SUMPRODUCT((Transactions!$L$9:$L$5005=$D$1)*(Transactions!$M$9:$M$5005=131)*ROW(Transactions!$L$9:$L$5005)),0)=0,"",INDEX(Transactions!$K:$K,IFERROR(SUMPRODUCT((Transactions!$L$9:$L$5005=$D$1)*(Transactions!$M$9:$M$5005=131)*ROW(Transactions!$L$9:$L$5005)),0))),"")</f>
        <v/>
      </c>
      <c r="J157" s="298" t="str">
        <f ca="1">IFERROR(IF(IFERROR(SUMPRODUCT((Transactions!$L$9:$L$5005=$D$1)*(Transactions!$M$9:$M$5005=131)*ROW(Transactions!$L$9:$L$5005)),0)=0,"",INDEX(Transactions!$L:$L,IFERROR(SUMPRODUCT((Transactions!$L$9:$L$5005=$D$1)*(Transactions!$M$9:$M$5005=131)*ROW(Transactions!$L$9:$L$5005)),0))),"")</f>
        <v/>
      </c>
      <c r="N157" s="112"/>
      <c r="O157" s="245"/>
      <c r="P157" s="246"/>
      <c r="Q157" s="246"/>
      <c r="R157" s="106"/>
      <c r="S157" s="246"/>
      <c r="T157" s="247"/>
      <c r="X157" s="296" t="str" cm="1">
        <f t="array" aca="1" ref="X15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57" s="245" t="str" cm="1">
        <f t="array" aca="1" ref="Y15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57" s="246" t="str" cm="1">
        <f t="array" aca="1" ref="Z15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57" s="246" t="str" cm="1">
        <f t="array" aca="1" ref="AA15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57" s="106" t="str" cm="1">
        <f t="array" aca="1" ref="AB15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57" s="246" t="str" cm="1">
        <f t="array" aca="1" ref="AC15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57" s="247" t="str" cm="1">
        <f t="array" aca="1" ref="AD15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57" s="305" t="str" cm="1">
        <f t="array" aca="1" ref="AE15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58" spans="3:31" ht="16.5" customHeight="1" x14ac:dyDescent="0.2">
      <c r="C158" s="297" t="str">
        <f ca="1">IFERROR(IF(IFERROR(SUMPRODUCT((Transactions!$L$9:$L$5005=$D$1)*(Transactions!$M$9:$M$5005=132)*ROW(Transactions!$L$9:$L$5005)),0)=0,"",INDEX(Transactions!$C:$C,IFERROR(SUMPRODUCT((Transactions!$L$9:$L$5005=$D$1)*(Transactions!$M$9:$M$5005=132)*ROW(Transactions!$L$9:$L$5005)),0))),"")</f>
        <v/>
      </c>
      <c r="D158" s="107" t="str">
        <f ca="1">IFERROR(IF(IFERROR(SUMPRODUCT((Transactions!$L$9:$L$5005=$D$1)*(Transactions!$M$9:$M$5005=132)*ROW(Transactions!$L$9:$L$5005)),0)=0,"",INDEX(Transactions!$D:$D,IFERROR(SUMPRODUCT((Transactions!$L$9:$L$5005=$D$1)*(Transactions!$M$9:$M$5005=132)*ROW(Transactions!$L$9:$L$5005)),0))),"")</f>
        <v/>
      </c>
      <c r="E158" s="108" t="str">
        <f ca="1">IFERROR(IF(IFERROR(SUMPRODUCT((Transactions!$L$9:$L$5005=$D$1)*(Transactions!$M$9:$M$5005=132)*ROW(Transactions!$L$9:$L$5005)),0)=0,"",INDEX(Transactions!$F:$F,IFERROR(SUMPRODUCT((Transactions!$L$9:$L$5005=$D$1)*(Transactions!$M$9:$M$5005=132)*ROW(Transactions!$L$9:$L$5005)),0))),"")</f>
        <v/>
      </c>
      <c r="F158" s="108" t="str">
        <f ca="1">IFERROR(IF(IFERROR(SUMPRODUCT((Transactions!$L$9:$L$5005=$D$1)*(Transactions!$M$9:$M$5005=132)*ROW(Transactions!$L$9:$L$5005)),0)=0,"",INDEX(Transactions!$G:$G,IFERROR(SUMPRODUCT((Transactions!$L$9:$L$5005=$D$1)*(Transactions!$M$9:$M$5005=132)*ROW(Transactions!$L$9:$L$5005)),0))),"")</f>
        <v/>
      </c>
      <c r="G158" s="109" t="str">
        <f ca="1">IFERROR(IF(IFERROR(SUMPRODUCT((Transactions!$L$9:$L$5005=$D$1)*(Transactions!$M$9:$M$5005=132)*ROW(Transactions!$L$9:$L$5005)),0)=0,"",INDEX(Transactions!$H:$H,IFERROR(SUMPRODUCT((Transactions!$L$9:$L$5005=$D$1)*(Transactions!$M$9:$M$5005=132)*ROW(Transactions!$L$9:$L$5005)),0))),"")</f>
        <v/>
      </c>
      <c r="H158" s="108" t="str">
        <f ca="1">IFERROR(IF(IFERROR(SUMPRODUCT((Transactions!$L$9:$L$5005=$D$1)*(Transactions!$M$9:$M$5005=132)*ROW(Transactions!$L$9:$L$5005)),0)=0,"",INDEX(Transactions!$J:$J,IFERROR(SUMPRODUCT((Transactions!$L$9:$L$5005=$D$1)*(Transactions!$M$9:$M$5005=132)*ROW(Transactions!$L$9:$L$5005)),0))),"")</f>
        <v/>
      </c>
      <c r="I158" s="107" t="str">
        <f ca="1">IFERROR(IF(IFERROR(SUMPRODUCT((Transactions!$L$9:$L$5005=$D$1)*(Transactions!$M$9:$M$5005=132)*ROW(Transactions!$L$9:$L$5005)),0)=0,"",INDEX(Transactions!$K:$K,IFERROR(SUMPRODUCT((Transactions!$L$9:$L$5005=$D$1)*(Transactions!$M$9:$M$5005=132)*ROW(Transactions!$L$9:$L$5005)),0))),"")</f>
        <v/>
      </c>
      <c r="J158" s="299" t="str">
        <f ca="1">IFERROR(IF(IFERROR(SUMPRODUCT((Transactions!$L$9:$L$5005=$D$1)*(Transactions!$M$9:$M$5005=132)*ROW(Transactions!$L$9:$L$5005)),0)=0,"",INDEX(Transactions!$L:$L,IFERROR(SUMPRODUCT((Transactions!$L$9:$L$5005=$D$1)*(Transactions!$M$9:$M$5005=132)*ROW(Transactions!$L$9:$L$5005)),0))),"")</f>
        <v/>
      </c>
      <c r="N158" s="112"/>
      <c r="O158" s="245"/>
      <c r="P158" s="246"/>
      <c r="Q158" s="246"/>
      <c r="R158" s="106"/>
      <c r="S158" s="246"/>
      <c r="T158" s="247"/>
      <c r="X158" s="296" t="str" cm="1">
        <f t="array" aca="1" ref="X15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58" s="245" t="str" cm="1">
        <f t="array" aca="1" ref="Y15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58" s="246" t="str" cm="1">
        <f t="array" aca="1" ref="Z15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58" s="246" t="str" cm="1">
        <f t="array" aca="1" ref="AA15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58" s="106" t="str" cm="1">
        <f t="array" aca="1" ref="AB15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58" s="246" t="str" cm="1">
        <f t="array" aca="1" ref="AC15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58" s="247" t="str" cm="1">
        <f t="array" aca="1" ref="AD15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58" s="305" t="str" cm="1">
        <f t="array" aca="1" ref="AE15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59" spans="3:31" ht="16.5" customHeight="1" x14ac:dyDescent="0.2">
      <c r="C159" s="296" t="str">
        <f ca="1">IFERROR(IF(IFERROR(SUMPRODUCT((Transactions!$L$9:$L$5005=$D$1)*(Transactions!$M$9:$M$5005=133)*ROW(Transactions!$L$9:$L$5005)),0)=0,"",INDEX(Transactions!$C:$C,IFERROR(SUMPRODUCT((Transactions!$L$9:$L$5005=$D$1)*(Transactions!$M$9:$M$5005=133)*ROW(Transactions!$L$9:$L$5005)),0))),"")</f>
        <v/>
      </c>
      <c r="D159" s="104" t="str">
        <f ca="1">IFERROR(IF(IFERROR(SUMPRODUCT((Transactions!$L$9:$L$5005=$D$1)*(Transactions!$M$9:$M$5005=133)*ROW(Transactions!$L$9:$L$5005)),0)=0,"",INDEX(Transactions!$D:$D,IFERROR(SUMPRODUCT((Transactions!$L$9:$L$5005=$D$1)*(Transactions!$M$9:$M$5005=133)*ROW(Transactions!$L$9:$L$5005)),0))),"")</f>
        <v/>
      </c>
      <c r="E159" s="105" t="str">
        <f ca="1">IFERROR(IF(IFERROR(SUMPRODUCT((Transactions!$L$9:$L$5005=$D$1)*(Transactions!$M$9:$M$5005=133)*ROW(Transactions!$L$9:$L$5005)),0)=0,"",INDEX(Transactions!$F:$F,IFERROR(SUMPRODUCT((Transactions!$L$9:$L$5005=$D$1)*(Transactions!$M$9:$M$5005=133)*ROW(Transactions!$L$9:$L$5005)),0))),"")</f>
        <v/>
      </c>
      <c r="F159" s="105" t="str">
        <f ca="1">IFERROR(IF(IFERROR(SUMPRODUCT((Transactions!$L$9:$L$5005=$D$1)*(Transactions!$M$9:$M$5005=133)*ROW(Transactions!$L$9:$L$5005)),0)=0,"",INDEX(Transactions!$G:$G,IFERROR(SUMPRODUCT((Transactions!$L$9:$L$5005=$D$1)*(Transactions!$M$9:$M$5005=133)*ROW(Transactions!$L$9:$L$5005)),0))),"")</f>
        <v/>
      </c>
      <c r="G159" s="106" t="str">
        <f ca="1">IFERROR(IF(IFERROR(SUMPRODUCT((Transactions!$L$9:$L$5005=$D$1)*(Transactions!$M$9:$M$5005=133)*ROW(Transactions!$L$9:$L$5005)),0)=0,"",INDEX(Transactions!$H:$H,IFERROR(SUMPRODUCT((Transactions!$L$9:$L$5005=$D$1)*(Transactions!$M$9:$M$5005=133)*ROW(Transactions!$L$9:$L$5005)),0))),"")</f>
        <v/>
      </c>
      <c r="H159" s="105" t="str">
        <f ca="1">IFERROR(IF(IFERROR(SUMPRODUCT((Transactions!$L$9:$L$5005=$D$1)*(Transactions!$M$9:$M$5005=133)*ROW(Transactions!$L$9:$L$5005)),0)=0,"",INDEX(Transactions!$J:$J,IFERROR(SUMPRODUCT((Transactions!$L$9:$L$5005=$D$1)*(Transactions!$M$9:$M$5005=133)*ROW(Transactions!$L$9:$L$5005)),0))),"")</f>
        <v/>
      </c>
      <c r="I159" s="104" t="str">
        <f ca="1">IFERROR(IF(IFERROR(SUMPRODUCT((Transactions!$L$9:$L$5005=$D$1)*(Transactions!$M$9:$M$5005=133)*ROW(Transactions!$L$9:$L$5005)),0)=0,"",INDEX(Transactions!$K:$K,IFERROR(SUMPRODUCT((Transactions!$L$9:$L$5005=$D$1)*(Transactions!$M$9:$M$5005=133)*ROW(Transactions!$L$9:$L$5005)),0))),"")</f>
        <v/>
      </c>
      <c r="J159" s="298" t="str">
        <f ca="1">IFERROR(IF(IFERROR(SUMPRODUCT((Transactions!$L$9:$L$5005=$D$1)*(Transactions!$M$9:$M$5005=133)*ROW(Transactions!$L$9:$L$5005)),0)=0,"",INDEX(Transactions!$L:$L,IFERROR(SUMPRODUCT((Transactions!$L$9:$L$5005=$D$1)*(Transactions!$M$9:$M$5005=133)*ROW(Transactions!$L$9:$L$5005)),0))),"")</f>
        <v/>
      </c>
      <c r="N159" s="112"/>
      <c r="O159" s="245"/>
      <c r="P159" s="246"/>
      <c r="Q159" s="246"/>
      <c r="R159" s="106"/>
      <c r="S159" s="246"/>
      <c r="T159" s="247"/>
      <c r="X159" s="296" t="str" cm="1">
        <f t="array" aca="1" ref="X15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59" s="245" t="str" cm="1">
        <f t="array" aca="1" ref="Y15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59" s="246" t="str" cm="1">
        <f t="array" aca="1" ref="Z15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59" s="246" t="str" cm="1">
        <f t="array" aca="1" ref="AA15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59" s="106" t="str" cm="1">
        <f t="array" aca="1" ref="AB15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59" s="246" t="str" cm="1">
        <f t="array" aca="1" ref="AC15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59" s="247" t="str" cm="1">
        <f t="array" aca="1" ref="AD15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59" s="305" t="str" cm="1">
        <f t="array" aca="1" ref="AE15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60" spans="3:31" ht="16.5" customHeight="1" x14ac:dyDescent="0.2">
      <c r="C160" s="297" t="str">
        <f ca="1">IFERROR(IF(IFERROR(SUMPRODUCT((Transactions!$L$9:$L$5005=$D$1)*(Transactions!$M$9:$M$5005=134)*ROW(Transactions!$L$9:$L$5005)),0)=0,"",INDEX(Transactions!$C:$C,IFERROR(SUMPRODUCT((Transactions!$L$9:$L$5005=$D$1)*(Transactions!$M$9:$M$5005=134)*ROW(Transactions!$L$9:$L$5005)),0))),"")</f>
        <v/>
      </c>
      <c r="D160" s="107" t="str">
        <f ca="1">IFERROR(IF(IFERROR(SUMPRODUCT((Transactions!$L$9:$L$5005=$D$1)*(Transactions!$M$9:$M$5005=134)*ROW(Transactions!$L$9:$L$5005)),0)=0,"",INDEX(Transactions!$D:$D,IFERROR(SUMPRODUCT((Transactions!$L$9:$L$5005=$D$1)*(Transactions!$M$9:$M$5005=134)*ROW(Transactions!$L$9:$L$5005)),0))),"")</f>
        <v/>
      </c>
      <c r="E160" s="108" t="str">
        <f ca="1">IFERROR(IF(IFERROR(SUMPRODUCT((Transactions!$L$9:$L$5005=$D$1)*(Transactions!$M$9:$M$5005=134)*ROW(Transactions!$L$9:$L$5005)),0)=0,"",INDEX(Transactions!$F:$F,IFERROR(SUMPRODUCT((Transactions!$L$9:$L$5005=$D$1)*(Transactions!$M$9:$M$5005=134)*ROW(Transactions!$L$9:$L$5005)),0))),"")</f>
        <v/>
      </c>
      <c r="F160" s="108" t="str">
        <f ca="1">IFERROR(IF(IFERROR(SUMPRODUCT((Transactions!$L$9:$L$5005=$D$1)*(Transactions!$M$9:$M$5005=134)*ROW(Transactions!$L$9:$L$5005)),0)=0,"",INDEX(Transactions!$G:$G,IFERROR(SUMPRODUCT((Transactions!$L$9:$L$5005=$D$1)*(Transactions!$M$9:$M$5005=134)*ROW(Transactions!$L$9:$L$5005)),0))),"")</f>
        <v/>
      </c>
      <c r="G160" s="109" t="str">
        <f ca="1">IFERROR(IF(IFERROR(SUMPRODUCT((Transactions!$L$9:$L$5005=$D$1)*(Transactions!$M$9:$M$5005=134)*ROW(Transactions!$L$9:$L$5005)),0)=0,"",INDEX(Transactions!$H:$H,IFERROR(SUMPRODUCT((Transactions!$L$9:$L$5005=$D$1)*(Transactions!$M$9:$M$5005=134)*ROW(Transactions!$L$9:$L$5005)),0))),"")</f>
        <v/>
      </c>
      <c r="H160" s="108" t="str">
        <f ca="1">IFERROR(IF(IFERROR(SUMPRODUCT((Transactions!$L$9:$L$5005=$D$1)*(Transactions!$M$9:$M$5005=134)*ROW(Transactions!$L$9:$L$5005)),0)=0,"",INDEX(Transactions!$J:$J,IFERROR(SUMPRODUCT((Transactions!$L$9:$L$5005=$D$1)*(Transactions!$M$9:$M$5005=134)*ROW(Transactions!$L$9:$L$5005)),0))),"")</f>
        <v/>
      </c>
      <c r="I160" s="107" t="str">
        <f ca="1">IFERROR(IF(IFERROR(SUMPRODUCT((Transactions!$L$9:$L$5005=$D$1)*(Transactions!$M$9:$M$5005=134)*ROW(Transactions!$L$9:$L$5005)),0)=0,"",INDEX(Transactions!$K:$K,IFERROR(SUMPRODUCT((Transactions!$L$9:$L$5005=$D$1)*(Transactions!$M$9:$M$5005=134)*ROW(Transactions!$L$9:$L$5005)),0))),"")</f>
        <v/>
      </c>
      <c r="J160" s="299" t="str">
        <f ca="1">IFERROR(IF(IFERROR(SUMPRODUCT((Transactions!$L$9:$L$5005=$D$1)*(Transactions!$M$9:$M$5005=134)*ROW(Transactions!$L$9:$L$5005)),0)=0,"",INDEX(Transactions!$L:$L,IFERROR(SUMPRODUCT((Transactions!$L$9:$L$5005=$D$1)*(Transactions!$M$9:$M$5005=134)*ROW(Transactions!$L$9:$L$5005)),0))),"")</f>
        <v/>
      </c>
      <c r="N160" s="112"/>
      <c r="O160" s="245"/>
      <c r="P160" s="246"/>
      <c r="Q160" s="246"/>
      <c r="R160" s="106"/>
      <c r="S160" s="246"/>
      <c r="T160" s="247"/>
      <c r="X160" s="296" t="str" cm="1">
        <f t="array" aca="1" ref="X16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60" s="245" t="str" cm="1">
        <f t="array" aca="1" ref="Y16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60" s="246" t="str" cm="1">
        <f t="array" aca="1" ref="Z16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60" s="246" t="str" cm="1">
        <f t="array" aca="1" ref="AA16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60" s="106" t="str" cm="1">
        <f t="array" aca="1" ref="AB16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60" s="246" t="str" cm="1">
        <f t="array" aca="1" ref="AC16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60" s="247" t="str" cm="1">
        <f t="array" aca="1" ref="AD16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60" s="305" t="str" cm="1">
        <f t="array" aca="1" ref="AE16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61" spans="3:31" ht="16.5" customHeight="1" x14ac:dyDescent="0.2">
      <c r="C161" s="296" t="str">
        <f ca="1">IFERROR(IF(IFERROR(SUMPRODUCT((Transactions!$L$9:$L$5005=$D$1)*(Transactions!$M$9:$M$5005=135)*ROW(Transactions!$L$9:$L$5005)),0)=0,"",INDEX(Transactions!$C:$C,IFERROR(SUMPRODUCT((Transactions!$L$9:$L$5005=$D$1)*(Transactions!$M$9:$M$5005=135)*ROW(Transactions!$L$9:$L$5005)),0))),"")</f>
        <v/>
      </c>
      <c r="D161" s="104" t="str">
        <f ca="1">IFERROR(IF(IFERROR(SUMPRODUCT((Transactions!$L$9:$L$5005=$D$1)*(Transactions!$M$9:$M$5005=135)*ROW(Transactions!$L$9:$L$5005)),0)=0,"",INDEX(Transactions!$D:$D,IFERROR(SUMPRODUCT((Transactions!$L$9:$L$5005=$D$1)*(Transactions!$M$9:$M$5005=135)*ROW(Transactions!$L$9:$L$5005)),0))),"")</f>
        <v/>
      </c>
      <c r="E161" s="105" t="str">
        <f ca="1">IFERROR(IF(IFERROR(SUMPRODUCT((Transactions!$L$9:$L$5005=$D$1)*(Transactions!$M$9:$M$5005=135)*ROW(Transactions!$L$9:$L$5005)),0)=0,"",INDEX(Transactions!$F:$F,IFERROR(SUMPRODUCT((Transactions!$L$9:$L$5005=$D$1)*(Transactions!$M$9:$M$5005=135)*ROW(Transactions!$L$9:$L$5005)),0))),"")</f>
        <v/>
      </c>
      <c r="F161" s="105" t="str">
        <f ca="1">IFERROR(IF(IFERROR(SUMPRODUCT((Transactions!$L$9:$L$5005=$D$1)*(Transactions!$M$9:$M$5005=135)*ROW(Transactions!$L$9:$L$5005)),0)=0,"",INDEX(Transactions!$G:$G,IFERROR(SUMPRODUCT((Transactions!$L$9:$L$5005=$D$1)*(Transactions!$M$9:$M$5005=135)*ROW(Transactions!$L$9:$L$5005)),0))),"")</f>
        <v/>
      </c>
      <c r="G161" s="106" t="str">
        <f ca="1">IFERROR(IF(IFERROR(SUMPRODUCT((Transactions!$L$9:$L$5005=$D$1)*(Transactions!$M$9:$M$5005=135)*ROW(Transactions!$L$9:$L$5005)),0)=0,"",INDEX(Transactions!$H:$H,IFERROR(SUMPRODUCT((Transactions!$L$9:$L$5005=$D$1)*(Transactions!$M$9:$M$5005=135)*ROW(Transactions!$L$9:$L$5005)),0))),"")</f>
        <v/>
      </c>
      <c r="H161" s="105" t="str">
        <f ca="1">IFERROR(IF(IFERROR(SUMPRODUCT((Transactions!$L$9:$L$5005=$D$1)*(Transactions!$M$9:$M$5005=135)*ROW(Transactions!$L$9:$L$5005)),0)=0,"",INDEX(Transactions!$J:$J,IFERROR(SUMPRODUCT((Transactions!$L$9:$L$5005=$D$1)*(Transactions!$M$9:$M$5005=135)*ROW(Transactions!$L$9:$L$5005)),0))),"")</f>
        <v/>
      </c>
      <c r="I161" s="104" t="str">
        <f ca="1">IFERROR(IF(IFERROR(SUMPRODUCT((Transactions!$L$9:$L$5005=$D$1)*(Transactions!$M$9:$M$5005=135)*ROW(Transactions!$L$9:$L$5005)),0)=0,"",INDEX(Transactions!$K:$K,IFERROR(SUMPRODUCT((Transactions!$L$9:$L$5005=$D$1)*(Transactions!$M$9:$M$5005=135)*ROW(Transactions!$L$9:$L$5005)),0))),"")</f>
        <v/>
      </c>
      <c r="J161" s="298" t="str">
        <f ca="1">IFERROR(IF(IFERROR(SUMPRODUCT((Transactions!$L$9:$L$5005=$D$1)*(Transactions!$M$9:$M$5005=135)*ROW(Transactions!$L$9:$L$5005)),0)=0,"",INDEX(Transactions!$L:$L,IFERROR(SUMPRODUCT((Transactions!$L$9:$L$5005=$D$1)*(Transactions!$M$9:$M$5005=135)*ROW(Transactions!$L$9:$L$5005)),0))),"")</f>
        <v/>
      </c>
      <c r="N161" s="112"/>
      <c r="O161" s="245"/>
      <c r="P161" s="246"/>
      <c r="Q161" s="246"/>
      <c r="R161" s="106"/>
      <c r="S161" s="246"/>
      <c r="T161" s="247"/>
      <c r="X161" s="296" t="str" cm="1">
        <f t="array" aca="1" ref="X16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61" s="245" t="str" cm="1">
        <f t="array" aca="1" ref="Y16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61" s="246" t="str" cm="1">
        <f t="array" aca="1" ref="Z16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61" s="246" t="str" cm="1">
        <f t="array" aca="1" ref="AA16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61" s="106" t="str" cm="1">
        <f t="array" aca="1" ref="AB16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61" s="246" t="str" cm="1">
        <f t="array" aca="1" ref="AC16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61" s="247" t="str" cm="1">
        <f t="array" aca="1" ref="AD16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61" s="305" t="str" cm="1">
        <f t="array" aca="1" ref="AE16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62" spans="3:31" ht="16.5" customHeight="1" x14ac:dyDescent="0.2">
      <c r="C162" s="297" t="str">
        <f ca="1">IFERROR(IF(IFERROR(SUMPRODUCT((Transactions!$L$9:$L$5005=$D$1)*(Transactions!$M$9:$M$5005=136)*ROW(Transactions!$L$9:$L$5005)),0)=0,"",INDEX(Transactions!$C:$C,IFERROR(SUMPRODUCT((Transactions!$L$9:$L$5005=$D$1)*(Transactions!$M$9:$M$5005=136)*ROW(Transactions!$L$9:$L$5005)),0))),"")</f>
        <v/>
      </c>
      <c r="D162" s="107" t="str">
        <f ca="1">IFERROR(IF(IFERROR(SUMPRODUCT((Transactions!$L$9:$L$5005=$D$1)*(Transactions!$M$9:$M$5005=136)*ROW(Transactions!$L$9:$L$5005)),0)=0,"",INDEX(Transactions!$D:$D,IFERROR(SUMPRODUCT((Transactions!$L$9:$L$5005=$D$1)*(Transactions!$M$9:$M$5005=136)*ROW(Transactions!$L$9:$L$5005)),0))),"")</f>
        <v/>
      </c>
      <c r="E162" s="108" t="str">
        <f ca="1">IFERROR(IF(IFERROR(SUMPRODUCT((Transactions!$L$9:$L$5005=$D$1)*(Transactions!$M$9:$M$5005=136)*ROW(Transactions!$L$9:$L$5005)),0)=0,"",INDEX(Transactions!$F:$F,IFERROR(SUMPRODUCT((Transactions!$L$9:$L$5005=$D$1)*(Transactions!$M$9:$M$5005=136)*ROW(Transactions!$L$9:$L$5005)),0))),"")</f>
        <v/>
      </c>
      <c r="F162" s="108" t="str">
        <f ca="1">IFERROR(IF(IFERROR(SUMPRODUCT((Transactions!$L$9:$L$5005=$D$1)*(Transactions!$M$9:$M$5005=136)*ROW(Transactions!$L$9:$L$5005)),0)=0,"",INDEX(Transactions!$G:$G,IFERROR(SUMPRODUCT((Transactions!$L$9:$L$5005=$D$1)*(Transactions!$M$9:$M$5005=136)*ROW(Transactions!$L$9:$L$5005)),0))),"")</f>
        <v/>
      </c>
      <c r="G162" s="109" t="str">
        <f ca="1">IFERROR(IF(IFERROR(SUMPRODUCT((Transactions!$L$9:$L$5005=$D$1)*(Transactions!$M$9:$M$5005=136)*ROW(Transactions!$L$9:$L$5005)),0)=0,"",INDEX(Transactions!$H:$H,IFERROR(SUMPRODUCT((Transactions!$L$9:$L$5005=$D$1)*(Transactions!$M$9:$M$5005=136)*ROW(Transactions!$L$9:$L$5005)),0))),"")</f>
        <v/>
      </c>
      <c r="H162" s="108" t="str">
        <f ca="1">IFERROR(IF(IFERROR(SUMPRODUCT((Transactions!$L$9:$L$5005=$D$1)*(Transactions!$M$9:$M$5005=136)*ROW(Transactions!$L$9:$L$5005)),0)=0,"",INDEX(Transactions!$J:$J,IFERROR(SUMPRODUCT((Transactions!$L$9:$L$5005=$D$1)*(Transactions!$M$9:$M$5005=136)*ROW(Transactions!$L$9:$L$5005)),0))),"")</f>
        <v/>
      </c>
      <c r="I162" s="107" t="str">
        <f ca="1">IFERROR(IF(IFERROR(SUMPRODUCT((Transactions!$L$9:$L$5005=$D$1)*(Transactions!$M$9:$M$5005=136)*ROW(Transactions!$L$9:$L$5005)),0)=0,"",INDEX(Transactions!$K:$K,IFERROR(SUMPRODUCT((Transactions!$L$9:$L$5005=$D$1)*(Transactions!$M$9:$M$5005=136)*ROW(Transactions!$L$9:$L$5005)),0))),"")</f>
        <v/>
      </c>
      <c r="J162" s="299" t="str">
        <f ca="1">IFERROR(IF(IFERROR(SUMPRODUCT((Transactions!$L$9:$L$5005=$D$1)*(Transactions!$M$9:$M$5005=136)*ROW(Transactions!$L$9:$L$5005)),0)=0,"",INDEX(Transactions!$L:$L,IFERROR(SUMPRODUCT((Transactions!$L$9:$L$5005=$D$1)*(Transactions!$M$9:$M$5005=136)*ROW(Transactions!$L$9:$L$5005)),0))),"")</f>
        <v/>
      </c>
      <c r="N162" s="112"/>
      <c r="O162" s="245"/>
      <c r="P162" s="246"/>
      <c r="Q162" s="246"/>
      <c r="R162" s="106"/>
      <c r="S162" s="246"/>
      <c r="T162" s="247"/>
      <c r="X162" s="296" t="str" cm="1">
        <f t="array" aca="1" ref="X16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62" s="245" t="str" cm="1">
        <f t="array" aca="1" ref="Y16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62" s="246" t="str" cm="1">
        <f t="array" aca="1" ref="Z16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62" s="246" t="str" cm="1">
        <f t="array" aca="1" ref="AA16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62" s="106" t="str" cm="1">
        <f t="array" aca="1" ref="AB16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62" s="246" t="str" cm="1">
        <f t="array" aca="1" ref="AC16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62" s="247" t="str" cm="1">
        <f t="array" aca="1" ref="AD16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62" s="305" t="str" cm="1">
        <f t="array" aca="1" ref="AE16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63" spans="3:31" ht="16.5" customHeight="1" x14ac:dyDescent="0.2">
      <c r="C163" s="296" t="str">
        <f ca="1">IFERROR(IF(IFERROR(SUMPRODUCT((Transactions!$L$9:$L$5005=$D$1)*(Transactions!$M$9:$M$5005=137)*ROW(Transactions!$L$9:$L$5005)),0)=0,"",INDEX(Transactions!$C:$C,IFERROR(SUMPRODUCT((Transactions!$L$9:$L$5005=$D$1)*(Transactions!$M$9:$M$5005=137)*ROW(Transactions!$L$9:$L$5005)),0))),"")</f>
        <v/>
      </c>
      <c r="D163" s="104" t="str">
        <f ca="1">IFERROR(IF(IFERROR(SUMPRODUCT((Transactions!$L$9:$L$5005=$D$1)*(Transactions!$M$9:$M$5005=137)*ROW(Transactions!$L$9:$L$5005)),0)=0,"",INDEX(Transactions!$D:$D,IFERROR(SUMPRODUCT((Transactions!$L$9:$L$5005=$D$1)*(Transactions!$M$9:$M$5005=137)*ROW(Transactions!$L$9:$L$5005)),0))),"")</f>
        <v/>
      </c>
      <c r="E163" s="105" t="str">
        <f ca="1">IFERROR(IF(IFERROR(SUMPRODUCT((Transactions!$L$9:$L$5005=$D$1)*(Transactions!$M$9:$M$5005=137)*ROW(Transactions!$L$9:$L$5005)),0)=0,"",INDEX(Transactions!$F:$F,IFERROR(SUMPRODUCT((Transactions!$L$9:$L$5005=$D$1)*(Transactions!$M$9:$M$5005=137)*ROW(Transactions!$L$9:$L$5005)),0))),"")</f>
        <v/>
      </c>
      <c r="F163" s="105" t="str">
        <f ca="1">IFERROR(IF(IFERROR(SUMPRODUCT((Transactions!$L$9:$L$5005=$D$1)*(Transactions!$M$9:$M$5005=137)*ROW(Transactions!$L$9:$L$5005)),0)=0,"",INDEX(Transactions!$G:$G,IFERROR(SUMPRODUCT((Transactions!$L$9:$L$5005=$D$1)*(Transactions!$M$9:$M$5005=137)*ROW(Transactions!$L$9:$L$5005)),0))),"")</f>
        <v/>
      </c>
      <c r="G163" s="106" t="str">
        <f ca="1">IFERROR(IF(IFERROR(SUMPRODUCT((Transactions!$L$9:$L$5005=$D$1)*(Transactions!$M$9:$M$5005=137)*ROW(Transactions!$L$9:$L$5005)),0)=0,"",INDEX(Transactions!$H:$H,IFERROR(SUMPRODUCT((Transactions!$L$9:$L$5005=$D$1)*(Transactions!$M$9:$M$5005=137)*ROW(Transactions!$L$9:$L$5005)),0))),"")</f>
        <v/>
      </c>
      <c r="H163" s="105" t="str">
        <f ca="1">IFERROR(IF(IFERROR(SUMPRODUCT((Transactions!$L$9:$L$5005=$D$1)*(Transactions!$M$9:$M$5005=137)*ROW(Transactions!$L$9:$L$5005)),0)=0,"",INDEX(Transactions!$J:$J,IFERROR(SUMPRODUCT((Transactions!$L$9:$L$5005=$D$1)*(Transactions!$M$9:$M$5005=137)*ROW(Transactions!$L$9:$L$5005)),0))),"")</f>
        <v/>
      </c>
      <c r="I163" s="104" t="str">
        <f ca="1">IFERROR(IF(IFERROR(SUMPRODUCT((Transactions!$L$9:$L$5005=$D$1)*(Transactions!$M$9:$M$5005=137)*ROW(Transactions!$L$9:$L$5005)),0)=0,"",INDEX(Transactions!$K:$K,IFERROR(SUMPRODUCT((Transactions!$L$9:$L$5005=$D$1)*(Transactions!$M$9:$M$5005=137)*ROW(Transactions!$L$9:$L$5005)),0))),"")</f>
        <v/>
      </c>
      <c r="J163" s="298" t="str">
        <f ca="1">IFERROR(IF(IFERROR(SUMPRODUCT((Transactions!$L$9:$L$5005=$D$1)*(Transactions!$M$9:$M$5005=137)*ROW(Transactions!$L$9:$L$5005)),0)=0,"",INDEX(Transactions!$L:$L,IFERROR(SUMPRODUCT((Transactions!$L$9:$L$5005=$D$1)*(Transactions!$M$9:$M$5005=137)*ROW(Transactions!$L$9:$L$5005)),0))),"")</f>
        <v/>
      </c>
      <c r="N163" s="112"/>
      <c r="O163" s="245"/>
      <c r="P163" s="246"/>
      <c r="Q163" s="246"/>
      <c r="R163" s="106"/>
      <c r="S163" s="246"/>
      <c r="T163" s="247"/>
      <c r="X163" s="296" t="str" cm="1">
        <f t="array" aca="1" ref="X16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63" s="245" t="str" cm="1">
        <f t="array" aca="1" ref="Y16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63" s="246" t="str" cm="1">
        <f t="array" aca="1" ref="Z16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63" s="246" t="str" cm="1">
        <f t="array" aca="1" ref="AA16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63" s="106" t="str" cm="1">
        <f t="array" aca="1" ref="AB16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63" s="246" t="str" cm="1">
        <f t="array" aca="1" ref="AC16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63" s="247" t="str" cm="1">
        <f t="array" aca="1" ref="AD16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63" s="305" t="str" cm="1">
        <f t="array" aca="1" ref="AE16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64" spans="3:31" ht="16.5" customHeight="1" x14ac:dyDescent="0.2">
      <c r="C164" s="297" t="str">
        <f ca="1">IFERROR(IF(IFERROR(SUMPRODUCT((Transactions!$L$9:$L$5005=$D$1)*(Transactions!$M$9:$M$5005=138)*ROW(Transactions!$L$9:$L$5005)),0)=0,"",INDEX(Transactions!$C:$C,IFERROR(SUMPRODUCT((Transactions!$L$9:$L$5005=$D$1)*(Transactions!$M$9:$M$5005=138)*ROW(Transactions!$L$9:$L$5005)),0))),"")</f>
        <v/>
      </c>
      <c r="D164" s="107" t="str">
        <f ca="1">IFERROR(IF(IFERROR(SUMPRODUCT((Transactions!$L$9:$L$5005=$D$1)*(Transactions!$M$9:$M$5005=138)*ROW(Transactions!$L$9:$L$5005)),0)=0,"",INDEX(Transactions!$D:$D,IFERROR(SUMPRODUCT((Transactions!$L$9:$L$5005=$D$1)*(Transactions!$M$9:$M$5005=138)*ROW(Transactions!$L$9:$L$5005)),0))),"")</f>
        <v/>
      </c>
      <c r="E164" s="108" t="str">
        <f ca="1">IFERROR(IF(IFERROR(SUMPRODUCT((Transactions!$L$9:$L$5005=$D$1)*(Transactions!$M$9:$M$5005=138)*ROW(Transactions!$L$9:$L$5005)),0)=0,"",INDEX(Transactions!$F:$F,IFERROR(SUMPRODUCT((Transactions!$L$9:$L$5005=$D$1)*(Transactions!$M$9:$M$5005=138)*ROW(Transactions!$L$9:$L$5005)),0))),"")</f>
        <v/>
      </c>
      <c r="F164" s="108" t="str">
        <f ca="1">IFERROR(IF(IFERROR(SUMPRODUCT((Transactions!$L$9:$L$5005=$D$1)*(Transactions!$M$9:$M$5005=138)*ROW(Transactions!$L$9:$L$5005)),0)=0,"",INDEX(Transactions!$G:$G,IFERROR(SUMPRODUCT((Transactions!$L$9:$L$5005=$D$1)*(Transactions!$M$9:$M$5005=138)*ROW(Transactions!$L$9:$L$5005)),0))),"")</f>
        <v/>
      </c>
      <c r="G164" s="109" t="str">
        <f ca="1">IFERROR(IF(IFERROR(SUMPRODUCT((Transactions!$L$9:$L$5005=$D$1)*(Transactions!$M$9:$M$5005=138)*ROW(Transactions!$L$9:$L$5005)),0)=0,"",INDEX(Transactions!$H:$H,IFERROR(SUMPRODUCT((Transactions!$L$9:$L$5005=$D$1)*(Transactions!$M$9:$M$5005=138)*ROW(Transactions!$L$9:$L$5005)),0))),"")</f>
        <v/>
      </c>
      <c r="H164" s="108" t="str">
        <f ca="1">IFERROR(IF(IFERROR(SUMPRODUCT((Transactions!$L$9:$L$5005=$D$1)*(Transactions!$M$9:$M$5005=138)*ROW(Transactions!$L$9:$L$5005)),0)=0,"",INDEX(Transactions!$J:$J,IFERROR(SUMPRODUCT((Transactions!$L$9:$L$5005=$D$1)*(Transactions!$M$9:$M$5005=138)*ROW(Transactions!$L$9:$L$5005)),0))),"")</f>
        <v/>
      </c>
      <c r="I164" s="107" t="str">
        <f ca="1">IFERROR(IF(IFERROR(SUMPRODUCT((Transactions!$L$9:$L$5005=$D$1)*(Transactions!$M$9:$M$5005=138)*ROW(Transactions!$L$9:$L$5005)),0)=0,"",INDEX(Transactions!$K:$K,IFERROR(SUMPRODUCT((Transactions!$L$9:$L$5005=$D$1)*(Transactions!$M$9:$M$5005=138)*ROW(Transactions!$L$9:$L$5005)),0))),"")</f>
        <v/>
      </c>
      <c r="J164" s="299" t="str">
        <f ca="1">IFERROR(IF(IFERROR(SUMPRODUCT((Transactions!$L$9:$L$5005=$D$1)*(Transactions!$M$9:$M$5005=138)*ROW(Transactions!$L$9:$L$5005)),0)=0,"",INDEX(Transactions!$L:$L,IFERROR(SUMPRODUCT((Transactions!$L$9:$L$5005=$D$1)*(Transactions!$M$9:$M$5005=138)*ROW(Transactions!$L$9:$L$5005)),0))),"")</f>
        <v/>
      </c>
      <c r="N164" s="112"/>
      <c r="O164" s="245"/>
      <c r="P164" s="246"/>
      <c r="Q164" s="246"/>
      <c r="R164" s="106"/>
      <c r="S164" s="246"/>
      <c r="T164" s="247"/>
      <c r="X164" s="296" t="str" cm="1">
        <f t="array" aca="1" ref="X16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64" s="245" t="str" cm="1">
        <f t="array" aca="1" ref="Y16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64" s="246" t="str" cm="1">
        <f t="array" aca="1" ref="Z16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64" s="246" t="str" cm="1">
        <f t="array" aca="1" ref="AA16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64" s="106" t="str" cm="1">
        <f t="array" aca="1" ref="AB16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64" s="246" t="str" cm="1">
        <f t="array" aca="1" ref="AC16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64" s="247" t="str" cm="1">
        <f t="array" aca="1" ref="AD16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64" s="305" t="str" cm="1">
        <f t="array" aca="1" ref="AE16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65" spans="3:31" ht="16.5" customHeight="1" x14ac:dyDescent="0.2">
      <c r="C165" s="296" t="str">
        <f ca="1">IFERROR(IF(IFERROR(SUMPRODUCT((Transactions!$L$9:$L$5005=$D$1)*(Transactions!$M$9:$M$5005=139)*ROW(Transactions!$L$9:$L$5005)),0)=0,"",INDEX(Transactions!$C:$C,IFERROR(SUMPRODUCT((Transactions!$L$9:$L$5005=$D$1)*(Transactions!$M$9:$M$5005=139)*ROW(Transactions!$L$9:$L$5005)),0))),"")</f>
        <v/>
      </c>
      <c r="D165" s="104" t="str">
        <f ca="1">IFERROR(IF(IFERROR(SUMPRODUCT((Transactions!$L$9:$L$5005=$D$1)*(Transactions!$M$9:$M$5005=139)*ROW(Transactions!$L$9:$L$5005)),0)=0,"",INDEX(Transactions!$D:$D,IFERROR(SUMPRODUCT((Transactions!$L$9:$L$5005=$D$1)*(Transactions!$M$9:$M$5005=139)*ROW(Transactions!$L$9:$L$5005)),0))),"")</f>
        <v/>
      </c>
      <c r="E165" s="105" t="str">
        <f ca="1">IFERROR(IF(IFERROR(SUMPRODUCT((Transactions!$L$9:$L$5005=$D$1)*(Transactions!$M$9:$M$5005=139)*ROW(Transactions!$L$9:$L$5005)),0)=0,"",INDEX(Transactions!$F:$F,IFERROR(SUMPRODUCT((Transactions!$L$9:$L$5005=$D$1)*(Transactions!$M$9:$M$5005=139)*ROW(Transactions!$L$9:$L$5005)),0))),"")</f>
        <v/>
      </c>
      <c r="F165" s="105" t="str">
        <f ca="1">IFERROR(IF(IFERROR(SUMPRODUCT((Transactions!$L$9:$L$5005=$D$1)*(Transactions!$M$9:$M$5005=139)*ROW(Transactions!$L$9:$L$5005)),0)=0,"",INDEX(Transactions!$G:$G,IFERROR(SUMPRODUCT((Transactions!$L$9:$L$5005=$D$1)*(Transactions!$M$9:$M$5005=139)*ROW(Transactions!$L$9:$L$5005)),0))),"")</f>
        <v/>
      </c>
      <c r="G165" s="106" t="str">
        <f ca="1">IFERROR(IF(IFERROR(SUMPRODUCT((Transactions!$L$9:$L$5005=$D$1)*(Transactions!$M$9:$M$5005=139)*ROW(Transactions!$L$9:$L$5005)),0)=0,"",INDEX(Transactions!$H:$H,IFERROR(SUMPRODUCT((Transactions!$L$9:$L$5005=$D$1)*(Transactions!$M$9:$M$5005=139)*ROW(Transactions!$L$9:$L$5005)),0))),"")</f>
        <v/>
      </c>
      <c r="H165" s="105" t="str">
        <f ca="1">IFERROR(IF(IFERROR(SUMPRODUCT((Transactions!$L$9:$L$5005=$D$1)*(Transactions!$M$9:$M$5005=139)*ROW(Transactions!$L$9:$L$5005)),0)=0,"",INDEX(Transactions!$J:$J,IFERROR(SUMPRODUCT((Transactions!$L$9:$L$5005=$D$1)*(Transactions!$M$9:$M$5005=139)*ROW(Transactions!$L$9:$L$5005)),0))),"")</f>
        <v/>
      </c>
      <c r="I165" s="104" t="str">
        <f ca="1">IFERROR(IF(IFERROR(SUMPRODUCT((Transactions!$L$9:$L$5005=$D$1)*(Transactions!$M$9:$M$5005=139)*ROW(Transactions!$L$9:$L$5005)),0)=0,"",INDEX(Transactions!$K:$K,IFERROR(SUMPRODUCT((Transactions!$L$9:$L$5005=$D$1)*(Transactions!$M$9:$M$5005=139)*ROW(Transactions!$L$9:$L$5005)),0))),"")</f>
        <v/>
      </c>
      <c r="J165" s="298" t="str">
        <f ca="1">IFERROR(IF(IFERROR(SUMPRODUCT((Transactions!$L$9:$L$5005=$D$1)*(Transactions!$M$9:$M$5005=139)*ROW(Transactions!$L$9:$L$5005)),0)=0,"",INDEX(Transactions!$L:$L,IFERROR(SUMPRODUCT((Transactions!$L$9:$L$5005=$D$1)*(Transactions!$M$9:$M$5005=139)*ROW(Transactions!$L$9:$L$5005)),0))),"")</f>
        <v/>
      </c>
      <c r="N165" s="112"/>
      <c r="O165" s="245"/>
      <c r="P165" s="246"/>
      <c r="Q165" s="246"/>
      <c r="R165" s="106"/>
      <c r="S165" s="246"/>
      <c r="T165" s="247"/>
      <c r="X165" s="296" t="str" cm="1">
        <f t="array" aca="1" ref="X16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65" s="245" t="str" cm="1">
        <f t="array" aca="1" ref="Y16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65" s="246" t="str" cm="1">
        <f t="array" aca="1" ref="Z16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65" s="246" t="str" cm="1">
        <f t="array" aca="1" ref="AA16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65" s="106" t="str" cm="1">
        <f t="array" aca="1" ref="AB16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65" s="246" t="str" cm="1">
        <f t="array" aca="1" ref="AC16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65" s="247" t="str" cm="1">
        <f t="array" aca="1" ref="AD16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65" s="305" t="str" cm="1">
        <f t="array" aca="1" ref="AE16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66" spans="3:31" ht="16.5" customHeight="1" x14ac:dyDescent="0.2">
      <c r="C166" s="297" t="str">
        <f ca="1">IFERROR(IF(IFERROR(SUMPRODUCT((Transactions!$L$9:$L$5005=$D$1)*(Transactions!$M$9:$M$5005=140)*ROW(Transactions!$L$9:$L$5005)),0)=0,"",INDEX(Transactions!$C:$C,IFERROR(SUMPRODUCT((Transactions!$L$9:$L$5005=$D$1)*(Transactions!$M$9:$M$5005=140)*ROW(Transactions!$L$9:$L$5005)),0))),"")</f>
        <v/>
      </c>
      <c r="D166" s="107" t="str">
        <f ca="1">IFERROR(IF(IFERROR(SUMPRODUCT((Transactions!$L$9:$L$5005=$D$1)*(Transactions!$M$9:$M$5005=140)*ROW(Transactions!$L$9:$L$5005)),0)=0,"",INDEX(Transactions!$D:$D,IFERROR(SUMPRODUCT((Transactions!$L$9:$L$5005=$D$1)*(Transactions!$M$9:$M$5005=140)*ROW(Transactions!$L$9:$L$5005)),0))),"")</f>
        <v/>
      </c>
      <c r="E166" s="108" t="str">
        <f ca="1">IFERROR(IF(IFERROR(SUMPRODUCT((Transactions!$L$9:$L$5005=$D$1)*(Transactions!$M$9:$M$5005=140)*ROW(Transactions!$L$9:$L$5005)),0)=0,"",INDEX(Transactions!$F:$F,IFERROR(SUMPRODUCT((Transactions!$L$9:$L$5005=$D$1)*(Transactions!$M$9:$M$5005=140)*ROW(Transactions!$L$9:$L$5005)),0))),"")</f>
        <v/>
      </c>
      <c r="F166" s="108" t="str">
        <f ca="1">IFERROR(IF(IFERROR(SUMPRODUCT((Transactions!$L$9:$L$5005=$D$1)*(Transactions!$M$9:$M$5005=140)*ROW(Transactions!$L$9:$L$5005)),0)=0,"",INDEX(Transactions!$G:$G,IFERROR(SUMPRODUCT((Transactions!$L$9:$L$5005=$D$1)*(Transactions!$M$9:$M$5005=140)*ROW(Transactions!$L$9:$L$5005)),0))),"")</f>
        <v/>
      </c>
      <c r="G166" s="109" t="str">
        <f ca="1">IFERROR(IF(IFERROR(SUMPRODUCT((Transactions!$L$9:$L$5005=$D$1)*(Transactions!$M$9:$M$5005=140)*ROW(Transactions!$L$9:$L$5005)),0)=0,"",INDEX(Transactions!$H:$H,IFERROR(SUMPRODUCT((Transactions!$L$9:$L$5005=$D$1)*(Transactions!$M$9:$M$5005=140)*ROW(Transactions!$L$9:$L$5005)),0))),"")</f>
        <v/>
      </c>
      <c r="H166" s="108" t="str">
        <f ca="1">IFERROR(IF(IFERROR(SUMPRODUCT((Transactions!$L$9:$L$5005=$D$1)*(Transactions!$M$9:$M$5005=140)*ROW(Transactions!$L$9:$L$5005)),0)=0,"",INDEX(Transactions!$J:$J,IFERROR(SUMPRODUCT((Transactions!$L$9:$L$5005=$D$1)*(Transactions!$M$9:$M$5005=140)*ROW(Transactions!$L$9:$L$5005)),0))),"")</f>
        <v/>
      </c>
      <c r="I166" s="107" t="str">
        <f ca="1">IFERROR(IF(IFERROR(SUMPRODUCT((Transactions!$L$9:$L$5005=$D$1)*(Transactions!$M$9:$M$5005=140)*ROW(Transactions!$L$9:$L$5005)),0)=0,"",INDEX(Transactions!$K:$K,IFERROR(SUMPRODUCT((Transactions!$L$9:$L$5005=$D$1)*(Transactions!$M$9:$M$5005=140)*ROW(Transactions!$L$9:$L$5005)),0))),"")</f>
        <v/>
      </c>
      <c r="J166" s="299" t="str">
        <f ca="1">IFERROR(IF(IFERROR(SUMPRODUCT((Transactions!$L$9:$L$5005=$D$1)*(Transactions!$M$9:$M$5005=140)*ROW(Transactions!$L$9:$L$5005)),0)=0,"",INDEX(Transactions!$L:$L,IFERROR(SUMPRODUCT((Transactions!$L$9:$L$5005=$D$1)*(Transactions!$M$9:$M$5005=140)*ROW(Transactions!$L$9:$L$5005)),0))),"")</f>
        <v/>
      </c>
      <c r="N166" s="112"/>
      <c r="O166" s="245"/>
      <c r="P166" s="246"/>
      <c r="Q166" s="246"/>
      <c r="R166" s="106"/>
      <c r="S166" s="246"/>
      <c r="T166" s="247"/>
      <c r="X166" s="296" t="str" cm="1">
        <f t="array" aca="1" ref="X16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66" s="245" t="str" cm="1">
        <f t="array" aca="1" ref="Y16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66" s="246" t="str" cm="1">
        <f t="array" aca="1" ref="Z16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66" s="246" t="str" cm="1">
        <f t="array" aca="1" ref="AA16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66" s="106" t="str" cm="1">
        <f t="array" aca="1" ref="AB16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66" s="246" t="str" cm="1">
        <f t="array" aca="1" ref="AC16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66" s="247" t="str" cm="1">
        <f t="array" aca="1" ref="AD16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66" s="305" t="str" cm="1">
        <f t="array" aca="1" ref="AE16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67" spans="3:31" ht="16.5" customHeight="1" x14ac:dyDescent="0.2">
      <c r="C167" s="296" t="str">
        <f ca="1">IFERROR(IF(IFERROR(SUMPRODUCT((Transactions!$L$9:$L$5005=$D$1)*(Transactions!$M$9:$M$5005=141)*ROW(Transactions!$L$9:$L$5005)),0)=0,"",INDEX(Transactions!$C:$C,IFERROR(SUMPRODUCT((Transactions!$L$9:$L$5005=$D$1)*(Transactions!$M$9:$M$5005=141)*ROW(Transactions!$L$9:$L$5005)),0))),"")</f>
        <v/>
      </c>
      <c r="D167" s="104" t="str">
        <f ca="1">IFERROR(IF(IFERROR(SUMPRODUCT((Transactions!$L$9:$L$5005=$D$1)*(Transactions!$M$9:$M$5005=141)*ROW(Transactions!$L$9:$L$5005)),0)=0,"",INDEX(Transactions!$D:$D,IFERROR(SUMPRODUCT((Transactions!$L$9:$L$5005=$D$1)*(Transactions!$M$9:$M$5005=141)*ROW(Transactions!$L$9:$L$5005)),0))),"")</f>
        <v/>
      </c>
      <c r="E167" s="105" t="str">
        <f ca="1">IFERROR(IF(IFERROR(SUMPRODUCT((Transactions!$L$9:$L$5005=$D$1)*(Transactions!$M$9:$M$5005=141)*ROW(Transactions!$L$9:$L$5005)),0)=0,"",INDEX(Transactions!$F:$F,IFERROR(SUMPRODUCT((Transactions!$L$9:$L$5005=$D$1)*(Transactions!$M$9:$M$5005=141)*ROW(Transactions!$L$9:$L$5005)),0))),"")</f>
        <v/>
      </c>
      <c r="F167" s="105" t="str">
        <f ca="1">IFERROR(IF(IFERROR(SUMPRODUCT((Transactions!$L$9:$L$5005=$D$1)*(Transactions!$M$9:$M$5005=141)*ROW(Transactions!$L$9:$L$5005)),0)=0,"",INDEX(Transactions!$G:$G,IFERROR(SUMPRODUCT((Transactions!$L$9:$L$5005=$D$1)*(Transactions!$M$9:$M$5005=141)*ROW(Transactions!$L$9:$L$5005)),0))),"")</f>
        <v/>
      </c>
      <c r="G167" s="106" t="str">
        <f ca="1">IFERROR(IF(IFERROR(SUMPRODUCT((Transactions!$L$9:$L$5005=$D$1)*(Transactions!$M$9:$M$5005=141)*ROW(Transactions!$L$9:$L$5005)),0)=0,"",INDEX(Transactions!$H:$H,IFERROR(SUMPRODUCT((Transactions!$L$9:$L$5005=$D$1)*(Transactions!$M$9:$M$5005=141)*ROW(Transactions!$L$9:$L$5005)),0))),"")</f>
        <v/>
      </c>
      <c r="H167" s="105" t="str">
        <f ca="1">IFERROR(IF(IFERROR(SUMPRODUCT((Transactions!$L$9:$L$5005=$D$1)*(Transactions!$M$9:$M$5005=141)*ROW(Transactions!$L$9:$L$5005)),0)=0,"",INDEX(Transactions!$J:$J,IFERROR(SUMPRODUCT((Transactions!$L$9:$L$5005=$D$1)*(Transactions!$M$9:$M$5005=141)*ROW(Transactions!$L$9:$L$5005)),0))),"")</f>
        <v/>
      </c>
      <c r="I167" s="104" t="str">
        <f ca="1">IFERROR(IF(IFERROR(SUMPRODUCT((Transactions!$L$9:$L$5005=$D$1)*(Transactions!$M$9:$M$5005=141)*ROW(Transactions!$L$9:$L$5005)),0)=0,"",INDEX(Transactions!$K:$K,IFERROR(SUMPRODUCT((Transactions!$L$9:$L$5005=$D$1)*(Transactions!$M$9:$M$5005=141)*ROW(Transactions!$L$9:$L$5005)),0))),"")</f>
        <v/>
      </c>
      <c r="J167" s="298" t="str">
        <f ca="1">IFERROR(IF(IFERROR(SUMPRODUCT((Transactions!$L$9:$L$5005=$D$1)*(Transactions!$M$9:$M$5005=141)*ROW(Transactions!$L$9:$L$5005)),0)=0,"",INDEX(Transactions!$L:$L,IFERROR(SUMPRODUCT((Transactions!$L$9:$L$5005=$D$1)*(Transactions!$M$9:$M$5005=141)*ROW(Transactions!$L$9:$L$5005)),0))),"")</f>
        <v/>
      </c>
      <c r="N167" s="112"/>
      <c r="O167" s="245"/>
      <c r="P167" s="246"/>
      <c r="Q167" s="246"/>
      <c r="R167" s="106"/>
      <c r="S167" s="246"/>
      <c r="T167" s="247"/>
      <c r="X167" s="296" t="str" cm="1">
        <f t="array" aca="1" ref="X16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67" s="245" t="str" cm="1">
        <f t="array" aca="1" ref="Y16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67" s="246" t="str" cm="1">
        <f t="array" aca="1" ref="Z16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67" s="246" t="str" cm="1">
        <f t="array" aca="1" ref="AA16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67" s="106" t="str" cm="1">
        <f t="array" aca="1" ref="AB16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67" s="246" t="str" cm="1">
        <f t="array" aca="1" ref="AC16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67" s="247" t="str" cm="1">
        <f t="array" aca="1" ref="AD16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67" s="305" t="str" cm="1">
        <f t="array" aca="1" ref="AE16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68" spans="3:31" ht="16.5" customHeight="1" x14ac:dyDescent="0.2">
      <c r="C168" s="297" t="str">
        <f ca="1">IFERROR(IF(IFERROR(SUMPRODUCT((Transactions!$L$9:$L$5005=$D$1)*(Transactions!$M$9:$M$5005=142)*ROW(Transactions!$L$9:$L$5005)),0)=0,"",INDEX(Transactions!$C:$C,IFERROR(SUMPRODUCT((Transactions!$L$9:$L$5005=$D$1)*(Transactions!$M$9:$M$5005=142)*ROW(Transactions!$L$9:$L$5005)),0))),"")</f>
        <v/>
      </c>
      <c r="D168" s="107" t="str">
        <f ca="1">IFERROR(IF(IFERROR(SUMPRODUCT((Transactions!$L$9:$L$5005=$D$1)*(Transactions!$M$9:$M$5005=142)*ROW(Transactions!$L$9:$L$5005)),0)=0,"",INDEX(Transactions!$D:$D,IFERROR(SUMPRODUCT((Transactions!$L$9:$L$5005=$D$1)*(Transactions!$M$9:$M$5005=142)*ROW(Transactions!$L$9:$L$5005)),0))),"")</f>
        <v/>
      </c>
      <c r="E168" s="108" t="str">
        <f ca="1">IFERROR(IF(IFERROR(SUMPRODUCT((Transactions!$L$9:$L$5005=$D$1)*(Transactions!$M$9:$M$5005=142)*ROW(Transactions!$L$9:$L$5005)),0)=0,"",INDEX(Transactions!$F:$F,IFERROR(SUMPRODUCT((Transactions!$L$9:$L$5005=$D$1)*(Transactions!$M$9:$M$5005=142)*ROW(Transactions!$L$9:$L$5005)),0))),"")</f>
        <v/>
      </c>
      <c r="F168" s="108" t="str">
        <f ca="1">IFERROR(IF(IFERROR(SUMPRODUCT((Transactions!$L$9:$L$5005=$D$1)*(Transactions!$M$9:$M$5005=142)*ROW(Transactions!$L$9:$L$5005)),0)=0,"",INDEX(Transactions!$G:$G,IFERROR(SUMPRODUCT((Transactions!$L$9:$L$5005=$D$1)*(Transactions!$M$9:$M$5005=142)*ROW(Transactions!$L$9:$L$5005)),0))),"")</f>
        <v/>
      </c>
      <c r="G168" s="109" t="str">
        <f ca="1">IFERROR(IF(IFERROR(SUMPRODUCT((Transactions!$L$9:$L$5005=$D$1)*(Transactions!$M$9:$M$5005=142)*ROW(Transactions!$L$9:$L$5005)),0)=0,"",INDEX(Transactions!$H:$H,IFERROR(SUMPRODUCT((Transactions!$L$9:$L$5005=$D$1)*(Transactions!$M$9:$M$5005=142)*ROW(Transactions!$L$9:$L$5005)),0))),"")</f>
        <v/>
      </c>
      <c r="H168" s="108" t="str">
        <f ca="1">IFERROR(IF(IFERROR(SUMPRODUCT((Transactions!$L$9:$L$5005=$D$1)*(Transactions!$M$9:$M$5005=142)*ROW(Transactions!$L$9:$L$5005)),0)=0,"",INDEX(Transactions!$J:$J,IFERROR(SUMPRODUCT((Transactions!$L$9:$L$5005=$D$1)*(Transactions!$M$9:$M$5005=142)*ROW(Transactions!$L$9:$L$5005)),0))),"")</f>
        <v/>
      </c>
      <c r="I168" s="107" t="str">
        <f ca="1">IFERROR(IF(IFERROR(SUMPRODUCT((Transactions!$L$9:$L$5005=$D$1)*(Transactions!$M$9:$M$5005=142)*ROW(Transactions!$L$9:$L$5005)),0)=0,"",INDEX(Transactions!$K:$K,IFERROR(SUMPRODUCT((Transactions!$L$9:$L$5005=$D$1)*(Transactions!$M$9:$M$5005=142)*ROW(Transactions!$L$9:$L$5005)),0))),"")</f>
        <v/>
      </c>
      <c r="J168" s="299" t="str">
        <f ca="1">IFERROR(IF(IFERROR(SUMPRODUCT((Transactions!$L$9:$L$5005=$D$1)*(Transactions!$M$9:$M$5005=142)*ROW(Transactions!$L$9:$L$5005)),0)=0,"",INDEX(Transactions!$L:$L,IFERROR(SUMPRODUCT((Transactions!$L$9:$L$5005=$D$1)*(Transactions!$M$9:$M$5005=142)*ROW(Transactions!$L$9:$L$5005)),0))),"")</f>
        <v/>
      </c>
      <c r="N168" s="112"/>
      <c r="O168" s="245"/>
      <c r="P168" s="246"/>
      <c r="Q168" s="246"/>
      <c r="R168" s="106"/>
      <c r="S168" s="246"/>
      <c r="T168" s="247"/>
      <c r="X168" s="296" t="str" cm="1">
        <f t="array" aca="1" ref="X16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68" s="245" t="str" cm="1">
        <f t="array" aca="1" ref="Y16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68" s="246" t="str" cm="1">
        <f t="array" aca="1" ref="Z16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68" s="246" t="str" cm="1">
        <f t="array" aca="1" ref="AA16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68" s="106" t="str" cm="1">
        <f t="array" aca="1" ref="AB16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68" s="246" t="str" cm="1">
        <f t="array" aca="1" ref="AC16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68" s="247" t="str" cm="1">
        <f t="array" aca="1" ref="AD16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68" s="305" t="str" cm="1">
        <f t="array" aca="1" ref="AE16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69" spans="3:31" ht="16.5" customHeight="1" x14ac:dyDescent="0.2">
      <c r="C169" s="296" t="str">
        <f ca="1">IFERROR(IF(IFERROR(SUMPRODUCT((Transactions!$L$9:$L$5005=$D$1)*(Transactions!$M$9:$M$5005=143)*ROW(Transactions!$L$9:$L$5005)),0)=0,"",INDEX(Transactions!$C:$C,IFERROR(SUMPRODUCT((Transactions!$L$9:$L$5005=$D$1)*(Transactions!$M$9:$M$5005=143)*ROW(Transactions!$L$9:$L$5005)),0))),"")</f>
        <v/>
      </c>
      <c r="D169" s="104" t="str">
        <f ca="1">IFERROR(IF(IFERROR(SUMPRODUCT((Transactions!$L$9:$L$5005=$D$1)*(Transactions!$M$9:$M$5005=143)*ROW(Transactions!$L$9:$L$5005)),0)=0,"",INDEX(Transactions!$D:$D,IFERROR(SUMPRODUCT((Transactions!$L$9:$L$5005=$D$1)*(Transactions!$M$9:$M$5005=143)*ROW(Transactions!$L$9:$L$5005)),0))),"")</f>
        <v/>
      </c>
      <c r="E169" s="105" t="str">
        <f ca="1">IFERROR(IF(IFERROR(SUMPRODUCT((Transactions!$L$9:$L$5005=$D$1)*(Transactions!$M$9:$M$5005=143)*ROW(Transactions!$L$9:$L$5005)),0)=0,"",INDEX(Transactions!$F:$F,IFERROR(SUMPRODUCT((Transactions!$L$9:$L$5005=$D$1)*(Transactions!$M$9:$M$5005=143)*ROW(Transactions!$L$9:$L$5005)),0))),"")</f>
        <v/>
      </c>
      <c r="F169" s="105" t="str">
        <f ca="1">IFERROR(IF(IFERROR(SUMPRODUCT((Transactions!$L$9:$L$5005=$D$1)*(Transactions!$M$9:$M$5005=143)*ROW(Transactions!$L$9:$L$5005)),0)=0,"",INDEX(Transactions!$G:$G,IFERROR(SUMPRODUCT((Transactions!$L$9:$L$5005=$D$1)*(Transactions!$M$9:$M$5005=143)*ROW(Transactions!$L$9:$L$5005)),0))),"")</f>
        <v/>
      </c>
      <c r="G169" s="106" t="str">
        <f ca="1">IFERROR(IF(IFERROR(SUMPRODUCT((Transactions!$L$9:$L$5005=$D$1)*(Transactions!$M$9:$M$5005=143)*ROW(Transactions!$L$9:$L$5005)),0)=0,"",INDEX(Transactions!$H:$H,IFERROR(SUMPRODUCT((Transactions!$L$9:$L$5005=$D$1)*(Transactions!$M$9:$M$5005=143)*ROW(Transactions!$L$9:$L$5005)),0))),"")</f>
        <v/>
      </c>
      <c r="H169" s="105" t="str">
        <f ca="1">IFERROR(IF(IFERROR(SUMPRODUCT((Transactions!$L$9:$L$5005=$D$1)*(Transactions!$M$9:$M$5005=143)*ROW(Transactions!$L$9:$L$5005)),0)=0,"",INDEX(Transactions!$J:$J,IFERROR(SUMPRODUCT((Transactions!$L$9:$L$5005=$D$1)*(Transactions!$M$9:$M$5005=143)*ROW(Transactions!$L$9:$L$5005)),0))),"")</f>
        <v/>
      </c>
      <c r="I169" s="104" t="str">
        <f ca="1">IFERROR(IF(IFERROR(SUMPRODUCT((Transactions!$L$9:$L$5005=$D$1)*(Transactions!$M$9:$M$5005=143)*ROW(Transactions!$L$9:$L$5005)),0)=0,"",INDEX(Transactions!$K:$K,IFERROR(SUMPRODUCT((Transactions!$L$9:$L$5005=$D$1)*(Transactions!$M$9:$M$5005=143)*ROW(Transactions!$L$9:$L$5005)),0))),"")</f>
        <v/>
      </c>
      <c r="J169" s="298" t="str">
        <f ca="1">IFERROR(IF(IFERROR(SUMPRODUCT((Transactions!$L$9:$L$5005=$D$1)*(Transactions!$M$9:$M$5005=143)*ROW(Transactions!$L$9:$L$5005)),0)=0,"",INDEX(Transactions!$L:$L,IFERROR(SUMPRODUCT((Transactions!$L$9:$L$5005=$D$1)*(Transactions!$M$9:$M$5005=143)*ROW(Transactions!$L$9:$L$5005)),0))),"")</f>
        <v/>
      </c>
      <c r="N169" s="112"/>
      <c r="O169" s="245"/>
      <c r="P169" s="246"/>
      <c r="Q169" s="246"/>
      <c r="R169" s="106"/>
      <c r="S169" s="246"/>
      <c r="T169" s="247"/>
      <c r="X169" s="296" t="str" cm="1">
        <f t="array" aca="1" ref="X16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69" s="245" t="str" cm="1">
        <f t="array" aca="1" ref="Y16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69" s="246" t="str" cm="1">
        <f t="array" aca="1" ref="Z16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69" s="246" t="str" cm="1">
        <f t="array" aca="1" ref="AA16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69" s="106" t="str" cm="1">
        <f t="array" aca="1" ref="AB16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69" s="246" t="str" cm="1">
        <f t="array" aca="1" ref="AC16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69" s="247" t="str" cm="1">
        <f t="array" aca="1" ref="AD16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69" s="305" t="str" cm="1">
        <f t="array" aca="1" ref="AE16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70" spans="3:31" ht="16.5" customHeight="1" x14ac:dyDescent="0.2">
      <c r="C170" s="297" t="str">
        <f ca="1">IFERROR(IF(IFERROR(SUMPRODUCT((Transactions!$L$9:$L$5005=$D$1)*(Transactions!$M$9:$M$5005=144)*ROW(Transactions!$L$9:$L$5005)),0)=0,"",INDEX(Transactions!$C:$C,IFERROR(SUMPRODUCT((Transactions!$L$9:$L$5005=$D$1)*(Transactions!$M$9:$M$5005=144)*ROW(Transactions!$L$9:$L$5005)),0))),"")</f>
        <v/>
      </c>
      <c r="D170" s="107" t="str">
        <f ca="1">IFERROR(IF(IFERROR(SUMPRODUCT((Transactions!$L$9:$L$5005=$D$1)*(Transactions!$M$9:$M$5005=144)*ROW(Transactions!$L$9:$L$5005)),0)=0,"",INDEX(Transactions!$D:$D,IFERROR(SUMPRODUCT((Transactions!$L$9:$L$5005=$D$1)*(Transactions!$M$9:$M$5005=144)*ROW(Transactions!$L$9:$L$5005)),0))),"")</f>
        <v/>
      </c>
      <c r="E170" s="108" t="str">
        <f ca="1">IFERROR(IF(IFERROR(SUMPRODUCT((Transactions!$L$9:$L$5005=$D$1)*(Transactions!$M$9:$M$5005=144)*ROW(Transactions!$L$9:$L$5005)),0)=0,"",INDEX(Transactions!$F:$F,IFERROR(SUMPRODUCT((Transactions!$L$9:$L$5005=$D$1)*(Transactions!$M$9:$M$5005=144)*ROW(Transactions!$L$9:$L$5005)),0))),"")</f>
        <v/>
      </c>
      <c r="F170" s="108" t="str">
        <f ca="1">IFERROR(IF(IFERROR(SUMPRODUCT((Transactions!$L$9:$L$5005=$D$1)*(Transactions!$M$9:$M$5005=144)*ROW(Transactions!$L$9:$L$5005)),0)=0,"",INDEX(Transactions!$G:$G,IFERROR(SUMPRODUCT((Transactions!$L$9:$L$5005=$D$1)*(Transactions!$M$9:$M$5005=144)*ROW(Transactions!$L$9:$L$5005)),0))),"")</f>
        <v/>
      </c>
      <c r="G170" s="109" t="str">
        <f ca="1">IFERROR(IF(IFERROR(SUMPRODUCT((Transactions!$L$9:$L$5005=$D$1)*(Transactions!$M$9:$M$5005=144)*ROW(Transactions!$L$9:$L$5005)),0)=0,"",INDEX(Transactions!$H:$H,IFERROR(SUMPRODUCT((Transactions!$L$9:$L$5005=$D$1)*(Transactions!$M$9:$M$5005=144)*ROW(Transactions!$L$9:$L$5005)),0))),"")</f>
        <v/>
      </c>
      <c r="H170" s="108" t="str">
        <f ca="1">IFERROR(IF(IFERROR(SUMPRODUCT((Transactions!$L$9:$L$5005=$D$1)*(Transactions!$M$9:$M$5005=144)*ROW(Transactions!$L$9:$L$5005)),0)=0,"",INDEX(Transactions!$J:$J,IFERROR(SUMPRODUCT((Transactions!$L$9:$L$5005=$D$1)*(Transactions!$M$9:$M$5005=144)*ROW(Transactions!$L$9:$L$5005)),0))),"")</f>
        <v/>
      </c>
      <c r="I170" s="107" t="str">
        <f ca="1">IFERROR(IF(IFERROR(SUMPRODUCT((Transactions!$L$9:$L$5005=$D$1)*(Transactions!$M$9:$M$5005=144)*ROW(Transactions!$L$9:$L$5005)),0)=0,"",INDEX(Transactions!$K:$K,IFERROR(SUMPRODUCT((Transactions!$L$9:$L$5005=$D$1)*(Transactions!$M$9:$M$5005=144)*ROW(Transactions!$L$9:$L$5005)),0))),"")</f>
        <v/>
      </c>
      <c r="J170" s="299" t="str">
        <f ca="1">IFERROR(IF(IFERROR(SUMPRODUCT((Transactions!$L$9:$L$5005=$D$1)*(Transactions!$M$9:$M$5005=144)*ROW(Transactions!$L$9:$L$5005)),0)=0,"",INDEX(Transactions!$L:$L,IFERROR(SUMPRODUCT((Transactions!$L$9:$L$5005=$D$1)*(Transactions!$M$9:$M$5005=144)*ROW(Transactions!$L$9:$L$5005)),0))),"")</f>
        <v/>
      </c>
      <c r="N170" s="112"/>
      <c r="O170" s="245"/>
      <c r="P170" s="246"/>
      <c r="Q170" s="246"/>
      <c r="R170" s="106"/>
      <c r="S170" s="246"/>
      <c r="T170" s="247"/>
      <c r="X170" s="296" t="str" cm="1">
        <f t="array" aca="1" ref="X17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70" s="245" t="str" cm="1">
        <f t="array" aca="1" ref="Y17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70" s="246" t="str" cm="1">
        <f t="array" aca="1" ref="Z17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70" s="246" t="str" cm="1">
        <f t="array" aca="1" ref="AA17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70" s="106" t="str" cm="1">
        <f t="array" aca="1" ref="AB17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70" s="246" t="str" cm="1">
        <f t="array" aca="1" ref="AC17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70" s="247" t="str" cm="1">
        <f t="array" aca="1" ref="AD17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70" s="305" t="str" cm="1">
        <f t="array" aca="1" ref="AE17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71" spans="3:31" ht="16.5" customHeight="1" x14ac:dyDescent="0.2">
      <c r="C171" s="296" t="str">
        <f ca="1">IFERROR(IF(IFERROR(SUMPRODUCT((Transactions!$L$9:$L$5005=$D$1)*(Transactions!$M$9:$M$5005=145)*ROW(Transactions!$L$9:$L$5005)),0)=0,"",INDEX(Transactions!$C:$C,IFERROR(SUMPRODUCT((Transactions!$L$9:$L$5005=$D$1)*(Transactions!$M$9:$M$5005=145)*ROW(Transactions!$L$9:$L$5005)),0))),"")</f>
        <v/>
      </c>
      <c r="D171" s="104" t="str">
        <f ca="1">IFERROR(IF(IFERROR(SUMPRODUCT((Transactions!$L$9:$L$5005=$D$1)*(Transactions!$M$9:$M$5005=145)*ROW(Transactions!$L$9:$L$5005)),0)=0,"",INDEX(Transactions!$D:$D,IFERROR(SUMPRODUCT((Transactions!$L$9:$L$5005=$D$1)*(Transactions!$M$9:$M$5005=145)*ROW(Transactions!$L$9:$L$5005)),0))),"")</f>
        <v/>
      </c>
      <c r="E171" s="105" t="str">
        <f ca="1">IFERROR(IF(IFERROR(SUMPRODUCT((Transactions!$L$9:$L$5005=$D$1)*(Transactions!$M$9:$M$5005=145)*ROW(Transactions!$L$9:$L$5005)),0)=0,"",INDEX(Transactions!$F:$F,IFERROR(SUMPRODUCT((Transactions!$L$9:$L$5005=$D$1)*(Transactions!$M$9:$M$5005=145)*ROW(Transactions!$L$9:$L$5005)),0))),"")</f>
        <v/>
      </c>
      <c r="F171" s="105" t="str">
        <f ca="1">IFERROR(IF(IFERROR(SUMPRODUCT((Transactions!$L$9:$L$5005=$D$1)*(Transactions!$M$9:$M$5005=145)*ROW(Transactions!$L$9:$L$5005)),0)=0,"",INDEX(Transactions!$G:$G,IFERROR(SUMPRODUCT((Transactions!$L$9:$L$5005=$D$1)*(Transactions!$M$9:$M$5005=145)*ROW(Transactions!$L$9:$L$5005)),0))),"")</f>
        <v/>
      </c>
      <c r="G171" s="106" t="str">
        <f ca="1">IFERROR(IF(IFERROR(SUMPRODUCT((Transactions!$L$9:$L$5005=$D$1)*(Transactions!$M$9:$M$5005=145)*ROW(Transactions!$L$9:$L$5005)),0)=0,"",INDEX(Transactions!$H:$H,IFERROR(SUMPRODUCT((Transactions!$L$9:$L$5005=$D$1)*(Transactions!$M$9:$M$5005=145)*ROW(Transactions!$L$9:$L$5005)),0))),"")</f>
        <v/>
      </c>
      <c r="H171" s="105" t="str">
        <f ca="1">IFERROR(IF(IFERROR(SUMPRODUCT((Transactions!$L$9:$L$5005=$D$1)*(Transactions!$M$9:$M$5005=145)*ROW(Transactions!$L$9:$L$5005)),0)=0,"",INDEX(Transactions!$J:$J,IFERROR(SUMPRODUCT((Transactions!$L$9:$L$5005=$D$1)*(Transactions!$M$9:$M$5005=145)*ROW(Transactions!$L$9:$L$5005)),0))),"")</f>
        <v/>
      </c>
      <c r="I171" s="104" t="str">
        <f ca="1">IFERROR(IF(IFERROR(SUMPRODUCT((Transactions!$L$9:$L$5005=$D$1)*(Transactions!$M$9:$M$5005=145)*ROW(Transactions!$L$9:$L$5005)),0)=0,"",INDEX(Transactions!$K:$K,IFERROR(SUMPRODUCT((Transactions!$L$9:$L$5005=$D$1)*(Transactions!$M$9:$M$5005=145)*ROW(Transactions!$L$9:$L$5005)),0))),"")</f>
        <v/>
      </c>
      <c r="J171" s="298" t="str">
        <f ca="1">IFERROR(IF(IFERROR(SUMPRODUCT((Transactions!$L$9:$L$5005=$D$1)*(Transactions!$M$9:$M$5005=145)*ROW(Transactions!$L$9:$L$5005)),0)=0,"",INDEX(Transactions!$L:$L,IFERROR(SUMPRODUCT((Transactions!$L$9:$L$5005=$D$1)*(Transactions!$M$9:$M$5005=145)*ROW(Transactions!$L$9:$L$5005)),0))),"")</f>
        <v/>
      </c>
      <c r="N171" s="112"/>
      <c r="O171" s="245"/>
      <c r="P171" s="246"/>
      <c r="Q171" s="246"/>
      <c r="R171" s="106"/>
      <c r="S171" s="246"/>
      <c r="T171" s="247"/>
      <c r="X171" s="296" t="str" cm="1">
        <f t="array" aca="1" ref="X17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71" s="245" t="str" cm="1">
        <f t="array" aca="1" ref="Y17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71" s="246" t="str" cm="1">
        <f t="array" aca="1" ref="Z17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71" s="246" t="str" cm="1">
        <f t="array" aca="1" ref="AA17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71" s="106" t="str" cm="1">
        <f t="array" aca="1" ref="AB17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71" s="246" t="str" cm="1">
        <f t="array" aca="1" ref="AC17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71" s="247" t="str" cm="1">
        <f t="array" aca="1" ref="AD17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71" s="305" t="str" cm="1">
        <f t="array" aca="1" ref="AE17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72" spans="3:31" ht="16.5" customHeight="1" x14ac:dyDescent="0.2">
      <c r="C172" s="297" t="str">
        <f ca="1">IFERROR(IF(IFERROR(SUMPRODUCT((Transactions!$L$9:$L$5005=$D$1)*(Transactions!$M$9:$M$5005=146)*ROW(Transactions!$L$9:$L$5005)),0)=0,"",INDEX(Transactions!$C:$C,IFERROR(SUMPRODUCT((Transactions!$L$9:$L$5005=$D$1)*(Transactions!$M$9:$M$5005=146)*ROW(Transactions!$L$9:$L$5005)),0))),"")</f>
        <v/>
      </c>
      <c r="D172" s="107" t="str">
        <f ca="1">IFERROR(IF(IFERROR(SUMPRODUCT((Transactions!$L$9:$L$5005=$D$1)*(Transactions!$M$9:$M$5005=146)*ROW(Transactions!$L$9:$L$5005)),0)=0,"",INDEX(Transactions!$D:$D,IFERROR(SUMPRODUCT((Transactions!$L$9:$L$5005=$D$1)*(Transactions!$M$9:$M$5005=146)*ROW(Transactions!$L$9:$L$5005)),0))),"")</f>
        <v/>
      </c>
      <c r="E172" s="108" t="str">
        <f ca="1">IFERROR(IF(IFERROR(SUMPRODUCT((Transactions!$L$9:$L$5005=$D$1)*(Transactions!$M$9:$M$5005=146)*ROW(Transactions!$L$9:$L$5005)),0)=0,"",INDEX(Transactions!$F:$F,IFERROR(SUMPRODUCT((Transactions!$L$9:$L$5005=$D$1)*(Transactions!$M$9:$M$5005=146)*ROW(Transactions!$L$9:$L$5005)),0))),"")</f>
        <v/>
      </c>
      <c r="F172" s="108" t="str">
        <f ca="1">IFERROR(IF(IFERROR(SUMPRODUCT((Transactions!$L$9:$L$5005=$D$1)*(Transactions!$M$9:$M$5005=146)*ROW(Transactions!$L$9:$L$5005)),0)=0,"",INDEX(Transactions!$G:$G,IFERROR(SUMPRODUCT((Transactions!$L$9:$L$5005=$D$1)*(Transactions!$M$9:$M$5005=146)*ROW(Transactions!$L$9:$L$5005)),0))),"")</f>
        <v/>
      </c>
      <c r="G172" s="109" t="str">
        <f ca="1">IFERROR(IF(IFERROR(SUMPRODUCT((Transactions!$L$9:$L$5005=$D$1)*(Transactions!$M$9:$M$5005=146)*ROW(Transactions!$L$9:$L$5005)),0)=0,"",INDEX(Transactions!$H:$H,IFERROR(SUMPRODUCT((Transactions!$L$9:$L$5005=$D$1)*(Transactions!$M$9:$M$5005=146)*ROW(Transactions!$L$9:$L$5005)),0))),"")</f>
        <v/>
      </c>
      <c r="H172" s="108" t="str">
        <f ca="1">IFERROR(IF(IFERROR(SUMPRODUCT((Transactions!$L$9:$L$5005=$D$1)*(Transactions!$M$9:$M$5005=146)*ROW(Transactions!$L$9:$L$5005)),0)=0,"",INDEX(Transactions!$J:$J,IFERROR(SUMPRODUCT((Transactions!$L$9:$L$5005=$D$1)*(Transactions!$M$9:$M$5005=146)*ROW(Transactions!$L$9:$L$5005)),0))),"")</f>
        <v/>
      </c>
      <c r="I172" s="107" t="str">
        <f ca="1">IFERROR(IF(IFERROR(SUMPRODUCT((Transactions!$L$9:$L$5005=$D$1)*(Transactions!$M$9:$M$5005=146)*ROW(Transactions!$L$9:$L$5005)),0)=0,"",INDEX(Transactions!$K:$K,IFERROR(SUMPRODUCT((Transactions!$L$9:$L$5005=$D$1)*(Transactions!$M$9:$M$5005=146)*ROW(Transactions!$L$9:$L$5005)),0))),"")</f>
        <v/>
      </c>
      <c r="J172" s="299" t="str">
        <f ca="1">IFERROR(IF(IFERROR(SUMPRODUCT((Transactions!$L$9:$L$5005=$D$1)*(Transactions!$M$9:$M$5005=146)*ROW(Transactions!$L$9:$L$5005)),0)=0,"",INDEX(Transactions!$L:$L,IFERROR(SUMPRODUCT((Transactions!$L$9:$L$5005=$D$1)*(Transactions!$M$9:$M$5005=146)*ROW(Transactions!$L$9:$L$5005)),0))),"")</f>
        <v/>
      </c>
      <c r="N172" s="112"/>
      <c r="O172" s="245"/>
      <c r="P172" s="246"/>
      <c r="Q172" s="246"/>
      <c r="R172" s="106"/>
      <c r="S172" s="246"/>
      <c r="T172" s="247"/>
      <c r="X172" s="296" t="str" cm="1">
        <f t="array" aca="1" ref="X17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72" s="245" t="str" cm="1">
        <f t="array" aca="1" ref="Y17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72" s="246" t="str" cm="1">
        <f t="array" aca="1" ref="Z17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72" s="246" t="str" cm="1">
        <f t="array" aca="1" ref="AA17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72" s="106" t="str" cm="1">
        <f t="array" aca="1" ref="AB17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72" s="246" t="str" cm="1">
        <f t="array" aca="1" ref="AC17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72" s="247" t="str" cm="1">
        <f t="array" aca="1" ref="AD17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72" s="305" t="str" cm="1">
        <f t="array" aca="1" ref="AE17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73" spans="3:31" ht="16.5" customHeight="1" x14ac:dyDescent="0.2">
      <c r="C173" s="296" t="str">
        <f ca="1">IFERROR(IF(IFERROR(SUMPRODUCT((Transactions!$L$9:$L$5005=$D$1)*(Transactions!$M$9:$M$5005=147)*ROW(Transactions!$L$9:$L$5005)),0)=0,"",INDEX(Transactions!$C:$C,IFERROR(SUMPRODUCT((Transactions!$L$9:$L$5005=$D$1)*(Transactions!$M$9:$M$5005=147)*ROW(Transactions!$L$9:$L$5005)),0))),"")</f>
        <v/>
      </c>
      <c r="D173" s="104" t="str">
        <f ca="1">IFERROR(IF(IFERROR(SUMPRODUCT((Transactions!$L$9:$L$5005=$D$1)*(Transactions!$M$9:$M$5005=147)*ROW(Transactions!$L$9:$L$5005)),0)=0,"",INDEX(Transactions!$D:$D,IFERROR(SUMPRODUCT((Transactions!$L$9:$L$5005=$D$1)*(Transactions!$M$9:$M$5005=147)*ROW(Transactions!$L$9:$L$5005)),0))),"")</f>
        <v/>
      </c>
      <c r="E173" s="105" t="str">
        <f ca="1">IFERROR(IF(IFERROR(SUMPRODUCT((Transactions!$L$9:$L$5005=$D$1)*(Transactions!$M$9:$M$5005=147)*ROW(Transactions!$L$9:$L$5005)),0)=0,"",INDEX(Transactions!$F:$F,IFERROR(SUMPRODUCT((Transactions!$L$9:$L$5005=$D$1)*(Transactions!$M$9:$M$5005=147)*ROW(Transactions!$L$9:$L$5005)),0))),"")</f>
        <v/>
      </c>
      <c r="F173" s="105" t="str">
        <f ca="1">IFERROR(IF(IFERROR(SUMPRODUCT((Transactions!$L$9:$L$5005=$D$1)*(Transactions!$M$9:$M$5005=147)*ROW(Transactions!$L$9:$L$5005)),0)=0,"",INDEX(Transactions!$G:$G,IFERROR(SUMPRODUCT((Transactions!$L$9:$L$5005=$D$1)*(Transactions!$M$9:$M$5005=147)*ROW(Transactions!$L$9:$L$5005)),0))),"")</f>
        <v/>
      </c>
      <c r="G173" s="106" t="str">
        <f ca="1">IFERROR(IF(IFERROR(SUMPRODUCT((Transactions!$L$9:$L$5005=$D$1)*(Transactions!$M$9:$M$5005=147)*ROW(Transactions!$L$9:$L$5005)),0)=0,"",INDEX(Transactions!$H:$H,IFERROR(SUMPRODUCT((Transactions!$L$9:$L$5005=$D$1)*(Transactions!$M$9:$M$5005=147)*ROW(Transactions!$L$9:$L$5005)),0))),"")</f>
        <v/>
      </c>
      <c r="H173" s="105" t="str">
        <f ca="1">IFERROR(IF(IFERROR(SUMPRODUCT((Transactions!$L$9:$L$5005=$D$1)*(Transactions!$M$9:$M$5005=147)*ROW(Transactions!$L$9:$L$5005)),0)=0,"",INDEX(Transactions!$J:$J,IFERROR(SUMPRODUCT((Transactions!$L$9:$L$5005=$D$1)*(Transactions!$M$9:$M$5005=147)*ROW(Transactions!$L$9:$L$5005)),0))),"")</f>
        <v/>
      </c>
      <c r="I173" s="104" t="str">
        <f ca="1">IFERROR(IF(IFERROR(SUMPRODUCT((Transactions!$L$9:$L$5005=$D$1)*(Transactions!$M$9:$M$5005=147)*ROW(Transactions!$L$9:$L$5005)),0)=0,"",INDEX(Transactions!$K:$K,IFERROR(SUMPRODUCT((Transactions!$L$9:$L$5005=$D$1)*(Transactions!$M$9:$M$5005=147)*ROW(Transactions!$L$9:$L$5005)),0))),"")</f>
        <v/>
      </c>
      <c r="J173" s="298" t="str">
        <f ca="1">IFERROR(IF(IFERROR(SUMPRODUCT((Transactions!$L$9:$L$5005=$D$1)*(Transactions!$M$9:$M$5005=147)*ROW(Transactions!$L$9:$L$5005)),0)=0,"",INDEX(Transactions!$L:$L,IFERROR(SUMPRODUCT((Transactions!$L$9:$L$5005=$D$1)*(Transactions!$M$9:$M$5005=147)*ROW(Transactions!$L$9:$L$5005)),0))),"")</f>
        <v/>
      </c>
      <c r="N173" s="112"/>
      <c r="O173" s="245"/>
      <c r="P173" s="246"/>
      <c r="Q173" s="246"/>
      <c r="R173" s="106"/>
      <c r="S173" s="246"/>
      <c r="T173" s="247"/>
      <c r="X173" s="296" t="str" cm="1">
        <f t="array" aca="1" ref="X17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73" s="245" t="str" cm="1">
        <f t="array" aca="1" ref="Y17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73" s="246" t="str" cm="1">
        <f t="array" aca="1" ref="Z17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73" s="246" t="str" cm="1">
        <f t="array" aca="1" ref="AA17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73" s="106" t="str" cm="1">
        <f t="array" aca="1" ref="AB17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73" s="246" t="str" cm="1">
        <f t="array" aca="1" ref="AC17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73" s="247" t="str" cm="1">
        <f t="array" aca="1" ref="AD17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73" s="305" t="str" cm="1">
        <f t="array" aca="1" ref="AE17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74" spans="3:31" ht="16.5" customHeight="1" x14ac:dyDescent="0.2">
      <c r="C174" s="297" t="str">
        <f ca="1">IFERROR(IF(IFERROR(SUMPRODUCT((Transactions!$L$9:$L$5005=$D$1)*(Transactions!$M$9:$M$5005=148)*ROW(Transactions!$L$9:$L$5005)),0)=0,"",INDEX(Transactions!$C:$C,IFERROR(SUMPRODUCT((Transactions!$L$9:$L$5005=$D$1)*(Transactions!$M$9:$M$5005=148)*ROW(Transactions!$L$9:$L$5005)),0))),"")</f>
        <v/>
      </c>
      <c r="D174" s="107" t="str">
        <f ca="1">IFERROR(IF(IFERROR(SUMPRODUCT((Transactions!$L$9:$L$5005=$D$1)*(Transactions!$M$9:$M$5005=148)*ROW(Transactions!$L$9:$L$5005)),0)=0,"",INDEX(Transactions!$D:$D,IFERROR(SUMPRODUCT((Transactions!$L$9:$L$5005=$D$1)*(Transactions!$M$9:$M$5005=148)*ROW(Transactions!$L$9:$L$5005)),0))),"")</f>
        <v/>
      </c>
      <c r="E174" s="108" t="str">
        <f ca="1">IFERROR(IF(IFERROR(SUMPRODUCT((Transactions!$L$9:$L$5005=$D$1)*(Transactions!$M$9:$M$5005=148)*ROW(Transactions!$L$9:$L$5005)),0)=0,"",INDEX(Transactions!$F:$F,IFERROR(SUMPRODUCT((Transactions!$L$9:$L$5005=$D$1)*(Transactions!$M$9:$M$5005=148)*ROW(Transactions!$L$9:$L$5005)),0))),"")</f>
        <v/>
      </c>
      <c r="F174" s="108" t="str">
        <f ca="1">IFERROR(IF(IFERROR(SUMPRODUCT((Transactions!$L$9:$L$5005=$D$1)*(Transactions!$M$9:$M$5005=148)*ROW(Transactions!$L$9:$L$5005)),0)=0,"",INDEX(Transactions!$G:$G,IFERROR(SUMPRODUCT((Transactions!$L$9:$L$5005=$D$1)*(Transactions!$M$9:$M$5005=148)*ROW(Transactions!$L$9:$L$5005)),0))),"")</f>
        <v/>
      </c>
      <c r="G174" s="109" t="str">
        <f ca="1">IFERROR(IF(IFERROR(SUMPRODUCT((Transactions!$L$9:$L$5005=$D$1)*(Transactions!$M$9:$M$5005=148)*ROW(Transactions!$L$9:$L$5005)),0)=0,"",INDEX(Transactions!$H:$H,IFERROR(SUMPRODUCT((Transactions!$L$9:$L$5005=$D$1)*(Transactions!$M$9:$M$5005=148)*ROW(Transactions!$L$9:$L$5005)),0))),"")</f>
        <v/>
      </c>
      <c r="H174" s="108" t="str">
        <f ca="1">IFERROR(IF(IFERROR(SUMPRODUCT((Transactions!$L$9:$L$5005=$D$1)*(Transactions!$M$9:$M$5005=148)*ROW(Transactions!$L$9:$L$5005)),0)=0,"",INDEX(Transactions!$J:$J,IFERROR(SUMPRODUCT((Transactions!$L$9:$L$5005=$D$1)*(Transactions!$M$9:$M$5005=148)*ROW(Transactions!$L$9:$L$5005)),0))),"")</f>
        <v/>
      </c>
      <c r="I174" s="107" t="str">
        <f ca="1">IFERROR(IF(IFERROR(SUMPRODUCT((Transactions!$L$9:$L$5005=$D$1)*(Transactions!$M$9:$M$5005=148)*ROW(Transactions!$L$9:$L$5005)),0)=0,"",INDEX(Transactions!$K:$K,IFERROR(SUMPRODUCT((Transactions!$L$9:$L$5005=$D$1)*(Transactions!$M$9:$M$5005=148)*ROW(Transactions!$L$9:$L$5005)),0))),"")</f>
        <v/>
      </c>
      <c r="J174" s="299" t="str">
        <f ca="1">IFERROR(IF(IFERROR(SUMPRODUCT((Transactions!$L$9:$L$5005=$D$1)*(Transactions!$M$9:$M$5005=148)*ROW(Transactions!$L$9:$L$5005)),0)=0,"",INDEX(Transactions!$L:$L,IFERROR(SUMPRODUCT((Transactions!$L$9:$L$5005=$D$1)*(Transactions!$M$9:$M$5005=148)*ROW(Transactions!$L$9:$L$5005)),0))),"")</f>
        <v/>
      </c>
      <c r="N174" s="112"/>
      <c r="O174" s="245"/>
      <c r="P174" s="246"/>
      <c r="Q174" s="246"/>
      <c r="R174" s="106"/>
      <c r="S174" s="246"/>
      <c r="T174" s="247"/>
      <c r="X174" s="296" t="str" cm="1">
        <f t="array" aca="1" ref="X17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74" s="245" t="str" cm="1">
        <f t="array" aca="1" ref="Y17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74" s="246" t="str" cm="1">
        <f t="array" aca="1" ref="Z17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74" s="246" t="str" cm="1">
        <f t="array" aca="1" ref="AA17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74" s="106" t="str" cm="1">
        <f t="array" aca="1" ref="AB17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74" s="246" t="str" cm="1">
        <f t="array" aca="1" ref="AC17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74" s="247" t="str" cm="1">
        <f t="array" aca="1" ref="AD17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74" s="305" t="str" cm="1">
        <f t="array" aca="1" ref="AE17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75" spans="3:31" ht="16.5" customHeight="1" x14ac:dyDescent="0.2">
      <c r="C175" s="296" t="str">
        <f ca="1">IFERROR(IF(IFERROR(SUMPRODUCT((Transactions!$L$9:$L$5005=$D$1)*(Transactions!$M$9:$M$5005=149)*ROW(Transactions!$L$9:$L$5005)),0)=0,"",INDEX(Transactions!$C:$C,IFERROR(SUMPRODUCT((Transactions!$L$9:$L$5005=$D$1)*(Transactions!$M$9:$M$5005=149)*ROW(Transactions!$L$9:$L$5005)),0))),"")</f>
        <v/>
      </c>
      <c r="D175" s="104" t="str">
        <f ca="1">IFERROR(IF(IFERROR(SUMPRODUCT((Transactions!$L$9:$L$5005=$D$1)*(Transactions!$M$9:$M$5005=149)*ROW(Transactions!$L$9:$L$5005)),0)=0,"",INDEX(Transactions!$D:$D,IFERROR(SUMPRODUCT((Transactions!$L$9:$L$5005=$D$1)*(Transactions!$M$9:$M$5005=149)*ROW(Transactions!$L$9:$L$5005)),0))),"")</f>
        <v/>
      </c>
      <c r="E175" s="105" t="str">
        <f ca="1">IFERROR(IF(IFERROR(SUMPRODUCT((Transactions!$L$9:$L$5005=$D$1)*(Transactions!$M$9:$M$5005=149)*ROW(Transactions!$L$9:$L$5005)),0)=0,"",INDEX(Transactions!$F:$F,IFERROR(SUMPRODUCT((Transactions!$L$9:$L$5005=$D$1)*(Transactions!$M$9:$M$5005=149)*ROW(Transactions!$L$9:$L$5005)),0))),"")</f>
        <v/>
      </c>
      <c r="F175" s="105" t="str">
        <f ca="1">IFERROR(IF(IFERROR(SUMPRODUCT((Transactions!$L$9:$L$5005=$D$1)*(Transactions!$M$9:$M$5005=149)*ROW(Transactions!$L$9:$L$5005)),0)=0,"",INDEX(Transactions!$G:$G,IFERROR(SUMPRODUCT((Transactions!$L$9:$L$5005=$D$1)*(Transactions!$M$9:$M$5005=149)*ROW(Transactions!$L$9:$L$5005)),0))),"")</f>
        <v/>
      </c>
      <c r="G175" s="106" t="str">
        <f ca="1">IFERROR(IF(IFERROR(SUMPRODUCT((Transactions!$L$9:$L$5005=$D$1)*(Transactions!$M$9:$M$5005=149)*ROW(Transactions!$L$9:$L$5005)),0)=0,"",INDEX(Transactions!$H:$H,IFERROR(SUMPRODUCT((Transactions!$L$9:$L$5005=$D$1)*(Transactions!$M$9:$M$5005=149)*ROW(Transactions!$L$9:$L$5005)),0))),"")</f>
        <v/>
      </c>
      <c r="H175" s="105" t="str">
        <f ca="1">IFERROR(IF(IFERROR(SUMPRODUCT((Transactions!$L$9:$L$5005=$D$1)*(Transactions!$M$9:$M$5005=149)*ROW(Transactions!$L$9:$L$5005)),0)=0,"",INDEX(Transactions!$J:$J,IFERROR(SUMPRODUCT((Transactions!$L$9:$L$5005=$D$1)*(Transactions!$M$9:$M$5005=149)*ROW(Transactions!$L$9:$L$5005)),0))),"")</f>
        <v/>
      </c>
      <c r="I175" s="104" t="str">
        <f ca="1">IFERROR(IF(IFERROR(SUMPRODUCT((Transactions!$L$9:$L$5005=$D$1)*(Transactions!$M$9:$M$5005=149)*ROW(Transactions!$L$9:$L$5005)),0)=0,"",INDEX(Transactions!$K:$K,IFERROR(SUMPRODUCT((Transactions!$L$9:$L$5005=$D$1)*(Transactions!$M$9:$M$5005=149)*ROW(Transactions!$L$9:$L$5005)),0))),"")</f>
        <v/>
      </c>
      <c r="J175" s="298" t="str">
        <f ca="1">IFERROR(IF(IFERROR(SUMPRODUCT((Transactions!$L$9:$L$5005=$D$1)*(Transactions!$M$9:$M$5005=149)*ROW(Transactions!$L$9:$L$5005)),0)=0,"",INDEX(Transactions!$L:$L,IFERROR(SUMPRODUCT((Transactions!$L$9:$L$5005=$D$1)*(Transactions!$M$9:$M$5005=149)*ROW(Transactions!$L$9:$L$5005)),0))),"")</f>
        <v/>
      </c>
      <c r="N175" s="112"/>
      <c r="O175" s="245"/>
      <c r="P175" s="246"/>
      <c r="Q175" s="246"/>
      <c r="R175" s="106"/>
      <c r="S175" s="246"/>
      <c r="T175" s="247"/>
      <c r="X175" s="296" t="str" cm="1">
        <f t="array" aca="1" ref="X17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75" s="245" t="str" cm="1">
        <f t="array" aca="1" ref="Y17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75" s="246" t="str" cm="1">
        <f t="array" aca="1" ref="Z17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75" s="246" t="str" cm="1">
        <f t="array" aca="1" ref="AA17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75" s="106" t="str" cm="1">
        <f t="array" aca="1" ref="AB17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75" s="246" t="str" cm="1">
        <f t="array" aca="1" ref="AC17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75" s="247" t="str" cm="1">
        <f t="array" aca="1" ref="AD17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75" s="305" t="str" cm="1">
        <f t="array" aca="1" ref="AE17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76" spans="3:31" ht="16.5" customHeight="1" x14ac:dyDescent="0.2">
      <c r="C176" s="297" t="str">
        <f ca="1">IFERROR(IF(IFERROR(SUMPRODUCT((Transactions!$L$9:$L$5005=$D$1)*(Transactions!$M$9:$M$5005=150)*ROW(Transactions!$L$9:$L$5005)),0)=0,"",INDEX(Transactions!$C:$C,IFERROR(SUMPRODUCT((Transactions!$L$9:$L$5005=$D$1)*(Transactions!$M$9:$M$5005=150)*ROW(Transactions!$L$9:$L$5005)),0))),"")</f>
        <v/>
      </c>
      <c r="D176" s="107" t="str">
        <f ca="1">IFERROR(IF(IFERROR(SUMPRODUCT((Transactions!$L$9:$L$5005=$D$1)*(Transactions!$M$9:$M$5005=150)*ROW(Transactions!$L$9:$L$5005)),0)=0,"",INDEX(Transactions!$D:$D,IFERROR(SUMPRODUCT((Transactions!$L$9:$L$5005=$D$1)*(Transactions!$M$9:$M$5005=150)*ROW(Transactions!$L$9:$L$5005)),0))),"")</f>
        <v/>
      </c>
      <c r="E176" s="108" t="str">
        <f ca="1">IFERROR(IF(IFERROR(SUMPRODUCT((Transactions!$L$9:$L$5005=$D$1)*(Transactions!$M$9:$M$5005=150)*ROW(Transactions!$L$9:$L$5005)),0)=0,"",INDEX(Transactions!$F:$F,IFERROR(SUMPRODUCT((Transactions!$L$9:$L$5005=$D$1)*(Transactions!$M$9:$M$5005=150)*ROW(Transactions!$L$9:$L$5005)),0))),"")</f>
        <v/>
      </c>
      <c r="F176" s="108" t="str">
        <f ca="1">IFERROR(IF(IFERROR(SUMPRODUCT((Transactions!$L$9:$L$5005=$D$1)*(Transactions!$M$9:$M$5005=150)*ROW(Transactions!$L$9:$L$5005)),0)=0,"",INDEX(Transactions!$G:$G,IFERROR(SUMPRODUCT((Transactions!$L$9:$L$5005=$D$1)*(Transactions!$M$9:$M$5005=150)*ROW(Transactions!$L$9:$L$5005)),0))),"")</f>
        <v/>
      </c>
      <c r="G176" s="109" t="str">
        <f ca="1">IFERROR(IF(IFERROR(SUMPRODUCT((Transactions!$L$9:$L$5005=$D$1)*(Transactions!$M$9:$M$5005=150)*ROW(Transactions!$L$9:$L$5005)),0)=0,"",INDEX(Transactions!$H:$H,IFERROR(SUMPRODUCT((Transactions!$L$9:$L$5005=$D$1)*(Transactions!$M$9:$M$5005=150)*ROW(Transactions!$L$9:$L$5005)),0))),"")</f>
        <v/>
      </c>
      <c r="H176" s="108" t="str">
        <f ca="1">IFERROR(IF(IFERROR(SUMPRODUCT((Transactions!$L$9:$L$5005=$D$1)*(Transactions!$M$9:$M$5005=150)*ROW(Transactions!$L$9:$L$5005)),0)=0,"",INDEX(Transactions!$J:$J,IFERROR(SUMPRODUCT((Transactions!$L$9:$L$5005=$D$1)*(Transactions!$M$9:$M$5005=150)*ROW(Transactions!$L$9:$L$5005)),0))),"")</f>
        <v/>
      </c>
      <c r="I176" s="107" t="str">
        <f ca="1">IFERROR(IF(IFERROR(SUMPRODUCT((Transactions!$L$9:$L$5005=$D$1)*(Transactions!$M$9:$M$5005=150)*ROW(Transactions!$L$9:$L$5005)),0)=0,"",INDEX(Transactions!$K:$K,IFERROR(SUMPRODUCT((Transactions!$L$9:$L$5005=$D$1)*(Transactions!$M$9:$M$5005=150)*ROW(Transactions!$L$9:$L$5005)),0))),"")</f>
        <v/>
      </c>
      <c r="J176" s="299" t="str">
        <f ca="1">IFERROR(IF(IFERROR(SUMPRODUCT((Transactions!$L$9:$L$5005=$D$1)*(Transactions!$M$9:$M$5005=150)*ROW(Transactions!$L$9:$L$5005)),0)=0,"",INDEX(Transactions!$L:$L,IFERROR(SUMPRODUCT((Transactions!$L$9:$L$5005=$D$1)*(Transactions!$M$9:$M$5005=150)*ROW(Transactions!$L$9:$L$5005)),0))),"")</f>
        <v/>
      </c>
      <c r="N176" s="112"/>
      <c r="O176" s="245"/>
      <c r="P176" s="246"/>
      <c r="Q176" s="246"/>
      <c r="R176" s="106"/>
      <c r="S176" s="246"/>
      <c r="T176" s="247"/>
      <c r="X176" s="296" t="str" cm="1">
        <f t="array" aca="1" ref="X17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76" s="245" t="str" cm="1">
        <f t="array" aca="1" ref="Y17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76" s="246" t="str" cm="1">
        <f t="array" aca="1" ref="Z17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76" s="246" t="str" cm="1">
        <f t="array" aca="1" ref="AA17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76" s="106" t="str" cm="1">
        <f t="array" aca="1" ref="AB17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76" s="246" t="str" cm="1">
        <f t="array" aca="1" ref="AC17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76" s="247" t="str" cm="1">
        <f t="array" aca="1" ref="AD17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76" s="305" t="str" cm="1">
        <f t="array" aca="1" ref="AE17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77" spans="3:31" ht="16.5" customHeight="1" x14ac:dyDescent="0.2">
      <c r="C177" s="296" t="str">
        <f ca="1">IFERROR(IF(IFERROR(SUMPRODUCT((Transactions!$L$9:$L$5005=$D$1)*(Transactions!$M$9:$M$5005=151)*ROW(Transactions!$L$9:$L$5005)),0)=0,"",INDEX(Transactions!$C:$C,IFERROR(SUMPRODUCT((Transactions!$L$9:$L$5005=$D$1)*(Transactions!$M$9:$M$5005=151)*ROW(Transactions!$L$9:$L$5005)),0))),"")</f>
        <v/>
      </c>
      <c r="D177" s="104" t="str">
        <f ca="1">IFERROR(IF(IFERROR(SUMPRODUCT((Transactions!$L$9:$L$5005=$D$1)*(Transactions!$M$9:$M$5005=151)*ROW(Transactions!$L$9:$L$5005)),0)=0,"",INDEX(Transactions!$D:$D,IFERROR(SUMPRODUCT((Transactions!$L$9:$L$5005=$D$1)*(Transactions!$M$9:$M$5005=151)*ROW(Transactions!$L$9:$L$5005)),0))),"")</f>
        <v/>
      </c>
      <c r="E177" s="105" t="str">
        <f ca="1">IFERROR(IF(IFERROR(SUMPRODUCT((Transactions!$L$9:$L$5005=$D$1)*(Transactions!$M$9:$M$5005=151)*ROW(Transactions!$L$9:$L$5005)),0)=0,"",INDEX(Transactions!$F:$F,IFERROR(SUMPRODUCT((Transactions!$L$9:$L$5005=$D$1)*(Transactions!$M$9:$M$5005=151)*ROW(Transactions!$L$9:$L$5005)),0))),"")</f>
        <v/>
      </c>
      <c r="F177" s="105" t="str">
        <f ca="1">IFERROR(IF(IFERROR(SUMPRODUCT((Transactions!$L$9:$L$5005=$D$1)*(Transactions!$M$9:$M$5005=151)*ROW(Transactions!$L$9:$L$5005)),0)=0,"",INDEX(Transactions!$G:$G,IFERROR(SUMPRODUCT((Transactions!$L$9:$L$5005=$D$1)*(Transactions!$M$9:$M$5005=151)*ROW(Transactions!$L$9:$L$5005)),0))),"")</f>
        <v/>
      </c>
      <c r="G177" s="106" t="str">
        <f ca="1">IFERROR(IF(IFERROR(SUMPRODUCT((Transactions!$L$9:$L$5005=$D$1)*(Transactions!$M$9:$M$5005=151)*ROW(Transactions!$L$9:$L$5005)),0)=0,"",INDEX(Transactions!$H:$H,IFERROR(SUMPRODUCT((Transactions!$L$9:$L$5005=$D$1)*(Transactions!$M$9:$M$5005=151)*ROW(Transactions!$L$9:$L$5005)),0))),"")</f>
        <v/>
      </c>
      <c r="H177" s="105" t="str">
        <f ca="1">IFERROR(IF(IFERROR(SUMPRODUCT((Transactions!$L$9:$L$5005=$D$1)*(Transactions!$M$9:$M$5005=151)*ROW(Transactions!$L$9:$L$5005)),0)=0,"",INDEX(Transactions!$J:$J,IFERROR(SUMPRODUCT((Transactions!$L$9:$L$5005=$D$1)*(Transactions!$M$9:$M$5005=151)*ROW(Transactions!$L$9:$L$5005)),0))),"")</f>
        <v/>
      </c>
      <c r="I177" s="104" t="str">
        <f ca="1">IFERROR(IF(IFERROR(SUMPRODUCT((Transactions!$L$9:$L$5005=$D$1)*(Transactions!$M$9:$M$5005=151)*ROW(Transactions!$L$9:$L$5005)),0)=0,"",INDEX(Transactions!$K:$K,IFERROR(SUMPRODUCT((Transactions!$L$9:$L$5005=$D$1)*(Transactions!$M$9:$M$5005=151)*ROW(Transactions!$L$9:$L$5005)),0))),"")</f>
        <v/>
      </c>
      <c r="J177" s="298" t="str">
        <f ca="1">IFERROR(IF(IFERROR(SUMPRODUCT((Transactions!$L$9:$L$5005=$D$1)*(Transactions!$M$9:$M$5005=151)*ROW(Transactions!$L$9:$L$5005)),0)=0,"",INDEX(Transactions!$L:$L,IFERROR(SUMPRODUCT((Transactions!$L$9:$L$5005=$D$1)*(Transactions!$M$9:$M$5005=151)*ROW(Transactions!$L$9:$L$5005)),0))),"")</f>
        <v/>
      </c>
      <c r="N177" s="112"/>
      <c r="O177" s="245"/>
      <c r="P177" s="246"/>
      <c r="Q177" s="246"/>
      <c r="R177" s="106"/>
      <c r="S177" s="246"/>
      <c r="T177" s="247"/>
      <c r="X177" s="296" t="str" cm="1">
        <f t="array" aca="1" ref="X17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77" s="245" t="str" cm="1">
        <f t="array" aca="1" ref="Y17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77" s="246" t="str" cm="1">
        <f t="array" aca="1" ref="Z17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77" s="246" t="str" cm="1">
        <f t="array" aca="1" ref="AA17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77" s="106" t="str" cm="1">
        <f t="array" aca="1" ref="AB17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77" s="246" t="str" cm="1">
        <f t="array" aca="1" ref="AC17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77" s="247" t="str" cm="1">
        <f t="array" aca="1" ref="AD17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77" s="305" t="str" cm="1">
        <f t="array" aca="1" ref="AE17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78" spans="3:31" ht="16.5" customHeight="1" x14ac:dyDescent="0.2">
      <c r="C178" s="297" t="str">
        <f ca="1">IFERROR(IF(IFERROR(SUMPRODUCT((Transactions!$L$9:$L$5005=$D$1)*(Transactions!$M$9:$M$5005=152)*ROW(Transactions!$L$9:$L$5005)),0)=0,"",INDEX(Transactions!$C:$C,IFERROR(SUMPRODUCT((Transactions!$L$9:$L$5005=$D$1)*(Transactions!$M$9:$M$5005=152)*ROW(Transactions!$L$9:$L$5005)),0))),"")</f>
        <v/>
      </c>
      <c r="D178" s="107" t="str">
        <f ca="1">IFERROR(IF(IFERROR(SUMPRODUCT((Transactions!$L$9:$L$5005=$D$1)*(Transactions!$M$9:$M$5005=152)*ROW(Transactions!$L$9:$L$5005)),0)=0,"",INDEX(Transactions!$D:$D,IFERROR(SUMPRODUCT((Transactions!$L$9:$L$5005=$D$1)*(Transactions!$M$9:$M$5005=152)*ROW(Transactions!$L$9:$L$5005)),0))),"")</f>
        <v/>
      </c>
      <c r="E178" s="108" t="str">
        <f ca="1">IFERROR(IF(IFERROR(SUMPRODUCT((Transactions!$L$9:$L$5005=$D$1)*(Transactions!$M$9:$M$5005=152)*ROW(Transactions!$L$9:$L$5005)),0)=0,"",INDEX(Transactions!$F:$F,IFERROR(SUMPRODUCT((Transactions!$L$9:$L$5005=$D$1)*(Transactions!$M$9:$M$5005=152)*ROW(Transactions!$L$9:$L$5005)),0))),"")</f>
        <v/>
      </c>
      <c r="F178" s="108" t="str">
        <f ca="1">IFERROR(IF(IFERROR(SUMPRODUCT((Transactions!$L$9:$L$5005=$D$1)*(Transactions!$M$9:$M$5005=152)*ROW(Transactions!$L$9:$L$5005)),0)=0,"",INDEX(Transactions!$G:$G,IFERROR(SUMPRODUCT((Transactions!$L$9:$L$5005=$D$1)*(Transactions!$M$9:$M$5005=152)*ROW(Transactions!$L$9:$L$5005)),0))),"")</f>
        <v/>
      </c>
      <c r="G178" s="109" t="str">
        <f ca="1">IFERROR(IF(IFERROR(SUMPRODUCT((Transactions!$L$9:$L$5005=$D$1)*(Transactions!$M$9:$M$5005=152)*ROW(Transactions!$L$9:$L$5005)),0)=0,"",INDEX(Transactions!$H:$H,IFERROR(SUMPRODUCT((Transactions!$L$9:$L$5005=$D$1)*(Transactions!$M$9:$M$5005=152)*ROW(Transactions!$L$9:$L$5005)),0))),"")</f>
        <v/>
      </c>
      <c r="H178" s="108" t="str">
        <f ca="1">IFERROR(IF(IFERROR(SUMPRODUCT((Transactions!$L$9:$L$5005=$D$1)*(Transactions!$M$9:$M$5005=152)*ROW(Transactions!$L$9:$L$5005)),0)=0,"",INDEX(Transactions!$J:$J,IFERROR(SUMPRODUCT((Transactions!$L$9:$L$5005=$D$1)*(Transactions!$M$9:$M$5005=152)*ROW(Transactions!$L$9:$L$5005)),0))),"")</f>
        <v/>
      </c>
      <c r="I178" s="107" t="str">
        <f ca="1">IFERROR(IF(IFERROR(SUMPRODUCT((Transactions!$L$9:$L$5005=$D$1)*(Transactions!$M$9:$M$5005=152)*ROW(Transactions!$L$9:$L$5005)),0)=0,"",INDEX(Transactions!$K:$K,IFERROR(SUMPRODUCT((Transactions!$L$9:$L$5005=$D$1)*(Transactions!$M$9:$M$5005=152)*ROW(Transactions!$L$9:$L$5005)),0))),"")</f>
        <v/>
      </c>
      <c r="J178" s="299" t="str">
        <f ca="1">IFERROR(IF(IFERROR(SUMPRODUCT((Transactions!$L$9:$L$5005=$D$1)*(Transactions!$M$9:$M$5005=152)*ROW(Transactions!$L$9:$L$5005)),0)=0,"",INDEX(Transactions!$L:$L,IFERROR(SUMPRODUCT((Transactions!$L$9:$L$5005=$D$1)*(Transactions!$M$9:$M$5005=152)*ROW(Transactions!$L$9:$L$5005)),0))),"")</f>
        <v/>
      </c>
      <c r="N178" s="112"/>
      <c r="O178" s="245"/>
      <c r="P178" s="246"/>
      <c r="Q178" s="246"/>
      <c r="R178" s="106"/>
      <c r="S178" s="246"/>
      <c r="T178" s="247"/>
      <c r="X178" s="296" t="str" cm="1">
        <f t="array" aca="1" ref="X17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78" s="245" t="str" cm="1">
        <f t="array" aca="1" ref="Y17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78" s="246" t="str" cm="1">
        <f t="array" aca="1" ref="Z17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78" s="246" t="str" cm="1">
        <f t="array" aca="1" ref="AA17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78" s="106" t="str" cm="1">
        <f t="array" aca="1" ref="AB17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78" s="246" t="str" cm="1">
        <f t="array" aca="1" ref="AC17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78" s="247" t="str" cm="1">
        <f t="array" aca="1" ref="AD17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78" s="305" t="str" cm="1">
        <f t="array" aca="1" ref="AE17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79" spans="3:31" ht="16.5" customHeight="1" x14ac:dyDescent="0.2">
      <c r="C179" s="296" t="str">
        <f ca="1">IFERROR(IF(IFERROR(SUMPRODUCT((Transactions!$L$9:$L$5005=$D$1)*(Transactions!$M$9:$M$5005=153)*ROW(Transactions!$L$9:$L$5005)),0)=0,"",INDEX(Transactions!$C:$C,IFERROR(SUMPRODUCT((Transactions!$L$9:$L$5005=$D$1)*(Transactions!$M$9:$M$5005=153)*ROW(Transactions!$L$9:$L$5005)),0))),"")</f>
        <v/>
      </c>
      <c r="D179" s="104" t="str">
        <f ca="1">IFERROR(IF(IFERROR(SUMPRODUCT((Transactions!$L$9:$L$5005=$D$1)*(Transactions!$M$9:$M$5005=153)*ROW(Transactions!$L$9:$L$5005)),0)=0,"",INDEX(Transactions!$D:$D,IFERROR(SUMPRODUCT((Transactions!$L$9:$L$5005=$D$1)*(Transactions!$M$9:$M$5005=153)*ROW(Transactions!$L$9:$L$5005)),0))),"")</f>
        <v/>
      </c>
      <c r="E179" s="105" t="str">
        <f ca="1">IFERROR(IF(IFERROR(SUMPRODUCT((Transactions!$L$9:$L$5005=$D$1)*(Transactions!$M$9:$M$5005=153)*ROW(Transactions!$L$9:$L$5005)),0)=0,"",INDEX(Transactions!$F:$F,IFERROR(SUMPRODUCT((Transactions!$L$9:$L$5005=$D$1)*(Transactions!$M$9:$M$5005=153)*ROW(Transactions!$L$9:$L$5005)),0))),"")</f>
        <v/>
      </c>
      <c r="F179" s="105" t="str">
        <f ca="1">IFERROR(IF(IFERROR(SUMPRODUCT((Transactions!$L$9:$L$5005=$D$1)*(Transactions!$M$9:$M$5005=153)*ROW(Transactions!$L$9:$L$5005)),0)=0,"",INDEX(Transactions!$G:$G,IFERROR(SUMPRODUCT((Transactions!$L$9:$L$5005=$D$1)*(Transactions!$M$9:$M$5005=153)*ROW(Transactions!$L$9:$L$5005)),0))),"")</f>
        <v/>
      </c>
      <c r="G179" s="106" t="str">
        <f ca="1">IFERROR(IF(IFERROR(SUMPRODUCT((Transactions!$L$9:$L$5005=$D$1)*(Transactions!$M$9:$M$5005=153)*ROW(Transactions!$L$9:$L$5005)),0)=0,"",INDEX(Transactions!$H:$H,IFERROR(SUMPRODUCT((Transactions!$L$9:$L$5005=$D$1)*(Transactions!$M$9:$M$5005=153)*ROW(Transactions!$L$9:$L$5005)),0))),"")</f>
        <v/>
      </c>
      <c r="H179" s="105" t="str">
        <f ca="1">IFERROR(IF(IFERROR(SUMPRODUCT((Transactions!$L$9:$L$5005=$D$1)*(Transactions!$M$9:$M$5005=153)*ROW(Transactions!$L$9:$L$5005)),0)=0,"",INDEX(Transactions!$J:$J,IFERROR(SUMPRODUCT((Transactions!$L$9:$L$5005=$D$1)*(Transactions!$M$9:$M$5005=153)*ROW(Transactions!$L$9:$L$5005)),0))),"")</f>
        <v/>
      </c>
      <c r="I179" s="104" t="str">
        <f ca="1">IFERROR(IF(IFERROR(SUMPRODUCT((Transactions!$L$9:$L$5005=$D$1)*(Transactions!$M$9:$M$5005=153)*ROW(Transactions!$L$9:$L$5005)),0)=0,"",INDEX(Transactions!$K:$K,IFERROR(SUMPRODUCT((Transactions!$L$9:$L$5005=$D$1)*(Transactions!$M$9:$M$5005=153)*ROW(Transactions!$L$9:$L$5005)),0))),"")</f>
        <v/>
      </c>
      <c r="J179" s="298" t="str">
        <f ca="1">IFERROR(IF(IFERROR(SUMPRODUCT((Transactions!$L$9:$L$5005=$D$1)*(Transactions!$M$9:$M$5005=153)*ROW(Transactions!$L$9:$L$5005)),0)=0,"",INDEX(Transactions!$L:$L,IFERROR(SUMPRODUCT((Transactions!$L$9:$L$5005=$D$1)*(Transactions!$M$9:$M$5005=153)*ROW(Transactions!$L$9:$L$5005)),0))),"")</f>
        <v/>
      </c>
      <c r="N179" s="112"/>
      <c r="O179" s="245"/>
      <c r="P179" s="246"/>
      <c r="Q179" s="246"/>
      <c r="R179" s="106"/>
      <c r="S179" s="246"/>
      <c r="T179" s="247"/>
      <c r="X179" s="296" t="str" cm="1">
        <f t="array" aca="1" ref="X17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79" s="245" t="str" cm="1">
        <f t="array" aca="1" ref="Y17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79" s="246" t="str" cm="1">
        <f t="array" aca="1" ref="Z17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79" s="246" t="str" cm="1">
        <f t="array" aca="1" ref="AA17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79" s="106" t="str" cm="1">
        <f t="array" aca="1" ref="AB17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79" s="246" t="str" cm="1">
        <f t="array" aca="1" ref="AC17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79" s="247" t="str" cm="1">
        <f t="array" aca="1" ref="AD17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79" s="305" t="str" cm="1">
        <f t="array" aca="1" ref="AE17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80" spans="3:31" ht="16.5" customHeight="1" x14ac:dyDescent="0.2">
      <c r="C180" s="297" t="str">
        <f ca="1">IFERROR(IF(IFERROR(SUMPRODUCT((Transactions!$L$9:$L$5005=$D$1)*(Transactions!$M$9:$M$5005=154)*ROW(Transactions!$L$9:$L$5005)),0)=0,"",INDEX(Transactions!$C:$C,IFERROR(SUMPRODUCT((Transactions!$L$9:$L$5005=$D$1)*(Transactions!$M$9:$M$5005=154)*ROW(Transactions!$L$9:$L$5005)),0))),"")</f>
        <v/>
      </c>
      <c r="D180" s="107" t="str">
        <f ca="1">IFERROR(IF(IFERROR(SUMPRODUCT((Transactions!$L$9:$L$5005=$D$1)*(Transactions!$M$9:$M$5005=154)*ROW(Transactions!$L$9:$L$5005)),0)=0,"",INDEX(Transactions!$D:$D,IFERROR(SUMPRODUCT((Transactions!$L$9:$L$5005=$D$1)*(Transactions!$M$9:$M$5005=154)*ROW(Transactions!$L$9:$L$5005)),0))),"")</f>
        <v/>
      </c>
      <c r="E180" s="108" t="str">
        <f ca="1">IFERROR(IF(IFERROR(SUMPRODUCT((Transactions!$L$9:$L$5005=$D$1)*(Transactions!$M$9:$M$5005=154)*ROW(Transactions!$L$9:$L$5005)),0)=0,"",INDEX(Transactions!$F:$F,IFERROR(SUMPRODUCT((Transactions!$L$9:$L$5005=$D$1)*(Transactions!$M$9:$M$5005=154)*ROW(Transactions!$L$9:$L$5005)),0))),"")</f>
        <v/>
      </c>
      <c r="F180" s="108" t="str">
        <f ca="1">IFERROR(IF(IFERROR(SUMPRODUCT((Transactions!$L$9:$L$5005=$D$1)*(Transactions!$M$9:$M$5005=154)*ROW(Transactions!$L$9:$L$5005)),0)=0,"",INDEX(Transactions!$G:$G,IFERROR(SUMPRODUCT((Transactions!$L$9:$L$5005=$D$1)*(Transactions!$M$9:$M$5005=154)*ROW(Transactions!$L$9:$L$5005)),0))),"")</f>
        <v/>
      </c>
      <c r="G180" s="109" t="str">
        <f ca="1">IFERROR(IF(IFERROR(SUMPRODUCT((Transactions!$L$9:$L$5005=$D$1)*(Transactions!$M$9:$M$5005=154)*ROW(Transactions!$L$9:$L$5005)),0)=0,"",INDEX(Transactions!$H:$H,IFERROR(SUMPRODUCT((Transactions!$L$9:$L$5005=$D$1)*(Transactions!$M$9:$M$5005=154)*ROW(Transactions!$L$9:$L$5005)),0))),"")</f>
        <v/>
      </c>
      <c r="H180" s="108" t="str">
        <f ca="1">IFERROR(IF(IFERROR(SUMPRODUCT((Transactions!$L$9:$L$5005=$D$1)*(Transactions!$M$9:$M$5005=154)*ROW(Transactions!$L$9:$L$5005)),0)=0,"",INDEX(Transactions!$J:$J,IFERROR(SUMPRODUCT((Transactions!$L$9:$L$5005=$D$1)*(Transactions!$M$9:$M$5005=154)*ROW(Transactions!$L$9:$L$5005)),0))),"")</f>
        <v/>
      </c>
      <c r="I180" s="107" t="str">
        <f ca="1">IFERROR(IF(IFERROR(SUMPRODUCT((Transactions!$L$9:$L$5005=$D$1)*(Transactions!$M$9:$M$5005=154)*ROW(Transactions!$L$9:$L$5005)),0)=0,"",INDEX(Transactions!$K:$K,IFERROR(SUMPRODUCT((Transactions!$L$9:$L$5005=$D$1)*(Transactions!$M$9:$M$5005=154)*ROW(Transactions!$L$9:$L$5005)),0))),"")</f>
        <v/>
      </c>
      <c r="J180" s="299" t="str">
        <f ca="1">IFERROR(IF(IFERROR(SUMPRODUCT((Transactions!$L$9:$L$5005=$D$1)*(Transactions!$M$9:$M$5005=154)*ROW(Transactions!$L$9:$L$5005)),0)=0,"",INDEX(Transactions!$L:$L,IFERROR(SUMPRODUCT((Transactions!$L$9:$L$5005=$D$1)*(Transactions!$M$9:$M$5005=154)*ROW(Transactions!$L$9:$L$5005)),0))),"")</f>
        <v/>
      </c>
      <c r="N180" s="112"/>
      <c r="O180" s="245"/>
      <c r="P180" s="246"/>
      <c r="Q180" s="246"/>
      <c r="R180" s="106"/>
      <c r="S180" s="246"/>
      <c r="T180" s="247"/>
      <c r="X180" s="296" t="str" cm="1">
        <f t="array" aca="1" ref="X18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80" s="245" t="str" cm="1">
        <f t="array" aca="1" ref="Y18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80" s="246" t="str" cm="1">
        <f t="array" aca="1" ref="Z18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80" s="246" t="str" cm="1">
        <f t="array" aca="1" ref="AA18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80" s="106" t="str" cm="1">
        <f t="array" aca="1" ref="AB18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80" s="246" t="str" cm="1">
        <f t="array" aca="1" ref="AC18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80" s="247" t="str" cm="1">
        <f t="array" aca="1" ref="AD18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80" s="305" t="str" cm="1">
        <f t="array" aca="1" ref="AE18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81" spans="3:31" ht="16.5" customHeight="1" x14ac:dyDescent="0.2">
      <c r="C181" s="296" t="str">
        <f ca="1">IFERROR(IF(IFERROR(SUMPRODUCT((Transactions!$L$9:$L$5005=$D$1)*(Transactions!$M$9:$M$5005=155)*ROW(Transactions!$L$9:$L$5005)),0)=0,"",INDEX(Transactions!$C:$C,IFERROR(SUMPRODUCT((Transactions!$L$9:$L$5005=$D$1)*(Transactions!$M$9:$M$5005=155)*ROW(Transactions!$L$9:$L$5005)),0))),"")</f>
        <v/>
      </c>
      <c r="D181" s="104" t="str">
        <f ca="1">IFERROR(IF(IFERROR(SUMPRODUCT((Transactions!$L$9:$L$5005=$D$1)*(Transactions!$M$9:$M$5005=155)*ROW(Transactions!$L$9:$L$5005)),0)=0,"",INDEX(Transactions!$D:$D,IFERROR(SUMPRODUCT((Transactions!$L$9:$L$5005=$D$1)*(Transactions!$M$9:$M$5005=155)*ROW(Transactions!$L$9:$L$5005)),0))),"")</f>
        <v/>
      </c>
      <c r="E181" s="105" t="str">
        <f ca="1">IFERROR(IF(IFERROR(SUMPRODUCT((Transactions!$L$9:$L$5005=$D$1)*(Transactions!$M$9:$M$5005=155)*ROW(Transactions!$L$9:$L$5005)),0)=0,"",INDEX(Transactions!$F:$F,IFERROR(SUMPRODUCT((Transactions!$L$9:$L$5005=$D$1)*(Transactions!$M$9:$M$5005=155)*ROW(Transactions!$L$9:$L$5005)),0))),"")</f>
        <v/>
      </c>
      <c r="F181" s="105" t="str">
        <f ca="1">IFERROR(IF(IFERROR(SUMPRODUCT((Transactions!$L$9:$L$5005=$D$1)*(Transactions!$M$9:$M$5005=155)*ROW(Transactions!$L$9:$L$5005)),0)=0,"",INDEX(Transactions!$G:$G,IFERROR(SUMPRODUCT((Transactions!$L$9:$L$5005=$D$1)*(Transactions!$M$9:$M$5005=155)*ROW(Transactions!$L$9:$L$5005)),0))),"")</f>
        <v/>
      </c>
      <c r="G181" s="106" t="str">
        <f ca="1">IFERROR(IF(IFERROR(SUMPRODUCT((Transactions!$L$9:$L$5005=$D$1)*(Transactions!$M$9:$M$5005=155)*ROW(Transactions!$L$9:$L$5005)),0)=0,"",INDEX(Transactions!$H:$H,IFERROR(SUMPRODUCT((Transactions!$L$9:$L$5005=$D$1)*(Transactions!$M$9:$M$5005=155)*ROW(Transactions!$L$9:$L$5005)),0))),"")</f>
        <v/>
      </c>
      <c r="H181" s="105" t="str">
        <f ca="1">IFERROR(IF(IFERROR(SUMPRODUCT((Transactions!$L$9:$L$5005=$D$1)*(Transactions!$M$9:$M$5005=155)*ROW(Transactions!$L$9:$L$5005)),0)=0,"",INDEX(Transactions!$J:$J,IFERROR(SUMPRODUCT((Transactions!$L$9:$L$5005=$D$1)*(Transactions!$M$9:$M$5005=155)*ROW(Transactions!$L$9:$L$5005)),0))),"")</f>
        <v/>
      </c>
      <c r="I181" s="104" t="str">
        <f ca="1">IFERROR(IF(IFERROR(SUMPRODUCT((Transactions!$L$9:$L$5005=$D$1)*(Transactions!$M$9:$M$5005=155)*ROW(Transactions!$L$9:$L$5005)),0)=0,"",INDEX(Transactions!$K:$K,IFERROR(SUMPRODUCT((Transactions!$L$9:$L$5005=$D$1)*(Transactions!$M$9:$M$5005=155)*ROW(Transactions!$L$9:$L$5005)),0))),"")</f>
        <v/>
      </c>
      <c r="J181" s="298" t="str">
        <f ca="1">IFERROR(IF(IFERROR(SUMPRODUCT((Transactions!$L$9:$L$5005=$D$1)*(Transactions!$M$9:$M$5005=155)*ROW(Transactions!$L$9:$L$5005)),0)=0,"",INDEX(Transactions!$L:$L,IFERROR(SUMPRODUCT((Transactions!$L$9:$L$5005=$D$1)*(Transactions!$M$9:$M$5005=155)*ROW(Transactions!$L$9:$L$5005)),0))),"")</f>
        <v/>
      </c>
      <c r="N181" s="112"/>
      <c r="O181" s="245"/>
      <c r="P181" s="246"/>
      <c r="Q181" s="246"/>
      <c r="R181" s="106"/>
      <c r="S181" s="246"/>
      <c r="T181" s="247"/>
      <c r="X181" s="296" t="str" cm="1">
        <f t="array" aca="1" ref="X18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81" s="245" t="str" cm="1">
        <f t="array" aca="1" ref="Y18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81" s="246" t="str" cm="1">
        <f t="array" aca="1" ref="Z18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81" s="246" t="str" cm="1">
        <f t="array" aca="1" ref="AA18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81" s="106" t="str" cm="1">
        <f t="array" aca="1" ref="AB18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81" s="246" t="str" cm="1">
        <f t="array" aca="1" ref="AC18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81" s="247" t="str" cm="1">
        <f t="array" aca="1" ref="AD18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81" s="305" t="str" cm="1">
        <f t="array" aca="1" ref="AE18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82" spans="3:31" ht="16.5" customHeight="1" x14ac:dyDescent="0.2">
      <c r="C182" s="297" t="str">
        <f ca="1">IFERROR(IF(IFERROR(SUMPRODUCT((Transactions!$L$9:$L$5005=$D$1)*(Transactions!$M$9:$M$5005=156)*ROW(Transactions!$L$9:$L$5005)),0)=0,"",INDEX(Transactions!$C:$C,IFERROR(SUMPRODUCT((Transactions!$L$9:$L$5005=$D$1)*(Transactions!$M$9:$M$5005=156)*ROW(Transactions!$L$9:$L$5005)),0))),"")</f>
        <v/>
      </c>
      <c r="D182" s="107" t="str">
        <f ca="1">IFERROR(IF(IFERROR(SUMPRODUCT((Transactions!$L$9:$L$5005=$D$1)*(Transactions!$M$9:$M$5005=156)*ROW(Transactions!$L$9:$L$5005)),0)=0,"",INDEX(Transactions!$D:$D,IFERROR(SUMPRODUCT((Transactions!$L$9:$L$5005=$D$1)*(Transactions!$M$9:$M$5005=156)*ROW(Transactions!$L$9:$L$5005)),0))),"")</f>
        <v/>
      </c>
      <c r="E182" s="108" t="str">
        <f ca="1">IFERROR(IF(IFERROR(SUMPRODUCT((Transactions!$L$9:$L$5005=$D$1)*(Transactions!$M$9:$M$5005=156)*ROW(Transactions!$L$9:$L$5005)),0)=0,"",INDEX(Transactions!$F:$F,IFERROR(SUMPRODUCT((Transactions!$L$9:$L$5005=$D$1)*(Transactions!$M$9:$M$5005=156)*ROW(Transactions!$L$9:$L$5005)),0))),"")</f>
        <v/>
      </c>
      <c r="F182" s="108" t="str">
        <f ca="1">IFERROR(IF(IFERROR(SUMPRODUCT((Transactions!$L$9:$L$5005=$D$1)*(Transactions!$M$9:$M$5005=156)*ROW(Transactions!$L$9:$L$5005)),0)=0,"",INDEX(Transactions!$G:$G,IFERROR(SUMPRODUCT((Transactions!$L$9:$L$5005=$D$1)*(Transactions!$M$9:$M$5005=156)*ROW(Transactions!$L$9:$L$5005)),0))),"")</f>
        <v/>
      </c>
      <c r="G182" s="109" t="str">
        <f ca="1">IFERROR(IF(IFERROR(SUMPRODUCT((Transactions!$L$9:$L$5005=$D$1)*(Transactions!$M$9:$M$5005=156)*ROW(Transactions!$L$9:$L$5005)),0)=0,"",INDEX(Transactions!$H:$H,IFERROR(SUMPRODUCT((Transactions!$L$9:$L$5005=$D$1)*(Transactions!$M$9:$M$5005=156)*ROW(Transactions!$L$9:$L$5005)),0))),"")</f>
        <v/>
      </c>
      <c r="H182" s="108" t="str">
        <f ca="1">IFERROR(IF(IFERROR(SUMPRODUCT((Transactions!$L$9:$L$5005=$D$1)*(Transactions!$M$9:$M$5005=156)*ROW(Transactions!$L$9:$L$5005)),0)=0,"",INDEX(Transactions!$J:$J,IFERROR(SUMPRODUCT((Transactions!$L$9:$L$5005=$D$1)*(Transactions!$M$9:$M$5005=156)*ROW(Transactions!$L$9:$L$5005)),0))),"")</f>
        <v/>
      </c>
      <c r="I182" s="107" t="str">
        <f ca="1">IFERROR(IF(IFERROR(SUMPRODUCT((Transactions!$L$9:$L$5005=$D$1)*(Transactions!$M$9:$M$5005=156)*ROW(Transactions!$L$9:$L$5005)),0)=0,"",INDEX(Transactions!$K:$K,IFERROR(SUMPRODUCT((Transactions!$L$9:$L$5005=$D$1)*(Transactions!$M$9:$M$5005=156)*ROW(Transactions!$L$9:$L$5005)),0))),"")</f>
        <v/>
      </c>
      <c r="J182" s="299" t="str">
        <f ca="1">IFERROR(IF(IFERROR(SUMPRODUCT((Transactions!$L$9:$L$5005=$D$1)*(Transactions!$M$9:$M$5005=156)*ROW(Transactions!$L$9:$L$5005)),0)=0,"",INDEX(Transactions!$L:$L,IFERROR(SUMPRODUCT((Transactions!$L$9:$L$5005=$D$1)*(Transactions!$M$9:$M$5005=156)*ROW(Transactions!$L$9:$L$5005)),0))),"")</f>
        <v/>
      </c>
      <c r="N182" s="112"/>
      <c r="O182" s="245"/>
      <c r="P182" s="246"/>
      <c r="Q182" s="246"/>
      <c r="R182" s="106"/>
      <c r="S182" s="246"/>
      <c r="T182" s="247"/>
      <c r="X182" s="296" t="str" cm="1">
        <f t="array" aca="1" ref="X18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82" s="245" t="str" cm="1">
        <f t="array" aca="1" ref="Y18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82" s="246" t="str" cm="1">
        <f t="array" aca="1" ref="Z18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82" s="246" t="str" cm="1">
        <f t="array" aca="1" ref="AA18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82" s="106" t="str" cm="1">
        <f t="array" aca="1" ref="AB18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82" s="246" t="str" cm="1">
        <f t="array" aca="1" ref="AC18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82" s="247" t="str" cm="1">
        <f t="array" aca="1" ref="AD18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82" s="305" t="str" cm="1">
        <f t="array" aca="1" ref="AE18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83" spans="3:31" ht="16.5" customHeight="1" x14ac:dyDescent="0.2">
      <c r="C183" s="296" t="str">
        <f ca="1">IFERROR(IF(IFERROR(SUMPRODUCT((Transactions!$L$9:$L$5005=$D$1)*(Transactions!$M$9:$M$5005=157)*ROW(Transactions!$L$9:$L$5005)),0)=0,"",INDEX(Transactions!$C:$C,IFERROR(SUMPRODUCT((Transactions!$L$9:$L$5005=$D$1)*(Transactions!$M$9:$M$5005=157)*ROW(Transactions!$L$9:$L$5005)),0))),"")</f>
        <v/>
      </c>
      <c r="D183" s="104" t="str">
        <f ca="1">IFERROR(IF(IFERROR(SUMPRODUCT((Transactions!$L$9:$L$5005=$D$1)*(Transactions!$M$9:$M$5005=157)*ROW(Transactions!$L$9:$L$5005)),0)=0,"",INDEX(Transactions!$D:$D,IFERROR(SUMPRODUCT((Transactions!$L$9:$L$5005=$D$1)*(Transactions!$M$9:$M$5005=157)*ROW(Transactions!$L$9:$L$5005)),0))),"")</f>
        <v/>
      </c>
      <c r="E183" s="105" t="str">
        <f ca="1">IFERROR(IF(IFERROR(SUMPRODUCT((Transactions!$L$9:$L$5005=$D$1)*(Transactions!$M$9:$M$5005=157)*ROW(Transactions!$L$9:$L$5005)),0)=0,"",INDEX(Transactions!$F:$F,IFERROR(SUMPRODUCT((Transactions!$L$9:$L$5005=$D$1)*(Transactions!$M$9:$M$5005=157)*ROW(Transactions!$L$9:$L$5005)),0))),"")</f>
        <v/>
      </c>
      <c r="F183" s="105" t="str">
        <f ca="1">IFERROR(IF(IFERROR(SUMPRODUCT((Transactions!$L$9:$L$5005=$D$1)*(Transactions!$M$9:$M$5005=157)*ROW(Transactions!$L$9:$L$5005)),0)=0,"",INDEX(Transactions!$G:$G,IFERROR(SUMPRODUCT((Transactions!$L$9:$L$5005=$D$1)*(Transactions!$M$9:$M$5005=157)*ROW(Transactions!$L$9:$L$5005)),0))),"")</f>
        <v/>
      </c>
      <c r="G183" s="106" t="str">
        <f ca="1">IFERROR(IF(IFERROR(SUMPRODUCT((Transactions!$L$9:$L$5005=$D$1)*(Transactions!$M$9:$M$5005=157)*ROW(Transactions!$L$9:$L$5005)),0)=0,"",INDEX(Transactions!$H:$H,IFERROR(SUMPRODUCT((Transactions!$L$9:$L$5005=$D$1)*(Transactions!$M$9:$M$5005=157)*ROW(Transactions!$L$9:$L$5005)),0))),"")</f>
        <v/>
      </c>
      <c r="H183" s="105" t="str">
        <f ca="1">IFERROR(IF(IFERROR(SUMPRODUCT((Transactions!$L$9:$L$5005=$D$1)*(Transactions!$M$9:$M$5005=157)*ROW(Transactions!$L$9:$L$5005)),0)=0,"",INDEX(Transactions!$J:$J,IFERROR(SUMPRODUCT((Transactions!$L$9:$L$5005=$D$1)*(Transactions!$M$9:$M$5005=157)*ROW(Transactions!$L$9:$L$5005)),0))),"")</f>
        <v/>
      </c>
      <c r="I183" s="104" t="str">
        <f ca="1">IFERROR(IF(IFERROR(SUMPRODUCT((Transactions!$L$9:$L$5005=$D$1)*(Transactions!$M$9:$M$5005=157)*ROW(Transactions!$L$9:$L$5005)),0)=0,"",INDEX(Transactions!$K:$K,IFERROR(SUMPRODUCT((Transactions!$L$9:$L$5005=$D$1)*(Transactions!$M$9:$M$5005=157)*ROW(Transactions!$L$9:$L$5005)),0))),"")</f>
        <v/>
      </c>
      <c r="J183" s="298" t="str">
        <f ca="1">IFERROR(IF(IFERROR(SUMPRODUCT((Transactions!$L$9:$L$5005=$D$1)*(Transactions!$M$9:$M$5005=157)*ROW(Transactions!$L$9:$L$5005)),0)=0,"",INDEX(Transactions!$L:$L,IFERROR(SUMPRODUCT((Transactions!$L$9:$L$5005=$D$1)*(Transactions!$M$9:$M$5005=157)*ROW(Transactions!$L$9:$L$5005)),0))),"")</f>
        <v/>
      </c>
      <c r="N183" s="112"/>
      <c r="O183" s="245"/>
      <c r="P183" s="246"/>
      <c r="Q183" s="246"/>
      <c r="R183" s="106"/>
      <c r="S183" s="246"/>
      <c r="T183" s="247"/>
      <c r="X183" s="296" t="str" cm="1">
        <f t="array" aca="1" ref="X18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83" s="245" t="str" cm="1">
        <f t="array" aca="1" ref="Y18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83" s="246" t="str" cm="1">
        <f t="array" aca="1" ref="Z18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83" s="246" t="str" cm="1">
        <f t="array" aca="1" ref="AA18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83" s="106" t="str" cm="1">
        <f t="array" aca="1" ref="AB18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83" s="246" t="str" cm="1">
        <f t="array" aca="1" ref="AC18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83" s="247" t="str" cm="1">
        <f t="array" aca="1" ref="AD18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83" s="305" t="str" cm="1">
        <f t="array" aca="1" ref="AE18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84" spans="3:31" ht="16.5" customHeight="1" x14ac:dyDescent="0.2">
      <c r="C184" s="297" t="str">
        <f ca="1">IFERROR(IF(IFERROR(SUMPRODUCT((Transactions!$L$9:$L$5005=$D$1)*(Transactions!$M$9:$M$5005=158)*ROW(Transactions!$L$9:$L$5005)),0)=0,"",INDEX(Transactions!$C:$C,IFERROR(SUMPRODUCT((Transactions!$L$9:$L$5005=$D$1)*(Transactions!$M$9:$M$5005=158)*ROW(Transactions!$L$9:$L$5005)),0))),"")</f>
        <v/>
      </c>
      <c r="D184" s="107" t="str">
        <f ca="1">IFERROR(IF(IFERROR(SUMPRODUCT((Transactions!$L$9:$L$5005=$D$1)*(Transactions!$M$9:$M$5005=158)*ROW(Transactions!$L$9:$L$5005)),0)=0,"",INDEX(Transactions!$D:$D,IFERROR(SUMPRODUCT((Transactions!$L$9:$L$5005=$D$1)*(Transactions!$M$9:$M$5005=158)*ROW(Transactions!$L$9:$L$5005)),0))),"")</f>
        <v/>
      </c>
      <c r="E184" s="108" t="str">
        <f ca="1">IFERROR(IF(IFERROR(SUMPRODUCT((Transactions!$L$9:$L$5005=$D$1)*(Transactions!$M$9:$M$5005=158)*ROW(Transactions!$L$9:$L$5005)),0)=0,"",INDEX(Transactions!$F:$F,IFERROR(SUMPRODUCT((Transactions!$L$9:$L$5005=$D$1)*(Transactions!$M$9:$M$5005=158)*ROW(Transactions!$L$9:$L$5005)),0))),"")</f>
        <v/>
      </c>
      <c r="F184" s="108" t="str">
        <f ca="1">IFERROR(IF(IFERROR(SUMPRODUCT((Transactions!$L$9:$L$5005=$D$1)*(Transactions!$M$9:$M$5005=158)*ROW(Transactions!$L$9:$L$5005)),0)=0,"",INDEX(Transactions!$G:$G,IFERROR(SUMPRODUCT((Transactions!$L$9:$L$5005=$D$1)*(Transactions!$M$9:$M$5005=158)*ROW(Transactions!$L$9:$L$5005)),0))),"")</f>
        <v/>
      </c>
      <c r="G184" s="109" t="str">
        <f ca="1">IFERROR(IF(IFERROR(SUMPRODUCT((Transactions!$L$9:$L$5005=$D$1)*(Transactions!$M$9:$M$5005=158)*ROW(Transactions!$L$9:$L$5005)),0)=0,"",INDEX(Transactions!$H:$H,IFERROR(SUMPRODUCT((Transactions!$L$9:$L$5005=$D$1)*(Transactions!$M$9:$M$5005=158)*ROW(Transactions!$L$9:$L$5005)),0))),"")</f>
        <v/>
      </c>
      <c r="H184" s="108" t="str">
        <f ca="1">IFERROR(IF(IFERROR(SUMPRODUCT((Transactions!$L$9:$L$5005=$D$1)*(Transactions!$M$9:$M$5005=158)*ROW(Transactions!$L$9:$L$5005)),0)=0,"",INDEX(Transactions!$J:$J,IFERROR(SUMPRODUCT((Transactions!$L$9:$L$5005=$D$1)*(Transactions!$M$9:$M$5005=158)*ROW(Transactions!$L$9:$L$5005)),0))),"")</f>
        <v/>
      </c>
      <c r="I184" s="107" t="str">
        <f ca="1">IFERROR(IF(IFERROR(SUMPRODUCT((Transactions!$L$9:$L$5005=$D$1)*(Transactions!$M$9:$M$5005=158)*ROW(Transactions!$L$9:$L$5005)),0)=0,"",INDEX(Transactions!$K:$K,IFERROR(SUMPRODUCT((Transactions!$L$9:$L$5005=$D$1)*(Transactions!$M$9:$M$5005=158)*ROW(Transactions!$L$9:$L$5005)),0))),"")</f>
        <v/>
      </c>
      <c r="J184" s="299" t="str">
        <f ca="1">IFERROR(IF(IFERROR(SUMPRODUCT((Transactions!$L$9:$L$5005=$D$1)*(Transactions!$M$9:$M$5005=158)*ROW(Transactions!$L$9:$L$5005)),0)=0,"",INDEX(Transactions!$L:$L,IFERROR(SUMPRODUCT((Transactions!$L$9:$L$5005=$D$1)*(Transactions!$M$9:$M$5005=158)*ROW(Transactions!$L$9:$L$5005)),0))),"")</f>
        <v/>
      </c>
      <c r="N184" s="112"/>
      <c r="O184" s="245"/>
      <c r="P184" s="246"/>
      <c r="Q184" s="246"/>
      <c r="R184" s="106"/>
      <c r="S184" s="246"/>
      <c r="T184" s="247"/>
      <c r="X184" s="296" t="str" cm="1">
        <f t="array" aca="1" ref="X18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84" s="245" t="str" cm="1">
        <f t="array" aca="1" ref="Y18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84" s="246" t="str" cm="1">
        <f t="array" aca="1" ref="Z18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84" s="246" t="str" cm="1">
        <f t="array" aca="1" ref="AA18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84" s="106" t="str" cm="1">
        <f t="array" aca="1" ref="AB18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84" s="246" t="str" cm="1">
        <f t="array" aca="1" ref="AC18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84" s="247" t="str" cm="1">
        <f t="array" aca="1" ref="AD18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84" s="305" t="str" cm="1">
        <f t="array" aca="1" ref="AE18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85" spans="3:31" ht="16.5" customHeight="1" x14ac:dyDescent="0.2">
      <c r="C185" s="296" t="str">
        <f ca="1">IFERROR(IF(IFERROR(SUMPRODUCT((Transactions!$L$9:$L$5005=$D$1)*(Transactions!$M$9:$M$5005=159)*ROW(Transactions!$L$9:$L$5005)),0)=0,"",INDEX(Transactions!$C:$C,IFERROR(SUMPRODUCT((Transactions!$L$9:$L$5005=$D$1)*(Transactions!$M$9:$M$5005=159)*ROW(Transactions!$L$9:$L$5005)),0))),"")</f>
        <v/>
      </c>
      <c r="D185" s="104" t="str">
        <f ca="1">IFERROR(IF(IFERROR(SUMPRODUCT((Transactions!$L$9:$L$5005=$D$1)*(Transactions!$M$9:$M$5005=159)*ROW(Transactions!$L$9:$L$5005)),0)=0,"",INDEX(Transactions!$D:$D,IFERROR(SUMPRODUCT((Transactions!$L$9:$L$5005=$D$1)*(Transactions!$M$9:$M$5005=159)*ROW(Transactions!$L$9:$L$5005)),0))),"")</f>
        <v/>
      </c>
      <c r="E185" s="105" t="str">
        <f ca="1">IFERROR(IF(IFERROR(SUMPRODUCT((Transactions!$L$9:$L$5005=$D$1)*(Transactions!$M$9:$M$5005=159)*ROW(Transactions!$L$9:$L$5005)),0)=0,"",INDEX(Transactions!$F:$F,IFERROR(SUMPRODUCT((Transactions!$L$9:$L$5005=$D$1)*(Transactions!$M$9:$M$5005=159)*ROW(Transactions!$L$9:$L$5005)),0))),"")</f>
        <v/>
      </c>
      <c r="F185" s="105" t="str">
        <f ca="1">IFERROR(IF(IFERROR(SUMPRODUCT((Transactions!$L$9:$L$5005=$D$1)*(Transactions!$M$9:$M$5005=159)*ROW(Transactions!$L$9:$L$5005)),0)=0,"",INDEX(Transactions!$G:$G,IFERROR(SUMPRODUCT((Transactions!$L$9:$L$5005=$D$1)*(Transactions!$M$9:$M$5005=159)*ROW(Transactions!$L$9:$L$5005)),0))),"")</f>
        <v/>
      </c>
      <c r="G185" s="106" t="str">
        <f ca="1">IFERROR(IF(IFERROR(SUMPRODUCT((Transactions!$L$9:$L$5005=$D$1)*(Transactions!$M$9:$M$5005=159)*ROW(Transactions!$L$9:$L$5005)),0)=0,"",INDEX(Transactions!$H:$H,IFERROR(SUMPRODUCT((Transactions!$L$9:$L$5005=$D$1)*(Transactions!$M$9:$M$5005=159)*ROW(Transactions!$L$9:$L$5005)),0))),"")</f>
        <v/>
      </c>
      <c r="H185" s="105" t="str">
        <f ca="1">IFERROR(IF(IFERROR(SUMPRODUCT((Transactions!$L$9:$L$5005=$D$1)*(Transactions!$M$9:$M$5005=159)*ROW(Transactions!$L$9:$L$5005)),0)=0,"",INDEX(Transactions!$J:$J,IFERROR(SUMPRODUCT((Transactions!$L$9:$L$5005=$D$1)*(Transactions!$M$9:$M$5005=159)*ROW(Transactions!$L$9:$L$5005)),0))),"")</f>
        <v/>
      </c>
      <c r="I185" s="104" t="str">
        <f ca="1">IFERROR(IF(IFERROR(SUMPRODUCT((Transactions!$L$9:$L$5005=$D$1)*(Transactions!$M$9:$M$5005=159)*ROW(Transactions!$L$9:$L$5005)),0)=0,"",INDEX(Transactions!$K:$K,IFERROR(SUMPRODUCT((Transactions!$L$9:$L$5005=$D$1)*(Transactions!$M$9:$M$5005=159)*ROW(Transactions!$L$9:$L$5005)),0))),"")</f>
        <v/>
      </c>
      <c r="J185" s="298" t="str">
        <f ca="1">IFERROR(IF(IFERROR(SUMPRODUCT((Transactions!$L$9:$L$5005=$D$1)*(Transactions!$M$9:$M$5005=159)*ROW(Transactions!$L$9:$L$5005)),0)=0,"",INDEX(Transactions!$L:$L,IFERROR(SUMPRODUCT((Transactions!$L$9:$L$5005=$D$1)*(Transactions!$M$9:$M$5005=159)*ROW(Transactions!$L$9:$L$5005)),0))),"")</f>
        <v/>
      </c>
      <c r="N185" s="112"/>
      <c r="O185" s="245"/>
      <c r="P185" s="246"/>
      <c r="Q185" s="246"/>
      <c r="R185" s="106"/>
      <c r="S185" s="246"/>
      <c r="T185" s="247"/>
      <c r="X185" s="296" t="str" cm="1">
        <f t="array" aca="1" ref="X18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85" s="245" t="str" cm="1">
        <f t="array" aca="1" ref="Y18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85" s="246" t="str" cm="1">
        <f t="array" aca="1" ref="Z18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85" s="246" t="str" cm="1">
        <f t="array" aca="1" ref="AA18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85" s="106" t="str" cm="1">
        <f t="array" aca="1" ref="AB18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85" s="246" t="str" cm="1">
        <f t="array" aca="1" ref="AC18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85" s="247" t="str" cm="1">
        <f t="array" aca="1" ref="AD18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85" s="305" t="str" cm="1">
        <f t="array" aca="1" ref="AE18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86" spans="3:31" ht="16.5" customHeight="1" x14ac:dyDescent="0.2">
      <c r="C186" s="297" t="str">
        <f ca="1">IFERROR(IF(IFERROR(SUMPRODUCT((Transactions!$L$9:$L$5005=$D$1)*(Transactions!$M$9:$M$5005=160)*ROW(Transactions!$L$9:$L$5005)),0)=0,"",INDEX(Transactions!$C:$C,IFERROR(SUMPRODUCT((Transactions!$L$9:$L$5005=$D$1)*(Transactions!$M$9:$M$5005=160)*ROW(Transactions!$L$9:$L$5005)),0))),"")</f>
        <v/>
      </c>
      <c r="D186" s="107" t="str">
        <f ca="1">IFERROR(IF(IFERROR(SUMPRODUCT((Transactions!$L$9:$L$5005=$D$1)*(Transactions!$M$9:$M$5005=160)*ROW(Transactions!$L$9:$L$5005)),0)=0,"",INDEX(Transactions!$D:$D,IFERROR(SUMPRODUCT((Transactions!$L$9:$L$5005=$D$1)*(Transactions!$M$9:$M$5005=160)*ROW(Transactions!$L$9:$L$5005)),0))),"")</f>
        <v/>
      </c>
      <c r="E186" s="108" t="str">
        <f ca="1">IFERROR(IF(IFERROR(SUMPRODUCT((Transactions!$L$9:$L$5005=$D$1)*(Transactions!$M$9:$M$5005=160)*ROW(Transactions!$L$9:$L$5005)),0)=0,"",INDEX(Transactions!$F:$F,IFERROR(SUMPRODUCT((Transactions!$L$9:$L$5005=$D$1)*(Transactions!$M$9:$M$5005=160)*ROW(Transactions!$L$9:$L$5005)),0))),"")</f>
        <v/>
      </c>
      <c r="F186" s="108" t="str">
        <f ca="1">IFERROR(IF(IFERROR(SUMPRODUCT((Transactions!$L$9:$L$5005=$D$1)*(Transactions!$M$9:$M$5005=160)*ROW(Transactions!$L$9:$L$5005)),0)=0,"",INDEX(Transactions!$G:$G,IFERROR(SUMPRODUCT((Transactions!$L$9:$L$5005=$D$1)*(Transactions!$M$9:$M$5005=160)*ROW(Transactions!$L$9:$L$5005)),0))),"")</f>
        <v/>
      </c>
      <c r="G186" s="109" t="str">
        <f ca="1">IFERROR(IF(IFERROR(SUMPRODUCT((Transactions!$L$9:$L$5005=$D$1)*(Transactions!$M$9:$M$5005=160)*ROW(Transactions!$L$9:$L$5005)),0)=0,"",INDEX(Transactions!$H:$H,IFERROR(SUMPRODUCT((Transactions!$L$9:$L$5005=$D$1)*(Transactions!$M$9:$M$5005=160)*ROW(Transactions!$L$9:$L$5005)),0))),"")</f>
        <v/>
      </c>
      <c r="H186" s="108" t="str">
        <f ca="1">IFERROR(IF(IFERROR(SUMPRODUCT((Transactions!$L$9:$L$5005=$D$1)*(Transactions!$M$9:$M$5005=160)*ROW(Transactions!$L$9:$L$5005)),0)=0,"",INDEX(Transactions!$J:$J,IFERROR(SUMPRODUCT((Transactions!$L$9:$L$5005=$D$1)*(Transactions!$M$9:$M$5005=160)*ROW(Transactions!$L$9:$L$5005)),0))),"")</f>
        <v/>
      </c>
      <c r="I186" s="107" t="str">
        <f ca="1">IFERROR(IF(IFERROR(SUMPRODUCT((Transactions!$L$9:$L$5005=$D$1)*(Transactions!$M$9:$M$5005=160)*ROW(Transactions!$L$9:$L$5005)),0)=0,"",INDEX(Transactions!$K:$K,IFERROR(SUMPRODUCT((Transactions!$L$9:$L$5005=$D$1)*(Transactions!$M$9:$M$5005=160)*ROW(Transactions!$L$9:$L$5005)),0))),"")</f>
        <v/>
      </c>
      <c r="J186" s="299" t="str">
        <f ca="1">IFERROR(IF(IFERROR(SUMPRODUCT((Transactions!$L$9:$L$5005=$D$1)*(Transactions!$M$9:$M$5005=160)*ROW(Transactions!$L$9:$L$5005)),0)=0,"",INDEX(Transactions!$L:$L,IFERROR(SUMPRODUCT((Transactions!$L$9:$L$5005=$D$1)*(Transactions!$M$9:$M$5005=160)*ROW(Transactions!$L$9:$L$5005)),0))),"")</f>
        <v/>
      </c>
      <c r="N186" s="112"/>
      <c r="O186" s="245"/>
      <c r="P186" s="246"/>
      <c r="Q186" s="246"/>
      <c r="R186" s="106"/>
      <c r="S186" s="246"/>
      <c r="T186" s="247"/>
      <c r="X186" s="296" t="str" cm="1">
        <f t="array" aca="1" ref="X18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86" s="245" t="str" cm="1">
        <f t="array" aca="1" ref="Y18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86" s="246" t="str" cm="1">
        <f t="array" aca="1" ref="Z18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86" s="246" t="str" cm="1">
        <f t="array" aca="1" ref="AA18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86" s="106" t="str" cm="1">
        <f t="array" aca="1" ref="AB18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86" s="246" t="str" cm="1">
        <f t="array" aca="1" ref="AC18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86" s="247" t="str" cm="1">
        <f t="array" aca="1" ref="AD18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86" s="305" t="str" cm="1">
        <f t="array" aca="1" ref="AE18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87" spans="3:31" ht="16.5" customHeight="1" x14ac:dyDescent="0.2">
      <c r="C187" s="296" t="str">
        <f ca="1">IFERROR(IF(IFERROR(SUMPRODUCT((Transactions!$L$9:$L$5005=$D$1)*(Transactions!$M$9:$M$5005=161)*ROW(Transactions!$L$9:$L$5005)),0)=0,"",INDEX(Transactions!$C:$C,IFERROR(SUMPRODUCT((Transactions!$L$9:$L$5005=$D$1)*(Transactions!$M$9:$M$5005=161)*ROW(Transactions!$L$9:$L$5005)),0))),"")</f>
        <v/>
      </c>
      <c r="D187" s="104" t="str">
        <f ca="1">IFERROR(IF(IFERROR(SUMPRODUCT((Transactions!$L$9:$L$5005=$D$1)*(Transactions!$M$9:$M$5005=161)*ROW(Transactions!$L$9:$L$5005)),0)=0,"",INDEX(Transactions!$D:$D,IFERROR(SUMPRODUCT((Transactions!$L$9:$L$5005=$D$1)*(Transactions!$M$9:$M$5005=161)*ROW(Transactions!$L$9:$L$5005)),0))),"")</f>
        <v/>
      </c>
      <c r="E187" s="105" t="str">
        <f ca="1">IFERROR(IF(IFERROR(SUMPRODUCT((Transactions!$L$9:$L$5005=$D$1)*(Transactions!$M$9:$M$5005=161)*ROW(Transactions!$L$9:$L$5005)),0)=0,"",INDEX(Transactions!$F:$F,IFERROR(SUMPRODUCT((Transactions!$L$9:$L$5005=$D$1)*(Transactions!$M$9:$M$5005=161)*ROW(Transactions!$L$9:$L$5005)),0))),"")</f>
        <v/>
      </c>
      <c r="F187" s="105" t="str">
        <f ca="1">IFERROR(IF(IFERROR(SUMPRODUCT((Transactions!$L$9:$L$5005=$D$1)*(Transactions!$M$9:$M$5005=161)*ROW(Transactions!$L$9:$L$5005)),0)=0,"",INDEX(Transactions!$G:$G,IFERROR(SUMPRODUCT((Transactions!$L$9:$L$5005=$D$1)*(Transactions!$M$9:$M$5005=161)*ROW(Transactions!$L$9:$L$5005)),0))),"")</f>
        <v/>
      </c>
      <c r="G187" s="106" t="str">
        <f ca="1">IFERROR(IF(IFERROR(SUMPRODUCT((Transactions!$L$9:$L$5005=$D$1)*(Transactions!$M$9:$M$5005=161)*ROW(Transactions!$L$9:$L$5005)),0)=0,"",INDEX(Transactions!$H:$H,IFERROR(SUMPRODUCT((Transactions!$L$9:$L$5005=$D$1)*(Transactions!$M$9:$M$5005=161)*ROW(Transactions!$L$9:$L$5005)),0))),"")</f>
        <v/>
      </c>
      <c r="H187" s="105" t="str">
        <f ca="1">IFERROR(IF(IFERROR(SUMPRODUCT((Transactions!$L$9:$L$5005=$D$1)*(Transactions!$M$9:$M$5005=161)*ROW(Transactions!$L$9:$L$5005)),0)=0,"",INDEX(Transactions!$J:$J,IFERROR(SUMPRODUCT((Transactions!$L$9:$L$5005=$D$1)*(Transactions!$M$9:$M$5005=161)*ROW(Transactions!$L$9:$L$5005)),0))),"")</f>
        <v/>
      </c>
      <c r="I187" s="104" t="str">
        <f ca="1">IFERROR(IF(IFERROR(SUMPRODUCT((Transactions!$L$9:$L$5005=$D$1)*(Transactions!$M$9:$M$5005=161)*ROW(Transactions!$L$9:$L$5005)),0)=0,"",INDEX(Transactions!$K:$K,IFERROR(SUMPRODUCT((Transactions!$L$9:$L$5005=$D$1)*(Transactions!$M$9:$M$5005=161)*ROW(Transactions!$L$9:$L$5005)),0))),"")</f>
        <v/>
      </c>
      <c r="J187" s="298" t="str">
        <f ca="1">IFERROR(IF(IFERROR(SUMPRODUCT((Transactions!$L$9:$L$5005=$D$1)*(Transactions!$M$9:$M$5005=161)*ROW(Transactions!$L$9:$L$5005)),0)=0,"",INDEX(Transactions!$L:$L,IFERROR(SUMPRODUCT((Transactions!$L$9:$L$5005=$D$1)*(Transactions!$M$9:$M$5005=161)*ROW(Transactions!$L$9:$L$5005)),0))),"")</f>
        <v/>
      </c>
      <c r="N187" s="112"/>
      <c r="O187" s="245"/>
      <c r="P187" s="246"/>
      <c r="Q187" s="246"/>
      <c r="R187" s="106"/>
      <c r="S187" s="246"/>
      <c r="T187" s="247"/>
      <c r="X187" s="296" t="str" cm="1">
        <f t="array" aca="1" ref="X18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87" s="245" t="str" cm="1">
        <f t="array" aca="1" ref="Y18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87" s="246" t="str" cm="1">
        <f t="array" aca="1" ref="Z18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87" s="246" t="str" cm="1">
        <f t="array" aca="1" ref="AA18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87" s="106" t="str" cm="1">
        <f t="array" aca="1" ref="AB18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87" s="246" t="str" cm="1">
        <f t="array" aca="1" ref="AC18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87" s="247" t="str" cm="1">
        <f t="array" aca="1" ref="AD18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87" s="305" t="str" cm="1">
        <f t="array" aca="1" ref="AE18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88" spans="3:31" ht="16.5" customHeight="1" x14ac:dyDescent="0.2">
      <c r="C188" s="297" t="str">
        <f ca="1">IFERROR(IF(IFERROR(SUMPRODUCT((Transactions!$L$9:$L$5005=$D$1)*(Transactions!$M$9:$M$5005=162)*ROW(Transactions!$L$9:$L$5005)),0)=0,"",INDEX(Transactions!$C:$C,IFERROR(SUMPRODUCT((Transactions!$L$9:$L$5005=$D$1)*(Transactions!$M$9:$M$5005=162)*ROW(Transactions!$L$9:$L$5005)),0))),"")</f>
        <v/>
      </c>
      <c r="D188" s="107" t="str">
        <f ca="1">IFERROR(IF(IFERROR(SUMPRODUCT((Transactions!$L$9:$L$5005=$D$1)*(Transactions!$M$9:$M$5005=162)*ROW(Transactions!$L$9:$L$5005)),0)=0,"",INDEX(Transactions!$D:$D,IFERROR(SUMPRODUCT((Transactions!$L$9:$L$5005=$D$1)*(Transactions!$M$9:$M$5005=162)*ROW(Transactions!$L$9:$L$5005)),0))),"")</f>
        <v/>
      </c>
      <c r="E188" s="108" t="str">
        <f ca="1">IFERROR(IF(IFERROR(SUMPRODUCT((Transactions!$L$9:$L$5005=$D$1)*(Transactions!$M$9:$M$5005=162)*ROW(Transactions!$L$9:$L$5005)),0)=0,"",INDEX(Transactions!$F:$F,IFERROR(SUMPRODUCT((Transactions!$L$9:$L$5005=$D$1)*(Transactions!$M$9:$M$5005=162)*ROW(Transactions!$L$9:$L$5005)),0))),"")</f>
        <v/>
      </c>
      <c r="F188" s="108" t="str">
        <f ca="1">IFERROR(IF(IFERROR(SUMPRODUCT((Transactions!$L$9:$L$5005=$D$1)*(Transactions!$M$9:$M$5005=162)*ROW(Transactions!$L$9:$L$5005)),0)=0,"",INDEX(Transactions!$G:$G,IFERROR(SUMPRODUCT((Transactions!$L$9:$L$5005=$D$1)*(Transactions!$M$9:$M$5005=162)*ROW(Transactions!$L$9:$L$5005)),0))),"")</f>
        <v/>
      </c>
      <c r="G188" s="109" t="str">
        <f ca="1">IFERROR(IF(IFERROR(SUMPRODUCT((Transactions!$L$9:$L$5005=$D$1)*(Transactions!$M$9:$M$5005=162)*ROW(Transactions!$L$9:$L$5005)),0)=0,"",INDEX(Transactions!$H:$H,IFERROR(SUMPRODUCT((Transactions!$L$9:$L$5005=$D$1)*(Transactions!$M$9:$M$5005=162)*ROW(Transactions!$L$9:$L$5005)),0))),"")</f>
        <v/>
      </c>
      <c r="H188" s="108" t="str">
        <f ca="1">IFERROR(IF(IFERROR(SUMPRODUCT((Transactions!$L$9:$L$5005=$D$1)*(Transactions!$M$9:$M$5005=162)*ROW(Transactions!$L$9:$L$5005)),0)=0,"",INDEX(Transactions!$J:$J,IFERROR(SUMPRODUCT((Transactions!$L$9:$L$5005=$D$1)*(Transactions!$M$9:$M$5005=162)*ROW(Transactions!$L$9:$L$5005)),0))),"")</f>
        <v/>
      </c>
      <c r="I188" s="107" t="str">
        <f ca="1">IFERROR(IF(IFERROR(SUMPRODUCT((Transactions!$L$9:$L$5005=$D$1)*(Transactions!$M$9:$M$5005=162)*ROW(Transactions!$L$9:$L$5005)),0)=0,"",INDEX(Transactions!$K:$K,IFERROR(SUMPRODUCT((Transactions!$L$9:$L$5005=$D$1)*(Transactions!$M$9:$M$5005=162)*ROW(Transactions!$L$9:$L$5005)),0))),"")</f>
        <v/>
      </c>
      <c r="J188" s="299" t="str">
        <f ca="1">IFERROR(IF(IFERROR(SUMPRODUCT((Transactions!$L$9:$L$5005=$D$1)*(Transactions!$M$9:$M$5005=162)*ROW(Transactions!$L$9:$L$5005)),0)=0,"",INDEX(Transactions!$L:$L,IFERROR(SUMPRODUCT((Transactions!$L$9:$L$5005=$D$1)*(Transactions!$M$9:$M$5005=162)*ROW(Transactions!$L$9:$L$5005)),0))),"")</f>
        <v/>
      </c>
      <c r="N188" s="112"/>
      <c r="O188" s="245"/>
      <c r="P188" s="246"/>
      <c r="Q188" s="246"/>
      <c r="R188" s="106"/>
      <c r="S188" s="246"/>
      <c r="T188" s="247"/>
      <c r="X188" s="296" t="str" cm="1">
        <f t="array" aca="1" ref="X18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88" s="245" t="str" cm="1">
        <f t="array" aca="1" ref="Y18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88" s="246" t="str" cm="1">
        <f t="array" aca="1" ref="Z18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88" s="246" t="str" cm="1">
        <f t="array" aca="1" ref="AA18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88" s="106" t="str" cm="1">
        <f t="array" aca="1" ref="AB18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88" s="246" t="str" cm="1">
        <f t="array" aca="1" ref="AC18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88" s="247" t="str" cm="1">
        <f t="array" aca="1" ref="AD18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88" s="305" t="str" cm="1">
        <f t="array" aca="1" ref="AE18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89" spans="3:31" ht="16.5" customHeight="1" x14ac:dyDescent="0.2">
      <c r="C189" s="296" t="str">
        <f ca="1">IFERROR(IF(IFERROR(SUMPRODUCT((Transactions!$L$9:$L$5005=$D$1)*(Transactions!$M$9:$M$5005=163)*ROW(Transactions!$L$9:$L$5005)),0)=0,"",INDEX(Transactions!$C:$C,IFERROR(SUMPRODUCT((Transactions!$L$9:$L$5005=$D$1)*(Transactions!$M$9:$M$5005=163)*ROW(Transactions!$L$9:$L$5005)),0))),"")</f>
        <v/>
      </c>
      <c r="D189" s="104" t="str">
        <f ca="1">IFERROR(IF(IFERROR(SUMPRODUCT((Transactions!$L$9:$L$5005=$D$1)*(Transactions!$M$9:$M$5005=163)*ROW(Transactions!$L$9:$L$5005)),0)=0,"",INDEX(Transactions!$D:$D,IFERROR(SUMPRODUCT((Transactions!$L$9:$L$5005=$D$1)*(Transactions!$M$9:$M$5005=163)*ROW(Transactions!$L$9:$L$5005)),0))),"")</f>
        <v/>
      </c>
      <c r="E189" s="105" t="str">
        <f ca="1">IFERROR(IF(IFERROR(SUMPRODUCT((Transactions!$L$9:$L$5005=$D$1)*(Transactions!$M$9:$M$5005=163)*ROW(Transactions!$L$9:$L$5005)),0)=0,"",INDEX(Transactions!$F:$F,IFERROR(SUMPRODUCT((Transactions!$L$9:$L$5005=$D$1)*(Transactions!$M$9:$M$5005=163)*ROW(Transactions!$L$9:$L$5005)),0))),"")</f>
        <v/>
      </c>
      <c r="F189" s="105" t="str">
        <f ca="1">IFERROR(IF(IFERROR(SUMPRODUCT((Transactions!$L$9:$L$5005=$D$1)*(Transactions!$M$9:$M$5005=163)*ROW(Transactions!$L$9:$L$5005)),0)=0,"",INDEX(Transactions!$G:$G,IFERROR(SUMPRODUCT((Transactions!$L$9:$L$5005=$D$1)*(Transactions!$M$9:$M$5005=163)*ROW(Transactions!$L$9:$L$5005)),0))),"")</f>
        <v/>
      </c>
      <c r="G189" s="106" t="str">
        <f ca="1">IFERROR(IF(IFERROR(SUMPRODUCT((Transactions!$L$9:$L$5005=$D$1)*(Transactions!$M$9:$M$5005=163)*ROW(Transactions!$L$9:$L$5005)),0)=0,"",INDEX(Transactions!$H:$H,IFERROR(SUMPRODUCT((Transactions!$L$9:$L$5005=$D$1)*(Transactions!$M$9:$M$5005=163)*ROW(Transactions!$L$9:$L$5005)),0))),"")</f>
        <v/>
      </c>
      <c r="H189" s="105" t="str">
        <f ca="1">IFERROR(IF(IFERROR(SUMPRODUCT((Transactions!$L$9:$L$5005=$D$1)*(Transactions!$M$9:$M$5005=163)*ROW(Transactions!$L$9:$L$5005)),0)=0,"",INDEX(Transactions!$J:$J,IFERROR(SUMPRODUCT((Transactions!$L$9:$L$5005=$D$1)*(Transactions!$M$9:$M$5005=163)*ROW(Transactions!$L$9:$L$5005)),0))),"")</f>
        <v/>
      </c>
      <c r="I189" s="104" t="str">
        <f ca="1">IFERROR(IF(IFERROR(SUMPRODUCT((Transactions!$L$9:$L$5005=$D$1)*(Transactions!$M$9:$M$5005=163)*ROW(Transactions!$L$9:$L$5005)),0)=0,"",INDEX(Transactions!$K:$K,IFERROR(SUMPRODUCT((Transactions!$L$9:$L$5005=$D$1)*(Transactions!$M$9:$M$5005=163)*ROW(Transactions!$L$9:$L$5005)),0))),"")</f>
        <v/>
      </c>
      <c r="J189" s="298" t="str">
        <f ca="1">IFERROR(IF(IFERROR(SUMPRODUCT((Transactions!$L$9:$L$5005=$D$1)*(Transactions!$M$9:$M$5005=163)*ROW(Transactions!$L$9:$L$5005)),0)=0,"",INDEX(Transactions!$L:$L,IFERROR(SUMPRODUCT((Transactions!$L$9:$L$5005=$D$1)*(Transactions!$M$9:$M$5005=163)*ROW(Transactions!$L$9:$L$5005)),0))),"")</f>
        <v/>
      </c>
      <c r="N189" s="112"/>
      <c r="O189" s="245"/>
      <c r="P189" s="246"/>
      <c r="Q189" s="246"/>
      <c r="R189" s="106"/>
      <c r="S189" s="246"/>
      <c r="T189" s="247"/>
      <c r="X189" s="296" t="str" cm="1">
        <f t="array" aca="1" ref="X18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89" s="245" t="str" cm="1">
        <f t="array" aca="1" ref="Y18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89" s="246" t="str" cm="1">
        <f t="array" aca="1" ref="Z18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89" s="246" t="str" cm="1">
        <f t="array" aca="1" ref="AA18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89" s="106" t="str" cm="1">
        <f t="array" aca="1" ref="AB18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89" s="246" t="str" cm="1">
        <f t="array" aca="1" ref="AC18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89" s="247" t="str" cm="1">
        <f t="array" aca="1" ref="AD18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89" s="305" t="str" cm="1">
        <f t="array" aca="1" ref="AE18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90" spans="3:31" ht="16.5" customHeight="1" x14ac:dyDescent="0.2">
      <c r="C190" s="297" t="str">
        <f ca="1">IFERROR(IF(IFERROR(SUMPRODUCT((Transactions!$L$9:$L$5005=$D$1)*(Transactions!$M$9:$M$5005=164)*ROW(Transactions!$L$9:$L$5005)),0)=0,"",INDEX(Transactions!$C:$C,IFERROR(SUMPRODUCT((Transactions!$L$9:$L$5005=$D$1)*(Transactions!$M$9:$M$5005=164)*ROW(Transactions!$L$9:$L$5005)),0))),"")</f>
        <v/>
      </c>
      <c r="D190" s="107" t="str">
        <f ca="1">IFERROR(IF(IFERROR(SUMPRODUCT((Transactions!$L$9:$L$5005=$D$1)*(Transactions!$M$9:$M$5005=164)*ROW(Transactions!$L$9:$L$5005)),0)=0,"",INDEX(Transactions!$D:$D,IFERROR(SUMPRODUCT((Transactions!$L$9:$L$5005=$D$1)*(Transactions!$M$9:$M$5005=164)*ROW(Transactions!$L$9:$L$5005)),0))),"")</f>
        <v/>
      </c>
      <c r="E190" s="108" t="str">
        <f ca="1">IFERROR(IF(IFERROR(SUMPRODUCT((Transactions!$L$9:$L$5005=$D$1)*(Transactions!$M$9:$M$5005=164)*ROW(Transactions!$L$9:$L$5005)),0)=0,"",INDEX(Transactions!$F:$F,IFERROR(SUMPRODUCT((Transactions!$L$9:$L$5005=$D$1)*(Transactions!$M$9:$M$5005=164)*ROW(Transactions!$L$9:$L$5005)),0))),"")</f>
        <v/>
      </c>
      <c r="F190" s="108" t="str">
        <f ca="1">IFERROR(IF(IFERROR(SUMPRODUCT((Transactions!$L$9:$L$5005=$D$1)*(Transactions!$M$9:$M$5005=164)*ROW(Transactions!$L$9:$L$5005)),0)=0,"",INDEX(Transactions!$G:$G,IFERROR(SUMPRODUCT((Transactions!$L$9:$L$5005=$D$1)*(Transactions!$M$9:$M$5005=164)*ROW(Transactions!$L$9:$L$5005)),0))),"")</f>
        <v/>
      </c>
      <c r="G190" s="109" t="str">
        <f ca="1">IFERROR(IF(IFERROR(SUMPRODUCT((Transactions!$L$9:$L$5005=$D$1)*(Transactions!$M$9:$M$5005=164)*ROW(Transactions!$L$9:$L$5005)),0)=0,"",INDEX(Transactions!$H:$H,IFERROR(SUMPRODUCT((Transactions!$L$9:$L$5005=$D$1)*(Transactions!$M$9:$M$5005=164)*ROW(Transactions!$L$9:$L$5005)),0))),"")</f>
        <v/>
      </c>
      <c r="H190" s="108" t="str">
        <f ca="1">IFERROR(IF(IFERROR(SUMPRODUCT((Transactions!$L$9:$L$5005=$D$1)*(Transactions!$M$9:$M$5005=164)*ROW(Transactions!$L$9:$L$5005)),0)=0,"",INDEX(Transactions!$J:$J,IFERROR(SUMPRODUCT((Transactions!$L$9:$L$5005=$D$1)*(Transactions!$M$9:$M$5005=164)*ROW(Transactions!$L$9:$L$5005)),0))),"")</f>
        <v/>
      </c>
      <c r="I190" s="107" t="str">
        <f ca="1">IFERROR(IF(IFERROR(SUMPRODUCT((Transactions!$L$9:$L$5005=$D$1)*(Transactions!$M$9:$M$5005=164)*ROW(Transactions!$L$9:$L$5005)),0)=0,"",INDEX(Transactions!$K:$K,IFERROR(SUMPRODUCT((Transactions!$L$9:$L$5005=$D$1)*(Transactions!$M$9:$M$5005=164)*ROW(Transactions!$L$9:$L$5005)),0))),"")</f>
        <v/>
      </c>
      <c r="J190" s="299" t="str">
        <f ca="1">IFERROR(IF(IFERROR(SUMPRODUCT((Transactions!$L$9:$L$5005=$D$1)*(Transactions!$M$9:$M$5005=164)*ROW(Transactions!$L$9:$L$5005)),0)=0,"",INDEX(Transactions!$L:$L,IFERROR(SUMPRODUCT((Transactions!$L$9:$L$5005=$D$1)*(Transactions!$M$9:$M$5005=164)*ROW(Transactions!$L$9:$L$5005)),0))),"")</f>
        <v/>
      </c>
      <c r="N190" s="112"/>
      <c r="O190" s="245"/>
      <c r="P190" s="246"/>
      <c r="Q190" s="246"/>
      <c r="R190" s="106"/>
      <c r="S190" s="246"/>
      <c r="T190" s="247"/>
      <c r="X190" s="296" t="str" cm="1">
        <f t="array" aca="1" ref="X19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90" s="245" t="str" cm="1">
        <f t="array" aca="1" ref="Y19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90" s="246" t="str" cm="1">
        <f t="array" aca="1" ref="Z19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90" s="246" t="str" cm="1">
        <f t="array" aca="1" ref="AA19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90" s="106" t="str" cm="1">
        <f t="array" aca="1" ref="AB19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90" s="246" t="str" cm="1">
        <f t="array" aca="1" ref="AC19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90" s="247" t="str" cm="1">
        <f t="array" aca="1" ref="AD19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90" s="305" t="str" cm="1">
        <f t="array" aca="1" ref="AE19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91" spans="3:31" ht="16.5" customHeight="1" x14ac:dyDescent="0.2">
      <c r="C191" s="296" t="str">
        <f ca="1">IFERROR(IF(IFERROR(SUMPRODUCT((Transactions!$L$9:$L$5005=$D$1)*(Transactions!$M$9:$M$5005=165)*ROW(Transactions!$L$9:$L$5005)),0)=0,"",INDEX(Transactions!$C:$C,IFERROR(SUMPRODUCT((Transactions!$L$9:$L$5005=$D$1)*(Transactions!$M$9:$M$5005=165)*ROW(Transactions!$L$9:$L$5005)),0))),"")</f>
        <v/>
      </c>
      <c r="D191" s="104" t="str">
        <f ca="1">IFERROR(IF(IFERROR(SUMPRODUCT((Transactions!$L$9:$L$5005=$D$1)*(Transactions!$M$9:$M$5005=165)*ROW(Transactions!$L$9:$L$5005)),0)=0,"",INDEX(Transactions!$D:$D,IFERROR(SUMPRODUCT((Transactions!$L$9:$L$5005=$D$1)*(Transactions!$M$9:$M$5005=165)*ROW(Transactions!$L$9:$L$5005)),0))),"")</f>
        <v/>
      </c>
      <c r="E191" s="105" t="str">
        <f ca="1">IFERROR(IF(IFERROR(SUMPRODUCT((Transactions!$L$9:$L$5005=$D$1)*(Transactions!$M$9:$M$5005=165)*ROW(Transactions!$L$9:$L$5005)),0)=0,"",INDEX(Transactions!$F:$F,IFERROR(SUMPRODUCT((Transactions!$L$9:$L$5005=$D$1)*(Transactions!$M$9:$M$5005=165)*ROW(Transactions!$L$9:$L$5005)),0))),"")</f>
        <v/>
      </c>
      <c r="F191" s="105" t="str">
        <f ca="1">IFERROR(IF(IFERROR(SUMPRODUCT((Transactions!$L$9:$L$5005=$D$1)*(Transactions!$M$9:$M$5005=165)*ROW(Transactions!$L$9:$L$5005)),0)=0,"",INDEX(Transactions!$G:$G,IFERROR(SUMPRODUCT((Transactions!$L$9:$L$5005=$D$1)*(Transactions!$M$9:$M$5005=165)*ROW(Transactions!$L$9:$L$5005)),0))),"")</f>
        <v/>
      </c>
      <c r="G191" s="106" t="str">
        <f ca="1">IFERROR(IF(IFERROR(SUMPRODUCT((Transactions!$L$9:$L$5005=$D$1)*(Transactions!$M$9:$M$5005=165)*ROW(Transactions!$L$9:$L$5005)),0)=0,"",INDEX(Transactions!$H:$H,IFERROR(SUMPRODUCT((Transactions!$L$9:$L$5005=$D$1)*(Transactions!$M$9:$M$5005=165)*ROW(Transactions!$L$9:$L$5005)),0))),"")</f>
        <v/>
      </c>
      <c r="H191" s="105" t="str">
        <f ca="1">IFERROR(IF(IFERROR(SUMPRODUCT((Transactions!$L$9:$L$5005=$D$1)*(Transactions!$M$9:$M$5005=165)*ROW(Transactions!$L$9:$L$5005)),0)=0,"",INDEX(Transactions!$J:$J,IFERROR(SUMPRODUCT((Transactions!$L$9:$L$5005=$D$1)*(Transactions!$M$9:$M$5005=165)*ROW(Transactions!$L$9:$L$5005)),0))),"")</f>
        <v/>
      </c>
      <c r="I191" s="104" t="str">
        <f ca="1">IFERROR(IF(IFERROR(SUMPRODUCT((Transactions!$L$9:$L$5005=$D$1)*(Transactions!$M$9:$M$5005=165)*ROW(Transactions!$L$9:$L$5005)),0)=0,"",INDEX(Transactions!$K:$K,IFERROR(SUMPRODUCT((Transactions!$L$9:$L$5005=$D$1)*(Transactions!$M$9:$M$5005=165)*ROW(Transactions!$L$9:$L$5005)),0))),"")</f>
        <v/>
      </c>
      <c r="J191" s="298" t="str">
        <f ca="1">IFERROR(IF(IFERROR(SUMPRODUCT((Transactions!$L$9:$L$5005=$D$1)*(Transactions!$M$9:$M$5005=165)*ROW(Transactions!$L$9:$L$5005)),0)=0,"",INDEX(Transactions!$L:$L,IFERROR(SUMPRODUCT((Transactions!$L$9:$L$5005=$D$1)*(Transactions!$M$9:$M$5005=165)*ROW(Transactions!$L$9:$L$5005)),0))),"")</f>
        <v/>
      </c>
      <c r="N191" s="112"/>
      <c r="O191" s="245"/>
      <c r="P191" s="246"/>
      <c r="Q191" s="246"/>
      <c r="R191" s="106"/>
      <c r="S191" s="246"/>
      <c r="T191" s="247"/>
      <c r="X191" s="296" t="str" cm="1">
        <f t="array" aca="1" ref="X19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91" s="245" t="str" cm="1">
        <f t="array" aca="1" ref="Y19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91" s="246" t="str" cm="1">
        <f t="array" aca="1" ref="Z19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91" s="246" t="str" cm="1">
        <f t="array" aca="1" ref="AA19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91" s="106" t="str" cm="1">
        <f t="array" aca="1" ref="AB19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91" s="246" t="str" cm="1">
        <f t="array" aca="1" ref="AC19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91" s="247" t="str" cm="1">
        <f t="array" aca="1" ref="AD19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91" s="305" t="str" cm="1">
        <f t="array" aca="1" ref="AE19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92" spans="3:31" ht="16.5" customHeight="1" x14ac:dyDescent="0.2">
      <c r="C192" s="297" t="str">
        <f ca="1">IFERROR(IF(IFERROR(SUMPRODUCT((Transactions!$L$9:$L$5005=$D$1)*(Transactions!$M$9:$M$5005=166)*ROW(Transactions!$L$9:$L$5005)),0)=0,"",INDEX(Transactions!$C:$C,IFERROR(SUMPRODUCT((Transactions!$L$9:$L$5005=$D$1)*(Transactions!$M$9:$M$5005=166)*ROW(Transactions!$L$9:$L$5005)),0))),"")</f>
        <v/>
      </c>
      <c r="D192" s="107" t="str">
        <f ca="1">IFERROR(IF(IFERROR(SUMPRODUCT((Transactions!$L$9:$L$5005=$D$1)*(Transactions!$M$9:$M$5005=166)*ROW(Transactions!$L$9:$L$5005)),0)=0,"",INDEX(Transactions!$D:$D,IFERROR(SUMPRODUCT((Transactions!$L$9:$L$5005=$D$1)*(Transactions!$M$9:$M$5005=166)*ROW(Transactions!$L$9:$L$5005)),0))),"")</f>
        <v/>
      </c>
      <c r="E192" s="108" t="str">
        <f ca="1">IFERROR(IF(IFERROR(SUMPRODUCT((Transactions!$L$9:$L$5005=$D$1)*(Transactions!$M$9:$M$5005=166)*ROW(Transactions!$L$9:$L$5005)),0)=0,"",INDEX(Transactions!$F:$F,IFERROR(SUMPRODUCT((Transactions!$L$9:$L$5005=$D$1)*(Transactions!$M$9:$M$5005=166)*ROW(Transactions!$L$9:$L$5005)),0))),"")</f>
        <v/>
      </c>
      <c r="F192" s="108" t="str">
        <f ca="1">IFERROR(IF(IFERROR(SUMPRODUCT((Transactions!$L$9:$L$5005=$D$1)*(Transactions!$M$9:$M$5005=166)*ROW(Transactions!$L$9:$L$5005)),0)=0,"",INDEX(Transactions!$G:$G,IFERROR(SUMPRODUCT((Transactions!$L$9:$L$5005=$D$1)*(Transactions!$M$9:$M$5005=166)*ROW(Transactions!$L$9:$L$5005)),0))),"")</f>
        <v/>
      </c>
      <c r="G192" s="109" t="str">
        <f ca="1">IFERROR(IF(IFERROR(SUMPRODUCT((Transactions!$L$9:$L$5005=$D$1)*(Transactions!$M$9:$M$5005=166)*ROW(Transactions!$L$9:$L$5005)),0)=0,"",INDEX(Transactions!$H:$H,IFERROR(SUMPRODUCT((Transactions!$L$9:$L$5005=$D$1)*(Transactions!$M$9:$M$5005=166)*ROW(Transactions!$L$9:$L$5005)),0))),"")</f>
        <v/>
      </c>
      <c r="H192" s="108" t="str">
        <f ca="1">IFERROR(IF(IFERROR(SUMPRODUCT((Transactions!$L$9:$L$5005=$D$1)*(Transactions!$M$9:$M$5005=166)*ROW(Transactions!$L$9:$L$5005)),0)=0,"",INDEX(Transactions!$J:$J,IFERROR(SUMPRODUCT((Transactions!$L$9:$L$5005=$D$1)*(Transactions!$M$9:$M$5005=166)*ROW(Transactions!$L$9:$L$5005)),0))),"")</f>
        <v/>
      </c>
      <c r="I192" s="107" t="str">
        <f ca="1">IFERROR(IF(IFERROR(SUMPRODUCT((Transactions!$L$9:$L$5005=$D$1)*(Transactions!$M$9:$M$5005=166)*ROW(Transactions!$L$9:$L$5005)),0)=0,"",INDEX(Transactions!$K:$K,IFERROR(SUMPRODUCT((Transactions!$L$9:$L$5005=$D$1)*(Transactions!$M$9:$M$5005=166)*ROW(Transactions!$L$9:$L$5005)),0))),"")</f>
        <v/>
      </c>
      <c r="J192" s="299" t="str">
        <f ca="1">IFERROR(IF(IFERROR(SUMPRODUCT((Transactions!$L$9:$L$5005=$D$1)*(Transactions!$M$9:$M$5005=166)*ROW(Transactions!$L$9:$L$5005)),0)=0,"",INDEX(Transactions!$L:$L,IFERROR(SUMPRODUCT((Transactions!$L$9:$L$5005=$D$1)*(Transactions!$M$9:$M$5005=166)*ROW(Transactions!$L$9:$L$5005)),0))),"")</f>
        <v/>
      </c>
      <c r="N192" s="112"/>
      <c r="O192" s="245"/>
      <c r="P192" s="246"/>
      <c r="Q192" s="246"/>
      <c r="R192" s="106"/>
      <c r="S192" s="246"/>
      <c r="T192" s="247"/>
      <c r="X192" s="296" t="str" cm="1">
        <f t="array" aca="1" ref="X19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92" s="245" t="str" cm="1">
        <f t="array" aca="1" ref="Y19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92" s="246" t="str" cm="1">
        <f t="array" aca="1" ref="Z19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92" s="246" t="str" cm="1">
        <f t="array" aca="1" ref="AA19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92" s="106" t="str" cm="1">
        <f t="array" aca="1" ref="AB19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92" s="246" t="str" cm="1">
        <f t="array" aca="1" ref="AC19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92" s="247" t="str" cm="1">
        <f t="array" aca="1" ref="AD19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92" s="305" t="str" cm="1">
        <f t="array" aca="1" ref="AE19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93" spans="3:31" ht="16.5" customHeight="1" x14ac:dyDescent="0.2">
      <c r="C193" s="296" t="str">
        <f ca="1">IFERROR(IF(IFERROR(SUMPRODUCT((Transactions!$L$9:$L$5005=$D$1)*(Transactions!$M$9:$M$5005=167)*ROW(Transactions!$L$9:$L$5005)),0)=0,"",INDEX(Transactions!$C:$C,IFERROR(SUMPRODUCT((Transactions!$L$9:$L$5005=$D$1)*(Transactions!$M$9:$M$5005=167)*ROW(Transactions!$L$9:$L$5005)),0))),"")</f>
        <v/>
      </c>
      <c r="D193" s="104" t="str">
        <f ca="1">IFERROR(IF(IFERROR(SUMPRODUCT((Transactions!$L$9:$L$5005=$D$1)*(Transactions!$M$9:$M$5005=167)*ROW(Transactions!$L$9:$L$5005)),0)=0,"",INDEX(Transactions!$D:$D,IFERROR(SUMPRODUCT((Transactions!$L$9:$L$5005=$D$1)*(Transactions!$M$9:$M$5005=167)*ROW(Transactions!$L$9:$L$5005)),0))),"")</f>
        <v/>
      </c>
      <c r="E193" s="105" t="str">
        <f ca="1">IFERROR(IF(IFERROR(SUMPRODUCT((Transactions!$L$9:$L$5005=$D$1)*(Transactions!$M$9:$M$5005=167)*ROW(Transactions!$L$9:$L$5005)),0)=0,"",INDEX(Transactions!$F:$F,IFERROR(SUMPRODUCT((Transactions!$L$9:$L$5005=$D$1)*(Transactions!$M$9:$M$5005=167)*ROW(Transactions!$L$9:$L$5005)),0))),"")</f>
        <v/>
      </c>
      <c r="F193" s="105" t="str">
        <f ca="1">IFERROR(IF(IFERROR(SUMPRODUCT((Transactions!$L$9:$L$5005=$D$1)*(Transactions!$M$9:$M$5005=167)*ROW(Transactions!$L$9:$L$5005)),0)=0,"",INDEX(Transactions!$G:$G,IFERROR(SUMPRODUCT((Transactions!$L$9:$L$5005=$D$1)*(Transactions!$M$9:$M$5005=167)*ROW(Transactions!$L$9:$L$5005)),0))),"")</f>
        <v/>
      </c>
      <c r="G193" s="106" t="str">
        <f ca="1">IFERROR(IF(IFERROR(SUMPRODUCT((Transactions!$L$9:$L$5005=$D$1)*(Transactions!$M$9:$M$5005=167)*ROW(Transactions!$L$9:$L$5005)),0)=0,"",INDEX(Transactions!$H:$H,IFERROR(SUMPRODUCT((Transactions!$L$9:$L$5005=$D$1)*(Transactions!$M$9:$M$5005=167)*ROW(Transactions!$L$9:$L$5005)),0))),"")</f>
        <v/>
      </c>
      <c r="H193" s="105" t="str">
        <f ca="1">IFERROR(IF(IFERROR(SUMPRODUCT((Transactions!$L$9:$L$5005=$D$1)*(Transactions!$M$9:$M$5005=167)*ROW(Transactions!$L$9:$L$5005)),0)=0,"",INDEX(Transactions!$J:$J,IFERROR(SUMPRODUCT((Transactions!$L$9:$L$5005=$D$1)*(Transactions!$M$9:$M$5005=167)*ROW(Transactions!$L$9:$L$5005)),0))),"")</f>
        <v/>
      </c>
      <c r="I193" s="104" t="str">
        <f ca="1">IFERROR(IF(IFERROR(SUMPRODUCT((Transactions!$L$9:$L$5005=$D$1)*(Transactions!$M$9:$M$5005=167)*ROW(Transactions!$L$9:$L$5005)),0)=0,"",INDEX(Transactions!$K:$K,IFERROR(SUMPRODUCT((Transactions!$L$9:$L$5005=$D$1)*(Transactions!$M$9:$M$5005=167)*ROW(Transactions!$L$9:$L$5005)),0))),"")</f>
        <v/>
      </c>
      <c r="J193" s="298" t="str">
        <f ca="1">IFERROR(IF(IFERROR(SUMPRODUCT((Transactions!$L$9:$L$5005=$D$1)*(Transactions!$M$9:$M$5005=167)*ROW(Transactions!$L$9:$L$5005)),0)=0,"",INDEX(Transactions!$L:$L,IFERROR(SUMPRODUCT((Transactions!$L$9:$L$5005=$D$1)*(Transactions!$M$9:$M$5005=167)*ROW(Transactions!$L$9:$L$5005)),0))),"")</f>
        <v/>
      </c>
      <c r="N193" s="112"/>
      <c r="O193" s="245"/>
      <c r="P193" s="246"/>
      <c r="Q193" s="246"/>
      <c r="R193" s="106"/>
      <c r="S193" s="246"/>
      <c r="T193" s="247"/>
      <c r="X193" s="296" t="str" cm="1">
        <f t="array" aca="1" ref="X19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93" s="245" t="str" cm="1">
        <f t="array" aca="1" ref="Y19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93" s="246" t="str" cm="1">
        <f t="array" aca="1" ref="Z19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93" s="246" t="str" cm="1">
        <f t="array" aca="1" ref="AA19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93" s="106" t="str" cm="1">
        <f t="array" aca="1" ref="AB19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93" s="246" t="str" cm="1">
        <f t="array" aca="1" ref="AC19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93" s="247" t="str" cm="1">
        <f t="array" aca="1" ref="AD19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93" s="305" t="str" cm="1">
        <f t="array" aca="1" ref="AE19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94" spans="3:31" ht="16.5" customHeight="1" x14ac:dyDescent="0.2">
      <c r="C194" s="297" t="str">
        <f ca="1">IFERROR(IF(IFERROR(SUMPRODUCT((Transactions!$L$9:$L$5005=$D$1)*(Transactions!$M$9:$M$5005=168)*ROW(Transactions!$L$9:$L$5005)),0)=0,"",INDEX(Transactions!$C:$C,IFERROR(SUMPRODUCT((Transactions!$L$9:$L$5005=$D$1)*(Transactions!$M$9:$M$5005=168)*ROW(Transactions!$L$9:$L$5005)),0))),"")</f>
        <v/>
      </c>
      <c r="D194" s="107" t="str">
        <f ca="1">IFERROR(IF(IFERROR(SUMPRODUCT((Transactions!$L$9:$L$5005=$D$1)*(Transactions!$M$9:$M$5005=168)*ROW(Transactions!$L$9:$L$5005)),0)=0,"",INDEX(Transactions!$D:$D,IFERROR(SUMPRODUCT((Transactions!$L$9:$L$5005=$D$1)*(Transactions!$M$9:$M$5005=168)*ROW(Transactions!$L$9:$L$5005)),0))),"")</f>
        <v/>
      </c>
      <c r="E194" s="108" t="str">
        <f ca="1">IFERROR(IF(IFERROR(SUMPRODUCT((Transactions!$L$9:$L$5005=$D$1)*(Transactions!$M$9:$M$5005=168)*ROW(Transactions!$L$9:$L$5005)),0)=0,"",INDEX(Transactions!$F:$F,IFERROR(SUMPRODUCT((Transactions!$L$9:$L$5005=$D$1)*(Transactions!$M$9:$M$5005=168)*ROW(Transactions!$L$9:$L$5005)),0))),"")</f>
        <v/>
      </c>
      <c r="F194" s="108" t="str">
        <f ca="1">IFERROR(IF(IFERROR(SUMPRODUCT((Transactions!$L$9:$L$5005=$D$1)*(Transactions!$M$9:$M$5005=168)*ROW(Transactions!$L$9:$L$5005)),0)=0,"",INDEX(Transactions!$G:$G,IFERROR(SUMPRODUCT((Transactions!$L$9:$L$5005=$D$1)*(Transactions!$M$9:$M$5005=168)*ROW(Transactions!$L$9:$L$5005)),0))),"")</f>
        <v/>
      </c>
      <c r="G194" s="109" t="str">
        <f ca="1">IFERROR(IF(IFERROR(SUMPRODUCT((Transactions!$L$9:$L$5005=$D$1)*(Transactions!$M$9:$M$5005=168)*ROW(Transactions!$L$9:$L$5005)),0)=0,"",INDEX(Transactions!$H:$H,IFERROR(SUMPRODUCT((Transactions!$L$9:$L$5005=$D$1)*(Transactions!$M$9:$M$5005=168)*ROW(Transactions!$L$9:$L$5005)),0))),"")</f>
        <v/>
      </c>
      <c r="H194" s="108" t="str">
        <f ca="1">IFERROR(IF(IFERROR(SUMPRODUCT((Transactions!$L$9:$L$5005=$D$1)*(Transactions!$M$9:$M$5005=168)*ROW(Transactions!$L$9:$L$5005)),0)=0,"",INDEX(Transactions!$J:$J,IFERROR(SUMPRODUCT((Transactions!$L$9:$L$5005=$D$1)*(Transactions!$M$9:$M$5005=168)*ROW(Transactions!$L$9:$L$5005)),0))),"")</f>
        <v/>
      </c>
      <c r="I194" s="107" t="str">
        <f ca="1">IFERROR(IF(IFERROR(SUMPRODUCT((Transactions!$L$9:$L$5005=$D$1)*(Transactions!$M$9:$M$5005=168)*ROW(Transactions!$L$9:$L$5005)),0)=0,"",INDEX(Transactions!$K:$K,IFERROR(SUMPRODUCT((Transactions!$L$9:$L$5005=$D$1)*(Transactions!$M$9:$M$5005=168)*ROW(Transactions!$L$9:$L$5005)),0))),"")</f>
        <v/>
      </c>
      <c r="J194" s="299" t="str">
        <f ca="1">IFERROR(IF(IFERROR(SUMPRODUCT((Transactions!$L$9:$L$5005=$D$1)*(Transactions!$M$9:$M$5005=168)*ROW(Transactions!$L$9:$L$5005)),0)=0,"",INDEX(Transactions!$L:$L,IFERROR(SUMPRODUCT((Transactions!$L$9:$L$5005=$D$1)*(Transactions!$M$9:$M$5005=168)*ROW(Transactions!$L$9:$L$5005)),0))),"")</f>
        <v/>
      </c>
      <c r="N194" s="112"/>
      <c r="O194" s="245"/>
      <c r="P194" s="246"/>
      <c r="Q194" s="246"/>
      <c r="R194" s="106"/>
      <c r="S194" s="246"/>
      <c r="T194" s="247"/>
      <c r="X194" s="296" t="str" cm="1">
        <f t="array" aca="1" ref="X19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94" s="245" t="str" cm="1">
        <f t="array" aca="1" ref="Y19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94" s="246" t="str" cm="1">
        <f t="array" aca="1" ref="Z19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94" s="246" t="str" cm="1">
        <f t="array" aca="1" ref="AA19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94" s="106" t="str" cm="1">
        <f t="array" aca="1" ref="AB19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94" s="246" t="str" cm="1">
        <f t="array" aca="1" ref="AC19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94" s="247" t="str" cm="1">
        <f t="array" aca="1" ref="AD19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94" s="305" t="str" cm="1">
        <f t="array" aca="1" ref="AE19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95" spans="3:31" ht="16.5" customHeight="1" x14ac:dyDescent="0.2">
      <c r="C195" s="296" t="str">
        <f ca="1">IFERROR(IF(IFERROR(SUMPRODUCT((Transactions!$L$9:$L$5005=$D$1)*(Transactions!$M$9:$M$5005=169)*ROW(Transactions!$L$9:$L$5005)),0)=0,"",INDEX(Transactions!$C:$C,IFERROR(SUMPRODUCT((Transactions!$L$9:$L$5005=$D$1)*(Transactions!$M$9:$M$5005=169)*ROW(Transactions!$L$9:$L$5005)),0))),"")</f>
        <v/>
      </c>
      <c r="D195" s="104" t="str">
        <f ca="1">IFERROR(IF(IFERROR(SUMPRODUCT((Transactions!$L$9:$L$5005=$D$1)*(Transactions!$M$9:$M$5005=169)*ROW(Transactions!$L$9:$L$5005)),0)=0,"",INDEX(Transactions!$D:$D,IFERROR(SUMPRODUCT((Transactions!$L$9:$L$5005=$D$1)*(Transactions!$M$9:$M$5005=169)*ROW(Transactions!$L$9:$L$5005)),0))),"")</f>
        <v/>
      </c>
      <c r="E195" s="105" t="str">
        <f ca="1">IFERROR(IF(IFERROR(SUMPRODUCT((Transactions!$L$9:$L$5005=$D$1)*(Transactions!$M$9:$M$5005=169)*ROW(Transactions!$L$9:$L$5005)),0)=0,"",INDEX(Transactions!$F:$F,IFERROR(SUMPRODUCT((Transactions!$L$9:$L$5005=$D$1)*(Transactions!$M$9:$M$5005=169)*ROW(Transactions!$L$9:$L$5005)),0))),"")</f>
        <v/>
      </c>
      <c r="F195" s="105" t="str">
        <f ca="1">IFERROR(IF(IFERROR(SUMPRODUCT((Transactions!$L$9:$L$5005=$D$1)*(Transactions!$M$9:$M$5005=169)*ROW(Transactions!$L$9:$L$5005)),0)=0,"",INDEX(Transactions!$G:$G,IFERROR(SUMPRODUCT((Transactions!$L$9:$L$5005=$D$1)*(Transactions!$M$9:$M$5005=169)*ROW(Transactions!$L$9:$L$5005)),0))),"")</f>
        <v/>
      </c>
      <c r="G195" s="106" t="str">
        <f ca="1">IFERROR(IF(IFERROR(SUMPRODUCT((Transactions!$L$9:$L$5005=$D$1)*(Transactions!$M$9:$M$5005=169)*ROW(Transactions!$L$9:$L$5005)),0)=0,"",INDEX(Transactions!$H:$H,IFERROR(SUMPRODUCT((Transactions!$L$9:$L$5005=$D$1)*(Transactions!$M$9:$M$5005=169)*ROW(Transactions!$L$9:$L$5005)),0))),"")</f>
        <v/>
      </c>
      <c r="H195" s="105" t="str">
        <f ca="1">IFERROR(IF(IFERROR(SUMPRODUCT((Transactions!$L$9:$L$5005=$D$1)*(Transactions!$M$9:$M$5005=169)*ROW(Transactions!$L$9:$L$5005)),0)=0,"",INDEX(Transactions!$J:$J,IFERROR(SUMPRODUCT((Transactions!$L$9:$L$5005=$D$1)*(Transactions!$M$9:$M$5005=169)*ROW(Transactions!$L$9:$L$5005)),0))),"")</f>
        <v/>
      </c>
      <c r="I195" s="104" t="str">
        <f ca="1">IFERROR(IF(IFERROR(SUMPRODUCT((Transactions!$L$9:$L$5005=$D$1)*(Transactions!$M$9:$M$5005=169)*ROW(Transactions!$L$9:$L$5005)),0)=0,"",INDEX(Transactions!$K:$K,IFERROR(SUMPRODUCT((Transactions!$L$9:$L$5005=$D$1)*(Transactions!$M$9:$M$5005=169)*ROW(Transactions!$L$9:$L$5005)),0))),"")</f>
        <v/>
      </c>
      <c r="J195" s="298" t="str">
        <f ca="1">IFERROR(IF(IFERROR(SUMPRODUCT((Transactions!$L$9:$L$5005=$D$1)*(Transactions!$M$9:$M$5005=169)*ROW(Transactions!$L$9:$L$5005)),0)=0,"",INDEX(Transactions!$L:$L,IFERROR(SUMPRODUCT((Transactions!$L$9:$L$5005=$D$1)*(Transactions!$M$9:$M$5005=169)*ROW(Transactions!$L$9:$L$5005)),0))),"")</f>
        <v/>
      </c>
      <c r="N195" s="112"/>
      <c r="O195" s="245"/>
      <c r="P195" s="246"/>
      <c r="Q195" s="246"/>
      <c r="R195" s="106"/>
      <c r="S195" s="246"/>
      <c r="T195" s="247"/>
      <c r="X195" s="296" t="str" cm="1">
        <f t="array" aca="1" ref="X19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95" s="245" t="str" cm="1">
        <f t="array" aca="1" ref="Y19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95" s="246" t="str" cm="1">
        <f t="array" aca="1" ref="Z19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95" s="246" t="str" cm="1">
        <f t="array" aca="1" ref="AA19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95" s="106" t="str" cm="1">
        <f t="array" aca="1" ref="AB19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95" s="246" t="str" cm="1">
        <f t="array" aca="1" ref="AC19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95" s="247" t="str" cm="1">
        <f t="array" aca="1" ref="AD19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95" s="305" t="str" cm="1">
        <f t="array" aca="1" ref="AE19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96" spans="3:31" ht="16.5" customHeight="1" x14ac:dyDescent="0.2">
      <c r="C196" s="297" t="str">
        <f ca="1">IFERROR(IF(IFERROR(SUMPRODUCT((Transactions!$L$9:$L$5005=$D$1)*(Transactions!$M$9:$M$5005=170)*ROW(Transactions!$L$9:$L$5005)),0)=0,"",INDEX(Transactions!$C:$C,IFERROR(SUMPRODUCT((Transactions!$L$9:$L$5005=$D$1)*(Transactions!$M$9:$M$5005=170)*ROW(Transactions!$L$9:$L$5005)),0))),"")</f>
        <v/>
      </c>
      <c r="D196" s="107" t="str">
        <f ca="1">IFERROR(IF(IFERROR(SUMPRODUCT((Transactions!$L$9:$L$5005=$D$1)*(Transactions!$M$9:$M$5005=170)*ROW(Transactions!$L$9:$L$5005)),0)=0,"",INDEX(Transactions!$D:$D,IFERROR(SUMPRODUCT((Transactions!$L$9:$L$5005=$D$1)*(Transactions!$M$9:$M$5005=170)*ROW(Transactions!$L$9:$L$5005)),0))),"")</f>
        <v/>
      </c>
      <c r="E196" s="108" t="str">
        <f ca="1">IFERROR(IF(IFERROR(SUMPRODUCT((Transactions!$L$9:$L$5005=$D$1)*(Transactions!$M$9:$M$5005=170)*ROW(Transactions!$L$9:$L$5005)),0)=0,"",INDEX(Transactions!$F:$F,IFERROR(SUMPRODUCT((Transactions!$L$9:$L$5005=$D$1)*(Transactions!$M$9:$M$5005=170)*ROW(Transactions!$L$9:$L$5005)),0))),"")</f>
        <v/>
      </c>
      <c r="F196" s="108" t="str">
        <f ca="1">IFERROR(IF(IFERROR(SUMPRODUCT((Transactions!$L$9:$L$5005=$D$1)*(Transactions!$M$9:$M$5005=170)*ROW(Transactions!$L$9:$L$5005)),0)=0,"",INDEX(Transactions!$G:$G,IFERROR(SUMPRODUCT((Transactions!$L$9:$L$5005=$D$1)*(Transactions!$M$9:$M$5005=170)*ROW(Transactions!$L$9:$L$5005)),0))),"")</f>
        <v/>
      </c>
      <c r="G196" s="109" t="str">
        <f ca="1">IFERROR(IF(IFERROR(SUMPRODUCT((Transactions!$L$9:$L$5005=$D$1)*(Transactions!$M$9:$M$5005=170)*ROW(Transactions!$L$9:$L$5005)),0)=0,"",INDEX(Transactions!$H:$H,IFERROR(SUMPRODUCT((Transactions!$L$9:$L$5005=$D$1)*(Transactions!$M$9:$M$5005=170)*ROW(Transactions!$L$9:$L$5005)),0))),"")</f>
        <v/>
      </c>
      <c r="H196" s="108" t="str">
        <f ca="1">IFERROR(IF(IFERROR(SUMPRODUCT((Transactions!$L$9:$L$5005=$D$1)*(Transactions!$M$9:$M$5005=170)*ROW(Transactions!$L$9:$L$5005)),0)=0,"",INDEX(Transactions!$J:$J,IFERROR(SUMPRODUCT((Transactions!$L$9:$L$5005=$D$1)*(Transactions!$M$9:$M$5005=170)*ROW(Transactions!$L$9:$L$5005)),0))),"")</f>
        <v/>
      </c>
      <c r="I196" s="107" t="str">
        <f ca="1">IFERROR(IF(IFERROR(SUMPRODUCT((Transactions!$L$9:$L$5005=$D$1)*(Transactions!$M$9:$M$5005=170)*ROW(Transactions!$L$9:$L$5005)),0)=0,"",INDEX(Transactions!$K:$K,IFERROR(SUMPRODUCT((Transactions!$L$9:$L$5005=$D$1)*(Transactions!$M$9:$M$5005=170)*ROW(Transactions!$L$9:$L$5005)),0))),"")</f>
        <v/>
      </c>
      <c r="J196" s="299" t="str">
        <f ca="1">IFERROR(IF(IFERROR(SUMPRODUCT((Transactions!$L$9:$L$5005=$D$1)*(Transactions!$M$9:$M$5005=170)*ROW(Transactions!$L$9:$L$5005)),0)=0,"",INDEX(Transactions!$L:$L,IFERROR(SUMPRODUCT((Transactions!$L$9:$L$5005=$D$1)*(Transactions!$M$9:$M$5005=170)*ROW(Transactions!$L$9:$L$5005)),0))),"")</f>
        <v/>
      </c>
      <c r="N196" s="112"/>
      <c r="O196" s="245"/>
      <c r="P196" s="246"/>
      <c r="Q196" s="246"/>
      <c r="R196" s="106"/>
      <c r="S196" s="246"/>
      <c r="T196" s="247"/>
      <c r="X196" s="296" t="str" cm="1">
        <f t="array" aca="1" ref="X19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96" s="245" t="str" cm="1">
        <f t="array" aca="1" ref="Y19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96" s="246" t="str" cm="1">
        <f t="array" aca="1" ref="Z19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96" s="246" t="str" cm="1">
        <f t="array" aca="1" ref="AA19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96" s="106" t="str" cm="1">
        <f t="array" aca="1" ref="AB19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96" s="246" t="str" cm="1">
        <f t="array" aca="1" ref="AC19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96" s="247" t="str" cm="1">
        <f t="array" aca="1" ref="AD19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96" s="305" t="str" cm="1">
        <f t="array" aca="1" ref="AE19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97" spans="3:31" ht="16.5" customHeight="1" x14ac:dyDescent="0.2">
      <c r="C197" s="296" t="str">
        <f ca="1">IFERROR(IF(IFERROR(SUMPRODUCT((Transactions!$L$9:$L$5005=$D$1)*(Transactions!$M$9:$M$5005=171)*ROW(Transactions!$L$9:$L$5005)),0)=0,"",INDEX(Transactions!$C:$C,IFERROR(SUMPRODUCT((Transactions!$L$9:$L$5005=$D$1)*(Transactions!$M$9:$M$5005=171)*ROW(Transactions!$L$9:$L$5005)),0))),"")</f>
        <v/>
      </c>
      <c r="D197" s="104" t="str">
        <f ca="1">IFERROR(IF(IFERROR(SUMPRODUCT((Transactions!$L$9:$L$5005=$D$1)*(Transactions!$M$9:$M$5005=171)*ROW(Transactions!$L$9:$L$5005)),0)=0,"",INDEX(Transactions!$D:$D,IFERROR(SUMPRODUCT((Transactions!$L$9:$L$5005=$D$1)*(Transactions!$M$9:$M$5005=171)*ROW(Transactions!$L$9:$L$5005)),0))),"")</f>
        <v/>
      </c>
      <c r="E197" s="105" t="str">
        <f ca="1">IFERROR(IF(IFERROR(SUMPRODUCT((Transactions!$L$9:$L$5005=$D$1)*(Transactions!$M$9:$M$5005=171)*ROW(Transactions!$L$9:$L$5005)),0)=0,"",INDEX(Transactions!$F:$F,IFERROR(SUMPRODUCT((Transactions!$L$9:$L$5005=$D$1)*(Transactions!$M$9:$M$5005=171)*ROW(Transactions!$L$9:$L$5005)),0))),"")</f>
        <v/>
      </c>
      <c r="F197" s="105" t="str">
        <f ca="1">IFERROR(IF(IFERROR(SUMPRODUCT((Transactions!$L$9:$L$5005=$D$1)*(Transactions!$M$9:$M$5005=171)*ROW(Transactions!$L$9:$L$5005)),0)=0,"",INDEX(Transactions!$G:$G,IFERROR(SUMPRODUCT((Transactions!$L$9:$L$5005=$D$1)*(Transactions!$M$9:$M$5005=171)*ROW(Transactions!$L$9:$L$5005)),0))),"")</f>
        <v/>
      </c>
      <c r="G197" s="106" t="str">
        <f ca="1">IFERROR(IF(IFERROR(SUMPRODUCT((Transactions!$L$9:$L$5005=$D$1)*(Transactions!$M$9:$M$5005=171)*ROW(Transactions!$L$9:$L$5005)),0)=0,"",INDEX(Transactions!$H:$H,IFERROR(SUMPRODUCT((Transactions!$L$9:$L$5005=$D$1)*(Transactions!$M$9:$M$5005=171)*ROW(Transactions!$L$9:$L$5005)),0))),"")</f>
        <v/>
      </c>
      <c r="H197" s="105" t="str">
        <f ca="1">IFERROR(IF(IFERROR(SUMPRODUCT((Transactions!$L$9:$L$5005=$D$1)*(Transactions!$M$9:$M$5005=171)*ROW(Transactions!$L$9:$L$5005)),0)=0,"",INDEX(Transactions!$J:$J,IFERROR(SUMPRODUCT((Transactions!$L$9:$L$5005=$D$1)*(Transactions!$M$9:$M$5005=171)*ROW(Transactions!$L$9:$L$5005)),0))),"")</f>
        <v/>
      </c>
      <c r="I197" s="104" t="str">
        <f ca="1">IFERROR(IF(IFERROR(SUMPRODUCT((Transactions!$L$9:$L$5005=$D$1)*(Transactions!$M$9:$M$5005=171)*ROW(Transactions!$L$9:$L$5005)),0)=0,"",INDEX(Transactions!$K:$K,IFERROR(SUMPRODUCT((Transactions!$L$9:$L$5005=$D$1)*(Transactions!$M$9:$M$5005=171)*ROW(Transactions!$L$9:$L$5005)),0))),"")</f>
        <v/>
      </c>
      <c r="J197" s="298" t="str">
        <f ca="1">IFERROR(IF(IFERROR(SUMPRODUCT((Transactions!$L$9:$L$5005=$D$1)*(Transactions!$M$9:$M$5005=171)*ROW(Transactions!$L$9:$L$5005)),0)=0,"",INDEX(Transactions!$L:$L,IFERROR(SUMPRODUCT((Transactions!$L$9:$L$5005=$D$1)*(Transactions!$M$9:$M$5005=171)*ROW(Transactions!$L$9:$L$5005)),0))),"")</f>
        <v/>
      </c>
      <c r="N197" s="112"/>
      <c r="O197" s="245"/>
      <c r="P197" s="246"/>
      <c r="Q197" s="246"/>
      <c r="R197" s="106"/>
      <c r="S197" s="246"/>
      <c r="T197" s="247"/>
      <c r="X197" s="296" t="str" cm="1">
        <f t="array" aca="1" ref="X19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97" s="245" t="str" cm="1">
        <f t="array" aca="1" ref="Y19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97" s="246" t="str" cm="1">
        <f t="array" aca="1" ref="Z19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97" s="246" t="str" cm="1">
        <f t="array" aca="1" ref="AA19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97" s="106" t="str" cm="1">
        <f t="array" aca="1" ref="AB19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97" s="246" t="str" cm="1">
        <f t="array" aca="1" ref="AC19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97" s="247" t="str" cm="1">
        <f t="array" aca="1" ref="AD19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97" s="305" t="str" cm="1">
        <f t="array" aca="1" ref="AE19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98" spans="3:31" ht="16.5" customHeight="1" x14ac:dyDescent="0.2">
      <c r="C198" s="297" t="str">
        <f ca="1">IFERROR(IF(IFERROR(SUMPRODUCT((Transactions!$L$9:$L$5005=$D$1)*(Transactions!$M$9:$M$5005=172)*ROW(Transactions!$L$9:$L$5005)),0)=0,"",INDEX(Transactions!$C:$C,IFERROR(SUMPRODUCT((Transactions!$L$9:$L$5005=$D$1)*(Transactions!$M$9:$M$5005=172)*ROW(Transactions!$L$9:$L$5005)),0))),"")</f>
        <v/>
      </c>
      <c r="D198" s="107" t="str">
        <f ca="1">IFERROR(IF(IFERROR(SUMPRODUCT((Transactions!$L$9:$L$5005=$D$1)*(Transactions!$M$9:$M$5005=172)*ROW(Transactions!$L$9:$L$5005)),0)=0,"",INDEX(Transactions!$D:$D,IFERROR(SUMPRODUCT((Transactions!$L$9:$L$5005=$D$1)*(Transactions!$M$9:$M$5005=172)*ROW(Transactions!$L$9:$L$5005)),0))),"")</f>
        <v/>
      </c>
      <c r="E198" s="108" t="str">
        <f ca="1">IFERROR(IF(IFERROR(SUMPRODUCT((Transactions!$L$9:$L$5005=$D$1)*(Transactions!$M$9:$M$5005=172)*ROW(Transactions!$L$9:$L$5005)),0)=0,"",INDEX(Transactions!$F:$F,IFERROR(SUMPRODUCT((Transactions!$L$9:$L$5005=$D$1)*(Transactions!$M$9:$M$5005=172)*ROW(Transactions!$L$9:$L$5005)),0))),"")</f>
        <v/>
      </c>
      <c r="F198" s="108" t="str">
        <f ca="1">IFERROR(IF(IFERROR(SUMPRODUCT((Transactions!$L$9:$L$5005=$D$1)*(Transactions!$M$9:$M$5005=172)*ROW(Transactions!$L$9:$L$5005)),0)=0,"",INDEX(Transactions!$G:$G,IFERROR(SUMPRODUCT((Transactions!$L$9:$L$5005=$D$1)*(Transactions!$M$9:$M$5005=172)*ROW(Transactions!$L$9:$L$5005)),0))),"")</f>
        <v/>
      </c>
      <c r="G198" s="109" t="str">
        <f ca="1">IFERROR(IF(IFERROR(SUMPRODUCT((Transactions!$L$9:$L$5005=$D$1)*(Transactions!$M$9:$M$5005=172)*ROW(Transactions!$L$9:$L$5005)),0)=0,"",INDEX(Transactions!$H:$H,IFERROR(SUMPRODUCT((Transactions!$L$9:$L$5005=$D$1)*(Transactions!$M$9:$M$5005=172)*ROW(Transactions!$L$9:$L$5005)),0))),"")</f>
        <v/>
      </c>
      <c r="H198" s="108" t="str">
        <f ca="1">IFERROR(IF(IFERROR(SUMPRODUCT((Transactions!$L$9:$L$5005=$D$1)*(Transactions!$M$9:$M$5005=172)*ROW(Transactions!$L$9:$L$5005)),0)=0,"",INDEX(Transactions!$J:$J,IFERROR(SUMPRODUCT((Transactions!$L$9:$L$5005=$D$1)*(Transactions!$M$9:$M$5005=172)*ROW(Transactions!$L$9:$L$5005)),0))),"")</f>
        <v/>
      </c>
      <c r="I198" s="107" t="str">
        <f ca="1">IFERROR(IF(IFERROR(SUMPRODUCT((Transactions!$L$9:$L$5005=$D$1)*(Transactions!$M$9:$M$5005=172)*ROW(Transactions!$L$9:$L$5005)),0)=0,"",INDEX(Transactions!$K:$K,IFERROR(SUMPRODUCT((Transactions!$L$9:$L$5005=$D$1)*(Transactions!$M$9:$M$5005=172)*ROW(Transactions!$L$9:$L$5005)),0))),"")</f>
        <v/>
      </c>
      <c r="J198" s="299" t="str">
        <f ca="1">IFERROR(IF(IFERROR(SUMPRODUCT((Transactions!$L$9:$L$5005=$D$1)*(Transactions!$M$9:$M$5005=172)*ROW(Transactions!$L$9:$L$5005)),0)=0,"",INDEX(Transactions!$L:$L,IFERROR(SUMPRODUCT((Transactions!$L$9:$L$5005=$D$1)*(Transactions!$M$9:$M$5005=172)*ROW(Transactions!$L$9:$L$5005)),0))),"")</f>
        <v/>
      </c>
      <c r="N198" s="112"/>
      <c r="O198" s="245"/>
      <c r="P198" s="246"/>
      <c r="Q198" s="246"/>
      <c r="R198" s="106"/>
      <c r="S198" s="246"/>
      <c r="T198" s="247"/>
      <c r="X198" s="296" t="str" cm="1">
        <f t="array" aca="1" ref="X19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98" s="245" t="str" cm="1">
        <f t="array" aca="1" ref="Y19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98" s="246" t="str" cm="1">
        <f t="array" aca="1" ref="Z19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98" s="246" t="str" cm="1">
        <f t="array" aca="1" ref="AA19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98" s="106" t="str" cm="1">
        <f t="array" aca="1" ref="AB19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98" s="246" t="str" cm="1">
        <f t="array" aca="1" ref="AC19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98" s="247" t="str" cm="1">
        <f t="array" aca="1" ref="AD19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98" s="305" t="str" cm="1">
        <f t="array" aca="1" ref="AE19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199" spans="3:31" ht="16.5" customHeight="1" x14ac:dyDescent="0.2">
      <c r="C199" s="296" t="str">
        <f ca="1">IFERROR(IF(IFERROR(SUMPRODUCT((Transactions!$L$9:$L$5005=$D$1)*(Transactions!$M$9:$M$5005=173)*ROW(Transactions!$L$9:$L$5005)),0)=0,"",INDEX(Transactions!$C:$C,IFERROR(SUMPRODUCT((Transactions!$L$9:$L$5005=$D$1)*(Transactions!$M$9:$M$5005=173)*ROW(Transactions!$L$9:$L$5005)),0))),"")</f>
        <v/>
      </c>
      <c r="D199" s="104" t="str">
        <f ca="1">IFERROR(IF(IFERROR(SUMPRODUCT((Transactions!$L$9:$L$5005=$D$1)*(Transactions!$M$9:$M$5005=173)*ROW(Transactions!$L$9:$L$5005)),0)=0,"",INDEX(Transactions!$D:$D,IFERROR(SUMPRODUCT((Transactions!$L$9:$L$5005=$D$1)*(Transactions!$M$9:$M$5005=173)*ROW(Transactions!$L$9:$L$5005)),0))),"")</f>
        <v/>
      </c>
      <c r="E199" s="105" t="str">
        <f ca="1">IFERROR(IF(IFERROR(SUMPRODUCT((Transactions!$L$9:$L$5005=$D$1)*(Transactions!$M$9:$M$5005=173)*ROW(Transactions!$L$9:$L$5005)),0)=0,"",INDEX(Transactions!$F:$F,IFERROR(SUMPRODUCT((Transactions!$L$9:$L$5005=$D$1)*(Transactions!$M$9:$M$5005=173)*ROW(Transactions!$L$9:$L$5005)),0))),"")</f>
        <v/>
      </c>
      <c r="F199" s="105" t="str">
        <f ca="1">IFERROR(IF(IFERROR(SUMPRODUCT((Transactions!$L$9:$L$5005=$D$1)*(Transactions!$M$9:$M$5005=173)*ROW(Transactions!$L$9:$L$5005)),0)=0,"",INDEX(Transactions!$G:$G,IFERROR(SUMPRODUCT((Transactions!$L$9:$L$5005=$D$1)*(Transactions!$M$9:$M$5005=173)*ROW(Transactions!$L$9:$L$5005)),0))),"")</f>
        <v/>
      </c>
      <c r="G199" s="106" t="str">
        <f ca="1">IFERROR(IF(IFERROR(SUMPRODUCT((Transactions!$L$9:$L$5005=$D$1)*(Transactions!$M$9:$M$5005=173)*ROW(Transactions!$L$9:$L$5005)),0)=0,"",INDEX(Transactions!$H:$H,IFERROR(SUMPRODUCT((Transactions!$L$9:$L$5005=$D$1)*(Transactions!$M$9:$M$5005=173)*ROW(Transactions!$L$9:$L$5005)),0))),"")</f>
        <v/>
      </c>
      <c r="H199" s="105" t="str">
        <f ca="1">IFERROR(IF(IFERROR(SUMPRODUCT((Transactions!$L$9:$L$5005=$D$1)*(Transactions!$M$9:$M$5005=173)*ROW(Transactions!$L$9:$L$5005)),0)=0,"",INDEX(Transactions!$J:$J,IFERROR(SUMPRODUCT((Transactions!$L$9:$L$5005=$D$1)*(Transactions!$M$9:$M$5005=173)*ROW(Transactions!$L$9:$L$5005)),0))),"")</f>
        <v/>
      </c>
      <c r="I199" s="104" t="str">
        <f ca="1">IFERROR(IF(IFERROR(SUMPRODUCT((Transactions!$L$9:$L$5005=$D$1)*(Transactions!$M$9:$M$5005=173)*ROW(Transactions!$L$9:$L$5005)),0)=0,"",INDEX(Transactions!$K:$K,IFERROR(SUMPRODUCT((Transactions!$L$9:$L$5005=$D$1)*(Transactions!$M$9:$M$5005=173)*ROW(Transactions!$L$9:$L$5005)),0))),"")</f>
        <v/>
      </c>
      <c r="J199" s="298" t="str">
        <f ca="1">IFERROR(IF(IFERROR(SUMPRODUCT((Transactions!$L$9:$L$5005=$D$1)*(Transactions!$M$9:$M$5005=173)*ROW(Transactions!$L$9:$L$5005)),0)=0,"",INDEX(Transactions!$L:$L,IFERROR(SUMPRODUCT((Transactions!$L$9:$L$5005=$D$1)*(Transactions!$M$9:$M$5005=173)*ROW(Transactions!$L$9:$L$5005)),0))),"")</f>
        <v/>
      </c>
      <c r="N199" s="112"/>
      <c r="O199" s="245"/>
      <c r="P199" s="246"/>
      <c r="Q199" s="246"/>
      <c r="R199" s="106"/>
      <c r="S199" s="246"/>
      <c r="T199" s="247"/>
      <c r="X199" s="296" t="str" cm="1">
        <f t="array" aca="1" ref="X19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199" s="245" t="str" cm="1">
        <f t="array" aca="1" ref="Y19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199" s="246" t="str" cm="1">
        <f t="array" aca="1" ref="Z19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199" s="246" t="str" cm="1">
        <f t="array" aca="1" ref="AA19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199" s="106" t="str" cm="1">
        <f t="array" aca="1" ref="AB19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199" s="246" t="str" cm="1">
        <f t="array" aca="1" ref="AC19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199" s="247" t="str" cm="1">
        <f t="array" aca="1" ref="AD19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199" s="305" t="str" cm="1">
        <f t="array" aca="1" ref="AE19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200" spans="3:31" ht="16.5" customHeight="1" x14ac:dyDescent="0.2">
      <c r="C200" s="297" t="str">
        <f ca="1">IFERROR(IF(IFERROR(SUMPRODUCT((Transactions!$L$9:$L$5005=$D$1)*(Transactions!$M$9:$M$5005=174)*ROW(Transactions!$L$9:$L$5005)),0)=0,"",INDEX(Transactions!$C:$C,IFERROR(SUMPRODUCT((Transactions!$L$9:$L$5005=$D$1)*(Transactions!$M$9:$M$5005=174)*ROW(Transactions!$L$9:$L$5005)),0))),"")</f>
        <v/>
      </c>
      <c r="D200" s="107" t="str">
        <f ca="1">IFERROR(IF(IFERROR(SUMPRODUCT((Transactions!$L$9:$L$5005=$D$1)*(Transactions!$M$9:$M$5005=174)*ROW(Transactions!$L$9:$L$5005)),0)=0,"",INDEX(Transactions!$D:$D,IFERROR(SUMPRODUCT((Transactions!$L$9:$L$5005=$D$1)*(Transactions!$M$9:$M$5005=174)*ROW(Transactions!$L$9:$L$5005)),0))),"")</f>
        <v/>
      </c>
      <c r="E200" s="108" t="str">
        <f ca="1">IFERROR(IF(IFERROR(SUMPRODUCT((Transactions!$L$9:$L$5005=$D$1)*(Transactions!$M$9:$M$5005=174)*ROW(Transactions!$L$9:$L$5005)),0)=0,"",INDEX(Transactions!$F:$F,IFERROR(SUMPRODUCT((Transactions!$L$9:$L$5005=$D$1)*(Transactions!$M$9:$M$5005=174)*ROW(Transactions!$L$9:$L$5005)),0))),"")</f>
        <v/>
      </c>
      <c r="F200" s="108" t="str">
        <f ca="1">IFERROR(IF(IFERROR(SUMPRODUCT((Transactions!$L$9:$L$5005=$D$1)*(Transactions!$M$9:$M$5005=174)*ROW(Transactions!$L$9:$L$5005)),0)=0,"",INDEX(Transactions!$G:$G,IFERROR(SUMPRODUCT((Transactions!$L$9:$L$5005=$D$1)*(Transactions!$M$9:$M$5005=174)*ROW(Transactions!$L$9:$L$5005)),0))),"")</f>
        <v/>
      </c>
      <c r="G200" s="109" t="str">
        <f ca="1">IFERROR(IF(IFERROR(SUMPRODUCT((Transactions!$L$9:$L$5005=$D$1)*(Transactions!$M$9:$M$5005=174)*ROW(Transactions!$L$9:$L$5005)),0)=0,"",INDEX(Transactions!$H:$H,IFERROR(SUMPRODUCT((Transactions!$L$9:$L$5005=$D$1)*(Transactions!$M$9:$M$5005=174)*ROW(Transactions!$L$9:$L$5005)),0))),"")</f>
        <v/>
      </c>
      <c r="H200" s="108" t="str">
        <f ca="1">IFERROR(IF(IFERROR(SUMPRODUCT((Transactions!$L$9:$L$5005=$D$1)*(Transactions!$M$9:$M$5005=174)*ROW(Transactions!$L$9:$L$5005)),0)=0,"",INDEX(Transactions!$J:$J,IFERROR(SUMPRODUCT((Transactions!$L$9:$L$5005=$D$1)*(Transactions!$M$9:$M$5005=174)*ROW(Transactions!$L$9:$L$5005)),0))),"")</f>
        <v/>
      </c>
      <c r="I200" s="107" t="str">
        <f ca="1">IFERROR(IF(IFERROR(SUMPRODUCT((Transactions!$L$9:$L$5005=$D$1)*(Transactions!$M$9:$M$5005=174)*ROW(Transactions!$L$9:$L$5005)),0)=0,"",INDEX(Transactions!$K:$K,IFERROR(SUMPRODUCT((Transactions!$L$9:$L$5005=$D$1)*(Transactions!$M$9:$M$5005=174)*ROW(Transactions!$L$9:$L$5005)),0))),"")</f>
        <v/>
      </c>
      <c r="J200" s="299" t="str">
        <f ca="1">IFERROR(IF(IFERROR(SUMPRODUCT((Transactions!$L$9:$L$5005=$D$1)*(Transactions!$M$9:$M$5005=174)*ROW(Transactions!$L$9:$L$5005)),0)=0,"",INDEX(Transactions!$L:$L,IFERROR(SUMPRODUCT((Transactions!$L$9:$L$5005=$D$1)*(Transactions!$M$9:$M$5005=174)*ROW(Transactions!$L$9:$L$5005)),0))),"")</f>
        <v/>
      </c>
      <c r="N200" s="112"/>
      <c r="O200" s="245"/>
      <c r="P200" s="246"/>
      <c r="Q200" s="246"/>
      <c r="R200" s="106"/>
      <c r="S200" s="246"/>
      <c r="T200" s="247"/>
      <c r="X200" s="296" t="str" cm="1">
        <f t="array" aca="1" ref="X200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200" s="245" t="str" cm="1">
        <f t="array" aca="1" ref="Y200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200" s="246" t="str" cm="1">
        <f t="array" aca="1" ref="Z200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200" s="246" t="str" cm="1">
        <f t="array" aca="1" ref="AA200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200" s="106" t="str" cm="1">
        <f t="array" aca="1" ref="AB200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200" s="246" t="str" cm="1">
        <f t="array" aca="1" ref="AC200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200" s="247" t="str" cm="1">
        <f t="array" aca="1" ref="AD200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200" s="305" t="str" cm="1">
        <f t="array" aca="1" ref="AE200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201" spans="3:31" ht="16.5" customHeight="1" x14ac:dyDescent="0.2">
      <c r="C201" s="296" t="str">
        <f ca="1">IFERROR(IF(IFERROR(SUMPRODUCT((Transactions!$L$9:$L$5005=$D$1)*(Transactions!$M$9:$M$5005=175)*ROW(Transactions!$L$9:$L$5005)),0)=0,"",INDEX(Transactions!$C:$C,IFERROR(SUMPRODUCT((Transactions!$L$9:$L$5005=$D$1)*(Transactions!$M$9:$M$5005=175)*ROW(Transactions!$L$9:$L$5005)),0))),"")</f>
        <v/>
      </c>
      <c r="D201" s="104" t="str">
        <f ca="1">IFERROR(IF(IFERROR(SUMPRODUCT((Transactions!$L$9:$L$5005=$D$1)*(Transactions!$M$9:$M$5005=175)*ROW(Transactions!$L$9:$L$5005)),0)=0,"",INDEX(Transactions!$D:$D,IFERROR(SUMPRODUCT((Transactions!$L$9:$L$5005=$D$1)*(Transactions!$M$9:$M$5005=175)*ROW(Transactions!$L$9:$L$5005)),0))),"")</f>
        <v/>
      </c>
      <c r="E201" s="105" t="str">
        <f ca="1">IFERROR(IF(IFERROR(SUMPRODUCT((Transactions!$L$9:$L$5005=$D$1)*(Transactions!$M$9:$M$5005=175)*ROW(Transactions!$L$9:$L$5005)),0)=0,"",INDEX(Transactions!$F:$F,IFERROR(SUMPRODUCT((Transactions!$L$9:$L$5005=$D$1)*(Transactions!$M$9:$M$5005=175)*ROW(Transactions!$L$9:$L$5005)),0))),"")</f>
        <v/>
      </c>
      <c r="F201" s="105" t="str">
        <f ca="1">IFERROR(IF(IFERROR(SUMPRODUCT((Transactions!$L$9:$L$5005=$D$1)*(Transactions!$M$9:$M$5005=175)*ROW(Transactions!$L$9:$L$5005)),0)=0,"",INDEX(Transactions!$G:$G,IFERROR(SUMPRODUCT((Transactions!$L$9:$L$5005=$D$1)*(Transactions!$M$9:$M$5005=175)*ROW(Transactions!$L$9:$L$5005)),0))),"")</f>
        <v/>
      </c>
      <c r="G201" s="106" t="str">
        <f ca="1">IFERROR(IF(IFERROR(SUMPRODUCT((Transactions!$L$9:$L$5005=$D$1)*(Transactions!$M$9:$M$5005=175)*ROW(Transactions!$L$9:$L$5005)),0)=0,"",INDEX(Transactions!$H:$H,IFERROR(SUMPRODUCT((Transactions!$L$9:$L$5005=$D$1)*(Transactions!$M$9:$M$5005=175)*ROW(Transactions!$L$9:$L$5005)),0))),"")</f>
        <v/>
      </c>
      <c r="H201" s="105" t="str">
        <f ca="1">IFERROR(IF(IFERROR(SUMPRODUCT((Transactions!$L$9:$L$5005=$D$1)*(Transactions!$M$9:$M$5005=175)*ROW(Transactions!$L$9:$L$5005)),0)=0,"",INDEX(Transactions!$J:$J,IFERROR(SUMPRODUCT((Transactions!$L$9:$L$5005=$D$1)*(Transactions!$M$9:$M$5005=175)*ROW(Transactions!$L$9:$L$5005)),0))),"")</f>
        <v/>
      </c>
      <c r="I201" s="104" t="str">
        <f ca="1">IFERROR(IF(IFERROR(SUMPRODUCT((Transactions!$L$9:$L$5005=$D$1)*(Transactions!$M$9:$M$5005=175)*ROW(Transactions!$L$9:$L$5005)),0)=0,"",INDEX(Transactions!$K:$K,IFERROR(SUMPRODUCT((Transactions!$L$9:$L$5005=$D$1)*(Transactions!$M$9:$M$5005=175)*ROW(Transactions!$L$9:$L$5005)),0))),"")</f>
        <v/>
      </c>
      <c r="J201" s="298" t="str">
        <f ca="1">IFERROR(IF(IFERROR(SUMPRODUCT((Transactions!$L$9:$L$5005=$D$1)*(Transactions!$M$9:$M$5005=175)*ROW(Transactions!$L$9:$L$5005)),0)=0,"",INDEX(Transactions!$L:$L,IFERROR(SUMPRODUCT((Transactions!$L$9:$L$5005=$D$1)*(Transactions!$M$9:$M$5005=175)*ROW(Transactions!$L$9:$L$5005)),0))),"")</f>
        <v/>
      </c>
      <c r="N201" s="112"/>
      <c r="O201" s="245"/>
      <c r="P201" s="246"/>
      <c r="Q201" s="246"/>
      <c r="R201" s="106"/>
      <c r="S201" s="246"/>
      <c r="T201" s="247"/>
      <c r="X201" s="296" t="str" cm="1">
        <f t="array" aca="1" ref="X201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201" s="245" t="str" cm="1">
        <f t="array" aca="1" ref="Y201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201" s="246" t="str" cm="1">
        <f t="array" aca="1" ref="Z201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201" s="246" t="str" cm="1">
        <f t="array" aca="1" ref="AA201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201" s="106" t="str" cm="1">
        <f t="array" aca="1" ref="AB201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201" s="246" t="str" cm="1">
        <f t="array" aca="1" ref="AC201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201" s="247" t="str" cm="1">
        <f t="array" aca="1" ref="AD201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201" s="305" t="str" cm="1">
        <f t="array" aca="1" ref="AE201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202" spans="3:31" ht="16.5" customHeight="1" x14ac:dyDescent="0.2">
      <c r="C202" s="297" t="str">
        <f ca="1">IFERROR(IF(IFERROR(SUMPRODUCT((Transactions!$L$9:$L$5005=$D$1)*(Transactions!$M$9:$M$5005=176)*ROW(Transactions!$L$9:$L$5005)),0)=0,"",INDEX(Transactions!$C:$C,IFERROR(SUMPRODUCT((Transactions!$L$9:$L$5005=$D$1)*(Transactions!$M$9:$M$5005=176)*ROW(Transactions!$L$9:$L$5005)),0))),"")</f>
        <v/>
      </c>
      <c r="D202" s="107" t="str">
        <f ca="1">IFERROR(IF(IFERROR(SUMPRODUCT((Transactions!$L$9:$L$5005=$D$1)*(Transactions!$M$9:$M$5005=176)*ROW(Transactions!$L$9:$L$5005)),0)=0,"",INDEX(Transactions!$D:$D,IFERROR(SUMPRODUCT((Transactions!$L$9:$L$5005=$D$1)*(Transactions!$M$9:$M$5005=176)*ROW(Transactions!$L$9:$L$5005)),0))),"")</f>
        <v/>
      </c>
      <c r="E202" s="108" t="str">
        <f ca="1">IFERROR(IF(IFERROR(SUMPRODUCT((Transactions!$L$9:$L$5005=$D$1)*(Transactions!$M$9:$M$5005=176)*ROW(Transactions!$L$9:$L$5005)),0)=0,"",INDEX(Transactions!$F:$F,IFERROR(SUMPRODUCT((Transactions!$L$9:$L$5005=$D$1)*(Transactions!$M$9:$M$5005=176)*ROW(Transactions!$L$9:$L$5005)),0))),"")</f>
        <v/>
      </c>
      <c r="F202" s="108" t="str">
        <f ca="1">IFERROR(IF(IFERROR(SUMPRODUCT((Transactions!$L$9:$L$5005=$D$1)*(Transactions!$M$9:$M$5005=176)*ROW(Transactions!$L$9:$L$5005)),0)=0,"",INDEX(Transactions!$G:$G,IFERROR(SUMPRODUCT((Transactions!$L$9:$L$5005=$D$1)*(Transactions!$M$9:$M$5005=176)*ROW(Transactions!$L$9:$L$5005)),0))),"")</f>
        <v/>
      </c>
      <c r="G202" s="109" t="str">
        <f ca="1">IFERROR(IF(IFERROR(SUMPRODUCT((Transactions!$L$9:$L$5005=$D$1)*(Transactions!$M$9:$M$5005=176)*ROW(Transactions!$L$9:$L$5005)),0)=0,"",INDEX(Transactions!$H:$H,IFERROR(SUMPRODUCT((Transactions!$L$9:$L$5005=$D$1)*(Transactions!$M$9:$M$5005=176)*ROW(Transactions!$L$9:$L$5005)),0))),"")</f>
        <v/>
      </c>
      <c r="H202" s="108" t="str">
        <f ca="1">IFERROR(IF(IFERROR(SUMPRODUCT((Transactions!$L$9:$L$5005=$D$1)*(Transactions!$M$9:$M$5005=176)*ROW(Transactions!$L$9:$L$5005)),0)=0,"",INDEX(Transactions!$J:$J,IFERROR(SUMPRODUCT((Transactions!$L$9:$L$5005=$D$1)*(Transactions!$M$9:$M$5005=176)*ROW(Transactions!$L$9:$L$5005)),0))),"")</f>
        <v/>
      </c>
      <c r="I202" s="107" t="str">
        <f ca="1">IFERROR(IF(IFERROR(SUMPRODUCT((Transactions!$L$9:$L$5005=$D$1)*(Transactions!$M$9:$M$5005=176)*ROW(Transactions!$L$9:$L$5005)),0)=0,"",INDEX(Transactions!$K:$K,IFERROR(SUMPRODUCT((Transactions!$L$9:$L$5005=$D$1)*(Transactions!$M$9:$M$5005=176)*ROW(Transactions!$L$9:$L$5005)),0))),"")</f>
        <v/>
      </c>
      <c r="J202" s="299" t="str">
        <f ca="1">IFERROR(IF(IFERROR(SUMPRODUCT((Transactions!$L$9:$L$5005=$D$1)*(Transactions!$M$9:$M$5005=176)*ROW(Transactions!$L$9:$L$5005)),0)=0,"",INDEX(Transactions!$L:$L,IFERROR(SUMPRODUCT((Transactions!$L$9:$L$5005=$D$1)*(Transactions!$M$9:$M$5005=176)*ROW(Transactions!$L$9:$L$5005)),0))),"")</f>
        <v/>
      </c>
      <c r="N202" s="112"/>
      <c r="O202" s="245"/>
      <c r="P202" s="246"/>
      <c r="Q202" s="246"/>
      <c r="R202" s="106"/>
      <c r="S202" s="246"/>
      <c r="T202" s="247"/>
      <c r="X202" s="296" t="str" cm="1">
        <f t="array" aca="1" ref="X202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202" s="245" t="str" cm="1">
        <f t="array" aca="1" ref="Y202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202" s="246" t="str" cm="1">
        <f t="array" aca="1" ref="Z202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202" s="246" t="str" cm="1">
        <f t="array" aca="1" ref="AA202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202" s="106" t="str" cm="1">
        <f t="array" aca="1" ref="AB202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202" s="246" t="str" cm="1">
        <f t="array" aca="1" ref="AC202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202" s="247" t="str" cm="1">
        <f t="array" aca="1" ref="AD202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202" s="305" t="str" cm="1">
        <f t="array" aca="1" ref="AE202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203" spans="3:31" ht="16.5" customHeight="1" x14ac:dyDescent="0.2">
      <c r="C203" s="296" t="str">
        <f ca="1">IFERROR(IF(IFERROR(SUMPRODUCT((Transactions!$L$9:$L$5005=$D$1)*(Transactions!$M$9:$M$5005=177)*ROW(Transactions!$L$9:$L$5005)),0)=0,"",INDEX(Transactions!$C:$C,IFERROR(SUMPRODUCT((Transactions!$L$9:$L$5005=$D$1)*(Transactions!$M$9:$M$5005=177)*ROW(Transactions!$L$9:$L$5005)),0))),"")</f>
        <v/>
      </c>
      <c r="D203" s="104" t="str">
        <f ca="1">IFERROR(IF(IFERROR(SUMPRODUCT((Transactions!$L$9:$L$5005=$D$1)*(Transactions!$M$9:$M$5005=177)*ROW(Transactions!$L$9:$L$5005)),0)=0,"",INDEX(Transactions!$D:$D,IFERROR(SUMPRODUCT((Transactions!$L$9:$L$5005=$D$1)*(Transactions!$M$9:$M$5005=177)*ROW(Transactions!$L$9:$L$5005)),0))),"")</f>
        <v/>
      </c>
      <c r="E203" s="105" t="str">
        <f ca="1">IFERROR(IF(IFERROR(SUMPRODUCT((Transactions!$L$9:$L$5005=$D$1)*(Transactions!$M$9:$M$5005=177)*ROW(Transactions!$L$9:$L$5005)),0)=0,"",INDEX(Transactions!$F:$F,IFERROR(SUMPRODUCT((Transactions!$L$9:$L$5005=$D$1)*(Transactions!$M$9:$M$5005=177)*ROW(Transactions!$L$9:$L$5005)),0))),"")</f>
        <v/>
      </c>
      <c r="F203" s="105" t="str">
        <f ca="1">IFERROR(IF(IFERROR(SUMPRODUCT((Transactions!$L$9:$L$5005=$D$1)*(Transactions!$M$9:$M$5005=177)*ROW(Transactions!$L$9:$L$5005)),0)=0,"",INDEX(Transactions!$G:$G,IFERROR(SUMPRODUCT((Transactions!$L$9:$L$5005=$D$1)*(Transactions!$M$9:$M$5005=177)*ROW(Transactions!$L$9:$L$5005)),0))),"")</f>
        <v/>
      </c>
      <c r="G203" s="106" t="str">
        <f ca="1">IFERROR(IF(IFERROR(SUMPRODUCT((Transactions!$L$9:$L$5005=$D$1)*(Transactions!$M$9:$M$5005=177)*ROW(Transactions!$L$9:$L$5005)),0)=0,"",INDEX(Transactions!$H:$H,IFERROR(SUMPRODUCT((Transactions!$L$9:$L$5005=$D$1)*(Transactions!$M$9:$M$5005=177)*ROW(Transactions!$L$9:$L$5005)),0))),"")</f>
        <v/>
      </c>
      <c r="H203" s="105" t="str">
        <f ca="1">IFERROR(IF(IFERROR(SUMPRODUCT((Transactions!$L$9:$L$5005=$D$1)*(Transactions!$M$9:$M$5005=177)*ROW(Transactions!$L$9:$L$5005)),0)=0,"",INDEX(Transactions!$J:$J,IFERROR(SUMPRODUCT((Transactions!$L$9:$L$5005=$D$1)*(Transactions!$M$9:$M$5005=177)*ROW(Transactions!$L$9:$L$5005)),0))),"")</f>
        <v/>
      </c>
      <c r="I203" s="104" t="str">
        <f ca="1">IFERROR(IF(IFERROR(SUMPRODUCT((Transactions!$L$9:$L$5005=$D$1)*(Transactions!$M$9:$M$5005=177)*ROW(Transactions!$L$9:$L$5005)),0)=0,"",INDEX(Transactions!$K:$K,IFERROR(SUMPRODUCT((Transactions!$L$9:$L$5005=$D$1)*(Transactions!$M$9:$M$5005=177)*ROW(Transactions!$L$9:$L$5005)),0))),"")</f>
        <v/>
      </c>
      <c r="J203" s="298" t="str">
        <f ca="1">IFERROR(IF(IFERROR(SUMPRODUCT((Transactions!$L$9:$L$5005=$D$1)*(Transactions!$M$9:$M$5005=177)*ROW(Transactions!$L$9:$L$5005)),0)=0,"",INDEX(Transactions!$L:$L,IFERROR(SUMPRODUCT((Transactions!$L$9:$L$5005=$D$1)*(Transactions!$M$9:$M$5005=177)*ROW(Transactions!$L$9:$L$5005)),0))),"")</f>
        <v/>
      </c>
      <c r="N203" s="112"/>
      <c r="O203" s="245"/>
      <c r="P203" s="246"/>
      <c r="Q203" s="246"/>
      <c r="R203" s="106"/>
      <c r="S203" s="246"/>
      <c r="T203" s="247"/>
      <c r="X203" s="296" t="str" cm="1">
        <f t="array" aca="1" ref="X203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203" s="245" t="str" cm="1">
        <f t="array" aca="1" ref="Y203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203" s="246" t="str" cm="1">
        <f t="array" aca="1" ref="Z203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203" s="246" t="str" cm="1">
        <f t="array" aca="1" ref="AA203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203" s="106" t="str" cm="1">
        <f t="array" aca="1" ref="AB203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203" s="246" t="str" cm="1">
        <f t="array" aca="1" ref="AC203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203" s="247" t="str" cm="1">
        <f t="array" aca="1" ref="AD203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203" s="305" t="str" cm="1">
        <f t="array" aca="1" ref="AE203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204" spans="3:31" ht="16.5" customHeight="1" x14ac:dyDescent="0.2">
      <c r="C204" s="297" t="str">
        <f ca="1">IFERROR(IF(IFERROR(SUMPRODUCT((Transactions!$L$9:$L$5005=$D$1)*(Transactions!$M$9:$M$5005=178)*ROW(Transactions!$L$9:$L$5005)),0)=0,"",INDEX(Transactions!$C:$C,IFERROR(SUMPRODUCT((Transactions!$L$9:$L$5005=$D$1)*(Transactions!$M$9:$M$5005=178)*ROW(Transactions!$L$9:$L$5005)),0))),"")</f>
        <v/>
      </c>
      <c r="D204" s="107" t="str">
        <f ca="1">IFERROR(IF(IFERROR(SUMPRODUCT((Transactions!$L$9:$L$5005=$D$1)*(Transactions!$M$9:$M$5005=178)*ROW(Transactions!$L$9:$L$5005)),0)=0,"",INDEX(Transactions!$D:$D,IFERROR(SUMPRODUCT((Transactions!$L$9:$L$5005=$D$1)*(Transactions!$M$9:$M$5005=178)*ROW(Transactions!$L$9:$L$5005)),0))),"")</f>
        <v/>
      </c>
      <c r="E204" s="108" t="str">
        <f ca="1">IFERROR(IF(IFERROR(SUMPRODUCT((Transactions!$L$9:$L$5005=$D$1)*(Transactions!$M$9:$M$5005=178)*ROW(Transactions!$L$9:$L$5005)),0)=0,"",INDEX(Transactions!$F:$F,IFERROR(SUMPRODUCT((Transactions!$L$9:$L$5005=$D$1)*(Transactions!$M$9:$M$5005=178)*ROW(Transactions!$L$9:$L$5005)),0))),"")</f>
        <v/>
      </c>
      <c r="F204" s="108" t="str">
        <f ca="1">IFERROR(IF(IFERROR(SUMPRODUCT((Transactions!$L$9:$L$5005=$D$1)*(Transactions!$M$9:$M$5005=178)*ROW(Transactions!$L$9:$L$5005)),0)=0,"",INDEX(Transactions!$G:$G,IFERROR(SUMPRODUCT((Transactions!$L$9:$L$5005=$D$1)*(Transactions!$M$9:$M$5005=178)*ROW(Transactions!$L$9:$L$5005)),0))),"")</f>
        <v/>
      </c>
      <c r="G204" s="109" t="str">
        <f ca="1">IFERROR(IF(IFERROR(SUMPRODUCT((Transactions!$L$9:$L$5005=$D$1)*(Transactions!$M$9:$M$5005=178)*ROW(Transactions!$L$9:$L$5005)),0)=0,"",INDEX(Transactions!$H:$H,IFERROR(SUMPRODUCT((Transactions!$L$9:$L$5005=$D$1)*(Transactions!$M$9:$M$5005=178)*ROW(Transactions!$L$9:$L$5005)),0))),"")</f>
        <v/>
      </c>
      <c r="H204" s="108" t="str">
        <f ca="1">IFERROR(IF(IFERROR(SUMPRODUCT((Transactions!$L$9:$L$5005=$D$1)*(Transactions!$M$9:$M$5005=178)*ROW(Transactions!$L$9:$L$5005)),0)=0,"",INDEX(Transactions!$J:$J,IFERROR(SUMPRODUCT((Transactions!$L$9:$L$5005=$D$1)*(Transactions!$M$9:$M$5005=178)*ROW(Transactions!$L$9:$L$5005)),0))),"")</f>
        <v/>
      </c>
      <c r="I204" s="107" t="str">
        <f ca="1">IFERROR(IF(IFERROR(SUMPRODUCT((Transactions!$L$9:$L$5005=$D$1)*(Transactions!$M$9:$M$5005=178)*ROW(Transactions!$L$9:$L$5005)),0)=0,"",INDEX(Transactions!$K:$K,IFERROR(SUMPRODUCT((Transactions!$L$9:$L$5005=$D$1)*(Transactions!$M$9:$M$5005=178)*ROW(Transactions!$L$9:$L$5005)),0))),"")</f>
        <v/>
      </c>
      <c r="J204" s="299" t="str">
        <f ca="1">IFERROR(IF(IFERROR(SUMPRODUCT((Transactions!$L$9:$L$5005=$D$1)*(Transactions!$M$9:$M$5005=178)*ROW(Transactions!$L$9:$L$5005)),0)=0,"",INDEX(Transactions!$L:$L,IFERROR(SUMPRODUCT((Transactions!$L$9:$L$5005=$D$1)*(Transactions!$M$9:$M$5005=178)*ROW(Transactions!$L$9:$L$5005)),0))),"")</f>
        <v/>
      </c>
      <c r="N204" s="112"/>
      <c r="O204" s="245"/>
      <c r="P204" s="246"/>
      <c r="Q204" s="246"/>
      <c r="R204" s="106"/>
      <c r="S204" s="246"/>
      <c r="T204" s="247"/>
      <c r="X204" s="296" t="str" cm="1">
        <f t="array" aca="1" ref="X204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204" s="245" t="str" cm="1">
        <f t="array" aca="1" ref="Y204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204" s="246" t="str" cm="1">
        <f t="array" aca="1" ref="Z204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204" s="246" t="str" cm="1">
        <f t="array" aca="1" ref="AA204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204" s="106" t="str" cm="1">
        <f t="array" aca="1" ref="AB204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204" s="246" t="str" cm="1">
        <f t="array" aca="1" ref="AC204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204" s="247" t="str" cm="1">
        <f t="array" aca="1" ref="AD204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204" s="305" t="str" cm="1">
        <f t="array" aca="1" ref="AE204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205" spans="3:31" ht="16.5" customHeight="1" x14ac:dyDescent="0.2">
      <c r="C205" s="296" t="str">
        <f ca="1">IFERROR(IF(IFERROR(SUMPRODUCT((Transactions!$L$9:$L$5005=$D$1)*(Transactions!$M$9:$M$5005=179)*ROW(Transactions!$L$9:$L$5005)),0)=0,"",INDEX(Transactions!$C:$C,IFERROR(SUMPRODUCT((Transactions!$L$9:$L$5005=$D$1)*(Transactions!$M$9:$M$5005=179)*ROW(Transactions!$L$9:$L$5005)),0))),"")</f>
        <v/>
      </c>
      <c r="D205" s="104" t="str">
        <f ca="1">IFERROR(IF(IFERROR(SUMPRODUCT((Transactions!$L$9:$L$5005=$D$1)*(Transactions!$M$9:$M$5005=179)*ROW(Transactions!$L$9:$L$5005)),0)=0,"",INDEX(Transactions!$D:$D,IFERROR(SUMPRODUCT((Transactions!$L$9:$L$5005=$D$1)*(Transactions!$M$9:$M$5005=179)*ROW(Transactions!$L$9:$L$5005)),0))),"")</f>
        <v/>
      </c>
      <c r="E205" s="105" t="str">
        <f ca="1">IFERROR(IF(IFERROR(SUMPRODUCT((Transactions!$L$9:$L$5005=$D$1)*(Transactions!$M$9:$M$5005=179)*ROW(Transactions!$L$9:$L$5005)),0)=0,"",INDEX(Transactions!$F:$F,IFERROR(SUMPRODUCT((Transactions!$L$9:$L$5005=$D$1)*(Transactions!$M$9:$M$5005=179)*ROW(Transactions!$L$9:$L$5005)),0))),"")</f>
        <v/>
      </c>
      <c r="F205" s="105" t="str">
        <f ca="1">IFERROR(IF(IFERROR(SUMPRODUCT((Transactions!$L$9:$L$5005=$D$1)*(Transactions!$M$9:$M$5005=179)*ROW(Transactions!$L$9:$L$5005)),0)=0,"",INDEX(Transactions!$G:$G,IFERROR(SUMPRODUCT((Transactions!$L$9:$L$5005=$D$1)*(Transactions!$M$9:$M$5005=179)*ROW(Transactions!$L$9:$L$5005)),0))),"")</f>
        <v/>
      </c>
      <c r="G205" s="106" t="str">
        <f ca="1">IFERROR(IF(IFERROR(SUMPRODUCT((Transactions!$L$9:$L$5005=$D$1)*(Transactions!$M$9:$M$5005=179)*ROW(Transactions!$L$9:$L$5005)),0)=0,"",INDEX(Transactions!$H:$H,IFERROR(SUMPRODUCT((Transactions!$L$9:$L$5005=$D$1)*(Transactions!$M$9:$M$5005=179)*ROW(Transactions!$L$9:$L$5005)),0))),"")</f>
        <v/>
      </c>
      <c r="H205" s="105" t="str">
        <f ca="1">IFERROR(IF(IFERROR(SUMPRODUCT((Transactions!$L$9:$L$5005=$D$1)*(Transactions!$M$9:$M$5005=179)*ROW(Transactions!$L$9:$L$5005)),0)=0,"",INDEX(Transactions!$J:$J,IFERROR(SUMPRODUCT((Transactions!$L$9:$L$5005=$D$1)*(Transactions!$M$9:$M$5005=179)*ROW(Transactions!$L$9:$L$5005)),0))),"")</f>
        <v/>
      </c>
      <c r="I205" s="104" t="str">
        <f ca="1">IFERROR(IF(IFERROR(SUMPRODUCT((Transactions!$L$9:$L$5005=$D$1)*(Transactions!$M$9:$M$5005=179)*ROW(Transactions!$L$9:$L$5005)),0)=0,"",INDEX(Transactions!$K:$K,IFERROR(SUMPRODUCT((Transactions!$L$9:$L$5005=$D$1)*(Transactions!$M$9:$M$5005=179)*ROW(Transactions!$L$9:$L$5005)),0))),"")</f>
        <v/>
      </c>
      <c r="J205" s="298" t="str">
        <f ca="1">IFERROR(IF(IFERROR(SUMPRODUCT((Transactions!$L$9:$L$5005=$D$1)*(Transactions!$M$9:$M$5005=179)*ROW(Transactions!$L$9:$L$5005)),0)=0,"",INDEX(Transactions!$L:$L,IFERROR(SUMPRODUCT((Transactions!$L$9:$L$5005=$D$1)*(Transactions!$M$9:$M$5005=179)*ROW(Transactions!$L$9:$L$5005)),0))),"")</f>
        <v/>
      </c>
      <c r="N205" s="112"/>
      <c r="O205" s="245"/>
      <c r="P205" s="246"/>
      <c r="Q205" s="246"/>
      <c r="R205" s="106"/>
      <c r="S205" s="246"/>
      <c r="T205" s="247"/>
      <c r="X205" s="296" t="str" cm="1">
        <f t="array" aca="1" ref="X205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205" s="245" t="str" cm="1">
        <f t="array" aca="1" ref="Y205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205" s="246" t="str" cm="1">
        <f t="array" aca="1" ref="Z205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205" s="246" t="str" cm="1">
        <f t="array" aca="1" ref="AA205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205" s="106" t="str" cm="1">
        <f t="array" aca="1" ref="AB205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205" s="246" t="str" cm="1">
        <f t="array" aca="1" ref="AC205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205" s="247" t="str" cm="1">
        <f t="array" aca="1" ref="AD205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205" s="305" t="str" cm="1">
        <f t="array" aca="1" ref="AE205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206" spans="3:31" ht="16.5" customHeight="1" x14ac:dyDescent="0.2">
      <c r="C206" s="297" t="str">
        <f ca="1">IFERROR(IF(IFERROR(SUMPRODUCT((Transactions!$L$9:$L$5005=$D$1)*(Transactions!$M$9:$M$5005=180)*ROW(Transactions!$L$9:$L$5005)),0)=0,"",INDEX(Transactions!$C:$C,IFERROR(SUMPRODUCT((Transactions!$L$9:$L$5005=$D$1)*(Transactions!$M$9:$M$5005=180)*ROW(Transactions!$L$9:$L$5005)),0))),"")</f>
        <v/>
      </c>
      <c r="D206" s="107" t="str">
        <f ca="1">IFERROR(IF(IFERROR(SUMPRODUCT((Transactions!$L$9:$L$5005=$D$1)*(Transactions!$M$9:$M$5005=180)*ROW(Transactions!$L$9:$L$5005)),0)=0,"",INDEX(Transactions!$D:$D,IFERROR(SUMPRODUCT((Transactions!$L$9:$L$5005=$D$1)*(Transactions!$M$9:$M$5005=180)*ROW(Transactions!$L$9:$L$5005)),0))),"")</f>
        <v/>
      </c>
      <c r="E206" s="108" t="str">
        <f ca="1">IFERROR(IF(IFERROR(SUMPRODUCT((Transactions!$L$9:$L$5005=$D$1)*(Transactions!$M$9:$M$5005=180)*ROW(Transactions!$L$9:$L$5005)),0)=0,"",INDEX(Transactions!$F:$F,IFERROR(SUMPRODUCT((Transactions!$L$9:$L$5005=$D$1)*(Transactions!$M$9:$M$5005=180)*ROW(Transactions!$L$9:$L$5005)),0))),"")</f>
        <v/>
      </c>
      <c r="F206" s="108" t="str">
        <f ca="1">IFERROR(IF(IFERROR(SUMPRODUCT((Transactions!$L$9:$L$5005=$D$1)*(Transactions!$M$9:$M$5005=180)*ROW(Transactions!$L$9:$L$5005)),0)=0,"",INDEX(Transactions!$G:$G,IFERROR(SUMPRODUCT((Transactions!$L$9:$L$5005=$D$1)*(Transactions!$M$9:$M$5005=180)*ROW(Transactions!$L$9:$L$5005)),0))),"")</f>
        <v/>
      </c>
      <c r="G206" s="109" t="str">
        <f ca="1">IFERROR(IF(IFERROR(SUMPRODUCT((Transactions!$L$9:$L$5005=$D$1)*(Transactions!$M$9:$M$5005=180)*ROW(Transactions!$L$9:$L$5005)),0)=0,"",INDEX(Transactions!$H:$H,IFERROR(SUMPRODUCT((Transactions!$L$9:$L$5005=$D$1)*(Transactions!$M$9:$M$5005=180)*ROW(Transactions!$L$9:$L$5005)),0))),"")</f>
        <v/>
      </c>
      <c r="H206" s="108" t="str">
        <f ca="1">IFERROR(IF(IFERROR(SUMPRODUCT((Transactions!$L$9:$L$5005=$D$1)*(Transactions!$M$9:$M$5005=180)*ROW(Transactions!$L$9:$L$5005)),0)=0,"",INDEX(Transactions!$J:$J,IFERROR(SUMPRODUCT((Transactions!$L$9:$L$5005=$D$1)*(Transactions!$M$9:$M$5005=180)*ROW(Transactions!$L$9:$L$5005)),0))),"")</f>
        <v/>
      </c>
      <c r="I206" s="107" t="str">
        <f ca="1">IFERROR(IF(IFERROR(SUMPRODUCT((Transactions!$L$9:$L$5005=$D$1)*(Transactions!$M$9:$M$5005=180)*ROW(Transactions!$L$9:$L$5005)),0)=0,"",INDEX(Transactions!$K:$K,IFERROR(SUMPRODUCT((Transactions!$L$9:$L$5005=$D$1)*(Transactions!$M$9:$M$5005=180)*ROW(Transactions!$L$9:$L$5005)),0))),"")</f>
        <v/>
      </c>
      <c r="J206" s="299" t="str">
        <f ca="1">IFERROR(IF(IFERROR(SUMPRODUCT((Transactions!$L$9:$L$5005=$D$1)*(Transactions!$M$9:$M$5005=180)*ROW(Transactions!$L$9:$L$5005)),0)=0,"",INDEX(Transactions!$L:$L,IFERROR(SUMPRODUCT((Transactions!$L$9:$L$5005=$D$1)*(Transactions!$M$9:$M$5005=180)*ROW(Transactions!$L$9:$L$5005)),0))),"")</f>
        <v/>
      </c>
      <c r="N206" s="112"/>
      <c r="O206" s="245"/>
      <c r="P206" s="246"/>
      <c r="Q206" s="246"/>
      <c r="R206" s="106"/>
      <c r="S206" s="246"/>
      <c r="T206" s="247"/>
      <c r="X206" s="296" t="str" cm="1">
        <f t="array" aca="1" ref="X206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206" s="245" t="str" cm="1">
        <f t="array" aca="1" ref="Y206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206" s="246" t="str" cm="1">
        <f t="array" aca="1" ref="Z206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206" s="246" t="str" cm="1">
        <f t="array" aca="1" ref="AA206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206" s="106" t="str" cm="1">
        <f t="array" aca="1" ref="AB206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206" s="246" t="str" cm="1">
        <f t="array" aca="1" ref="AC206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206" s="247" t="str" cm="1">
        <f t="array" aca="1" ref="AD206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206" s="305" t="str" cm="1">
        <f t="array" aca="1" ref="AE206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207" spans="3:31" ht="16.5" customHeight="1" x14ac:dyDescent="0.2">
      <c r="C207" s="296" t="str">
        <f ca="1">IFERROR(IF(IFERROR(SUMPRODUCT((Transactions!$L$9:$L$5005=$D$1)*(Transactions!$M$9:$M$5005=181)*ROW(Transactions!$L$9:$L$5005)),0)=0,"",INDEX(Transactions!$C:$C,IFERROR(SUMPRODUCT((Transactions!$L$9:$L$5005=$D$1)*(Transactions!$M$9:$M$5005=181)*ROW(Transactions!$L$9:$L$5005)),0))),"")</f>
        <v/>
      </c>
      <c r="D207" s="104" t="str">
        <f ca="1">IFERROR(IF(IFERROR(SUMPRODUCT((Transactions!$L$9:$L$5005=$D$1)*(Transactions!$M$9:$M$5005=181)*ROW(Transactions!$L$9:$L$5005)),0)=0,"",INDEX(Transactions!$D:$D,IFERROR(SUMPRODUCT((Transactions!$L$9:$L$5005=$D$1)*(Transactions!$M$9:$M$5005=181)*ROW(Transactions!$L$9:$L$5005)),0))),"")</f>
        <v/>
      </c>
      <c r="E207" s="105" t="str">
        <f ca="1">IFERROR(IF(IFERROR(SUMPRODUCT((Transactions!$L$9:$L$5005=$D$1)*(Transactions!$M$9:$M$5005=181)*ROW(Transactions!$L$9:$L$5005)),0)=0,"",INDEX(Transactions!$F:$F,IFERROR(SUMPRODUCT((Transactions!$L$9:$L$5005=$D$1)*(Transactions!$M$9:$M$5005=181)*ROW(Transactions!$L$9:$L$5005)),0))),"")</f>
        <v/>
      </c>
      <c r="F207" s="105" t="str">
        <f ca="1">IFERROR(IF(IFERROR(SUMPRODUCT((Transactions!$L$9:$L$5005=$D$1)*(Transactions!$M$9:$M$5005=181)*ROW(Transactions!$L$9:$L$5005)),0)=0,"",INDEX(Transactions!$G:$G,IFERROR(SUMPRODUCT((Transactions!$L$9:$L$5005=$D$1)*(Transactions!$M$9:$M$5005=181)*ROW(Transactions!$L$9:$L$5005)),0))),"")</f>
        <v/>
      </c>
      <c r="G207" s="106" t="str">
        <f ca="1">IFERROR(IF(IFERROR(SUMPRODUCT((Transactions!$L$9:$L$5005=$D$1)*(Transactions!$M$9:$M$5005=181)*ROW(Transactions!$L$9:$L$5005)),0)=0,"",INDEX(Transactions!$H:$H,IFERROR(SUMPRODUCT((Transactions!$L$9:$L$5005=$D$1)*(Transactions!$M$9:$M$5005=181)*ROW(Transactions!$L$9:$L$5005)),0))),"")</f>
        <v/>
      </c>
      <c r="H207" s="105" t="str">
        <f ca="1">IFERROR(IF(IFERROR(SUMPRODUCT((Transactions!$L$9:$L$5005=$D$1)*(Transactions!$M$9:$M$5005=181)*ROW(Transactions!$L$9:$L$5005)),0)=0,"",INDEX(Transactions!$J:$J,IFERROR(SUMPRODUCT((Transactions!$L$9:$L$5005=$D$1)*(Transactions!$M$9:$M$5005=181)*ROW(Transactions!$L$9:$L$5005)),0))),"")</f>
        <v/>
      </c>
      <c r="I207" s="104" t="str">
        <f ca="1">IFERROR(IF(IFERROR(SUMPRODUCT((Transactions!$L$9:$L$5005=$D$1)*(Transactions!$M$9:$M$5005=181)*ROW(Transactions!$L$9:$L$5005)),0)=0,"",INDEX(Transactions!$K:$K,IFERROR(SUMPRODUCT((Transactions!$L$9:$L$5005=$D$1)*(Transactions!$M$9:$M$5005=181)*ROW(Transactions!$L$9:$L$5005)),0))),"")</f>
        <v/>
      </c>
      <c r="J207" s="298" t="str">
        <f ca="1">IFERROR(IF(IFERROR(SUMPRODUCT((Transactions!$L$9:$L$5005=$D$1)*(Transactions!$M$9:$M$5005=181)*ROW(Transactions!$L$9:$L$5005)),0)=0,"",INDEX(Transactions!$L:$L,IFERROR(SUMPRODUCT((Transactions!$L$9:$L$5005=$D$1)*(Transactions!$M$9:$M$5005=181)*ROW(Transactions!$L$9:$L$5005)),0))),"")</f>
        <v/>
      </c>
      <c r="N207" s="112"/>
      <c r="O207" s="245"/>
      <c r="P207" s="246"/>
      <c r="Q207" s="246"/>
      <c r="R207" s="106"/>
      <c r="S207" s="246"/>
      <c r="T207" s="247"/>
      <c r="X207" s="296" t="str" cm="1">
        <f t="array" aca="1" ref="X207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207" s="245" t="str" cm="1">
        <f t="array" aca="1" ref="Y207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207" s="246" t="str" cm="1">
        <f t="array" aca="1" ref="Z207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207" s="246" t="str" cm="1">
        <f t="array" aca="1" ref="AA207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207" s="106" t="str" cm="1">
        <f t="array" aca="1" ref="AB207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207" s="246" t="str" cm="1">
        <f t="array" aca="1" ref="AC207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207" s="247" t="str" cm="1">
        <f t="array" aca="1" ref="AD207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207" s="305" t="str" cm="1">
        <f t="array" aca="1" ref="AE207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208" spans="3:31" ht="16.5" customHeight="1" x14ac:dyDescent="0.2">
      <c r="C208" s="297" t="str">
        <f ca="1">IFERROR(IF(IFERROR(SUMPRODUCT((Transactions!$L$9:$L$5005=$D$1)*(Transactions!$M$9:$M$5005=182)*ROW(Transactions!$L$9:$L$5005)),0)=0,"",INDEX(Transactions!$C:$C,IFERROR(SUMPRODUCT((Transactions!$L$9:$L$5005=$D$1)*(Transactions!$M$9:$M$5005=182)*ROW(Transactions!$L$9:$L$5005)),0))),"")</f>
        <v/>
      </c>
      <c r="D208" s="107" t="str">
        <f ca="1">IFERROR(IF(IFERROR(SUMPRODUCT((Transactions!$L$9:$L$5005=$D$1)*(Transactions!$M$9:$M$5005=182)*ROW(Transactions!$L$9:$L$5005)),0)=0,"",INDEX(Transactions!$D:$D,IFERROR(SUMPRODUCT((Transactions!$L$9:$L$5005=$D$1)*(Transactions!$M$9:$M$5005=182)*ROW(Transactions!$L$9:$L$5005)),0))),"")</f>
        <v/>
      </c>
      <c r="E208" s="108" t="str">
        <f ca="1">IFERROR(IF(IFERROR(SUMPRODUCT((Transactions!$L$9:$L$5005=$D$1)*(Transactions!$M$9:$M$5005=182)*ROW(Transactions!$L$9:$L$5005)),0)=0,"",INDEX(Transactions!$F:$F,IFERROR(SUMPRODUCT((Transactions!$L$9:$L$5005=$D$1)*(Transactions!$M$9:$M$5005=182)*ROW(Transactions!$L$9:$L$5005)),0))),"")</f>
        <v/>
      </c>
      <c r="F208" s="108" t="str">
        <f ca="1">IFERROR(IF(IFERROR(SUMPRODUCT((Transactions!$L$9:$L$5005=$D$1)*(Transactions!$M$9:$M$5005=182)*ROW(Transactions!$L$9:$L$5005)),0)=0,"",INDEX(Transactions!$G:$G,IFERROR(SUMPRODUCT((Transactions!$L$9:$L$5005=$D$1)*(Transactions!$M$9:$M$5005=182)*ROW(Transactions!$L$9:$L$5005)),0))),"")</f>
        <v/>
      </c>
      <c r="G208" s="109" t="str">
        <f ca="1">IFERROR(IF(IFERROR(SUMPRODUCT((Transactions!$L$9:$L$5005=$D$1)*(Transactions!$M$9:$M$5005=182)*ROW(Transactions!$L$9:$L$5005)),0)=0,"",INDEX(Transactions!$H:$H,IFERROR(SUMPRODUCT((Transactions!$L$9:$L$5005=$D$1)*(Transactions!$M$9:$M$5005=182)*ROW(Transactions!$L$9:$L$5005)),0))),"")</f>
        <v/>
      </c>
      <c r="H208" s="108" t="str">
        <f ca="1">IFERROR(IF(IFERROR(SUMPRODUCT((Transactions!$L$9:$L$5005=$D$1)*(Transactions!$M$9:$M$5005=182)*ROW(Transactions!$L$9:$L$5005)),0)=0,"",INDEX(Transactions!$J:$J,IFERROR(SUMPRODUCT((Transactions!$L$9:$L$5005=$D$1)*(Transactions!$M$9:$M$5005=182)*ROW(Transactions!$L$9:$L$5005)),0))),"")</f>
        <v/>
      </c>
      <c r="I208" s="107" t="str">
        <f ca="1">IFERROR(IF(IFERROR(SUMPRODUCT((Transactions!$L$9:$L$5005=$D$1)*(Transactions!$M$9:$M$5005=182)*ROW(Transactions!$L$9:$L$5005)),0)=0,"",INDEX(Transactions!$K:$K,IFERROR(SUMPRODUCT((Transactions!$L$9:$L$5005=$D$1)*(Transactions!$M$9:$M$5005=182)*ROW(Transactions!$L$9:$L$5005)),0))),"")</f>
        <v/>
      </c>
      <c r="J208" s="299" t="str">
        <f ca="1">IFERROR(IF(IFERROR(SUMPRODUCT((Transactions!$L$9:$L$5005=$D$1)*(Transactions!$M$9:$M$5005=182)*ROW(Transactions!$L$9:$L$5005)),0)=0,"",INDEX(Transactions!$L:$L,IFERROR(SUMPRODUCT((Transactions!$L$9:$L$5005=$D$1)*(Transactions!$M$9:$M$5005=182)*ROW(Transactions!$L$9:$L$5005)),0))),"")</f>
        <v/>
      </c>
      <c r="N208" s="112"/>
      <c r="O208" s="245"/>
      <c r="P208" s="246"/>
      <c r="Q208" s="246"/>
      <c r="R208" s="106"/>
      <c r="S208" s="246"/>
      <c r="T208" s="247"/>
      <c r="X208" s="296" t="str" cm="1">
        <f t="array" aca="1" ref="X208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208" s="245" t="str" cm="1">
        <f t="array" aca="1" ref="Y208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208" s="246" t="str" cm="1">
        <f t="array" aca="1" ref="Z208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208" s="246" t="str" cm="1">
        <f t="array" aca="1" ref="AA208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208" s="106" t="str" cm="1">
        <f t="array" aca="1" ref="AB208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208" s="246" t="str" cm="1">
        <f t="array" aca="1" ref="AC208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208" s="247" t="str" cm="1">
        <f t="array" aca="1" ref="AD208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208" s="305" t="str" cm="1">
        <f t="array" aca="1" ref="AE208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209" spans="3:31" ht="16.5" customHeight="1" x14ac:dyDescent="0.2">
      <c r="C209" s="296" t="str">
        <f ca="1">IFERROR(IF(IFERROR(SUMPRODUCT((Transactions!$L$9:$L$5005=$D$1)*(Transactions!$M$9:$M$5005=183)*ROW(Transactions!$L$9:$L$5005)),0)=0,"",INDEX(Transactions!$C:$C,IFERROR(SUMPRODUCT((Transactions!$L$9:$L$5005=$D$1)*(Transactions!$M$9:$M$5005=183)*ROW(Transactions!$L$9:$L$5005)),0))),"")</f>
        <v/>
      </c>
      <c r="D209" s="104" t="str">
        <f ca="1">IFERROR(IF(IFERROR(SUMPRODUCT((Transactions!$L$9:$L$5005=$D$1)*(Transactions!$M$9:$M$5005=183)*ROW(Transactions!$L$9:$L$5005)),0)=0,"",INDEX(Transactions!$D:$D,IFERROR(SUMPRODUCT((Transactions!$L$9:$L$5005=$D$1)*(Transactions!$M$9:$M$5005=183)*ROW(Transactions!$L$9:$L$5005)),0))),"")</f>
        <v/>
      </c>
      <c r="E209" s="105" t="str">
        <f ca="1">IFERROR(IF(IFERROR(SUMPRODUCT((Transactions!$L$9:$L$5005=$D$1)*(Transactions!$M$9:$M$5005=183)*ROW(Transactions!$L$9:$L$5005)),0)=0,"",INDEX(Transactions!$F:$F,IFERROR(SUMPRODUCT((Transactions!$L$9:$L$5005=$D$1)*(Transactions!$M$9:$M$5005=183)*ROW(Transactions!$L$9:$L$5005)),0))),"")</f>
        <v/>
      </c>
      <c r="F209" s="105" t="str">
        <f ca="1">IFERROR(IF(IFERROR(SUMPRODUCT((Transactions!$L$9:$L$5005=$D$1)*(Transactions!$M$9:$M$5005=183)*ROW(Transactions!$L$9:$L$5005)),0)=0,"",INDEX(Transactions!$G:$G,IFERROR(SUMPRODUCT((Transactions!$L$9:$L$5005=$D$1)*(Transactions!$M$9:$M$5005=183)*ROW(Transactions!$L$9:$L$5005)),0))),"")</f>
        <v/>
      </c>
      <c r="G209" s="106" t="str">
        <f ca="1">IFERROR(IF(IFERROR(SUMPRODUCT((Transactions!$L$9:$L$5005=$D$1)*(Transactions!$M$9:$M$5005=183)*ROW(Transactions!$L$9:$L$5005)),0)=0,"",INDEX(Transactions!$H:$H,IFERROR(SUMPRODUCT((Transactions!$L$9:$L$5005=$D$1)*(Transactions!$M$9:$M$5005=183)*ROW(Transactions!$L$9:$L$5005)),0))),"")</f>
        <v/>
      </c>
      <c r="H209" s="105" t="str">
        <f ca="1">IFERROR(IF(IFERROR(SUMPRODUCT((Transactions!$L$9:$L$5005=$D$1)*(Transactions!$M$9:$M$5005=183)*ROW(Transactions!$L$9:$L$5005)),0)=0,"",INDEX(Transactions!$J:$J,IFERROR(SUMPRODUCT((Transactions!$L$9:$L$5005=$D$1)*(Transactions!$M$9:$M$5005=183)*ROW(Transactions!$L$9:$L$5005)),0))),"")</f>
        <v/>
      </c>
      <c r="I209" s="104" t="str">
        <f ca="1">IFERROR(IF(IFERROR(SUMPRODUCT((Transactions!$L$9:$L$5005=$D$1)*(Transactions!$M$9:$M$5005=183)*ROW(Transactions!$L$9:$L$5005)),0)=0,"",INDEX(Transactions!$K:$K,IFERROR(SUMPRODUCT((Transactions!$L$9:$L$5005=$D$1)*(Transactions!$M$9:$M$5005=183)*ROW(Transactions!$L$9:$L$5005)),0))),"")</f>
        <v/>
      </c>
      <c r="J209" s="298" t="str">
        <f ca="1">IFERROR(IF(IFERROR(SUMPRODUCT((Transactions!$L$9:$L$5005=$D$1)*(Transactions!$M$9:$M$5005=183)*ROW(Transactions!$L$9:$L$5005)),0)=0,"",INDEX(Transactions!$L:$L,IFERROR(SUMPRODUCT((Transactions!$L$9:$L$5005=$D$1)*(Transactions!$M$9:$M$5005=183)*ROW(Transactions!$L$9:$L$5005)),0))),"")</f>
        <v/>
      </c>
      <c r="N209" s="112"/>
      <c r="O209" s="245"/>
      <c r="P209" s="246"/>
      <c r="Q209" s="246"/>
      <c r="R209" s="106"/>
      <c r="S209" s="246"/>
      <c r="T209" s="247"/>
      <c r="X209" s="306" t="str" cm="1">
        <f t="array" aca="1" ref="X209" ca="1">IFERROR(IF(IFERROR(SUMPRODUCT(
  (Cashflow!$D$9:$D$4993=$X$1)
  *(Cashflow!$L$9:$L$4993=ROW()-9)
  *ROW(Cashflow!$D$9:$D$4993)
),0)=0,"",
INDEX(Cashflow!$C:$C,SUMPRODUCT(
  (Cashflow!$D$9:$D$4993=$X$1)
  *(Cashflow!$L$9:$L$4993=ROW()-9)
  *ROW(Cashflow!$D$9:$D$4993)
))),"")</f>
        <v/>
      </c>
      <c r="Y209" s="307" t="str" cm="1">
        <f t="array" aca="1" ref="Y209" ca="1">IFERROR(IF(IFERROR(SUMPRODUCT(
  (Cashflow!$D$9:$D$4993=$X$1)
  *(Cashflow!$L$9:$L$4993=ROW()-9)
  *ROW(Cashflow!$D$9:$D$4993)
),0)=0,"",
INDEX(Cashflow!$D:$D,SUMPRODUCT(
  (Cashflow!$D$9:$D$4993=$X$1)
  *(Cashflow!$L$9:$L$4993=ROW()-9)
  *ROW(Cashflow!$D$9:$D$4993)
))),"")</f>
        <v/>
      </c>
      <c r="Z209" s="308" t="str" cm="1">
        <f t="array" aca="1" ref="Z209" ca="1">IFERROR(IF(IFERROR(SUMPRODUCT(
  (Cashflow!$D$9:$D$4993=$X$1)
  *(Cashflow!$L$9:$L$4993=ROW()-9)
  *ROW(Cashflow!$D$9:$D$4993)
),0)=0,"",
INDEX(Cashflow!$F:$F,SUMPRODUCT(
  (Cashflow!$D$9:$D$4993=$X$1)
  *(Cashflow!$L$9:$L$4993=ROW()-9)
  *ROW(Cashflow!$D$9:$D$4993)
))),"")</f>
        <v/>
      </c>
      <c r="AA209" s="308" t="str" cm="1">
        <f t="array" aca="1" ref="AA209" ca="1">IFERROR(IF(IFERROR(SUMPRODUCT(
  (Cashflow!$D$9:$D$4993=$X$1)
  *(Cashflow!$L$9:$L$4993=ROW()-9)
  *ROW(Cashflow!$D$9:$D$4993)
),0)=0,"",
INDEX(Cashflow!$G:$G,SUMPRODUCT(
  (Cashflow!$D$9:$D$4993=$X$1)
  *(Cashflow!$L$9:$L$4993=ROW()-9)
  *ROW(Cashflow!$D$9:$D$4993)
))),"")</f>
        <v/>
      </c>
      <c r="AB209" s="309" t="str" cm="1">
        <f t="array" aca="1" ref="AB209" ca="1">IFERROR(IF(IFERROR(SUMPRODUCT(
  (Cashflow!$D$9:$D$4993=$X$1)
  *(Cashflow!$L$9:$L$4993=ROW()-9)
  *ROW(Cashflow!$D$9:$D$4993)
),0)=0,"",
INDEX(Cashflow!$H:$H,SUMPRODUCT(
  (Cashflow!$D$9:$D$4993=$X$1)
  *(Cashflow!$L$9:$L$4993=ROW()-9)
  *ROW(Cashflow!$D$9:$D$4993)
))),"")</f>
        <v/>
      </c>
      <c r="AC209" s="308" t="str" cm="1">
        <f t="array" aca="1" ref="AC209" ca="1">IFERROR(IF(IFERROR(SUMPRODUCT(
  (Cashflow!$D$9:$D$4993=$X$1)
  *(Cashflow!$L$9:$L$4993=ROW()-9)
  *ROW(Cashflow!$D$9:$D$4993)
),0)=0,"",
INDEX(Cashflow!$I:$I,SUMPRODUCT(
  (Cashflow!$D$9:$D$4993=$X$1)
  *(Cashflow!$L$9:$L$4993=ROW()-9)
  *ROW(Cashflow!$D$9:$D$4993)
))),"")</f>
        <v/>
      </c>
      <c r="AD209" s="310" t="str" cm="1">
        <f t="array" aca="1" ref="AD209" ca="1">IFERROR(IF(IFERROR(SUMPRODUCT(
  (Cashflow!$D$9:$D$4993=$X$1)
  *(Cashflow!$L$9:$L$4993=ROW()-9)
  *ROW(Cashflow!$D$9:$D$4993)
),0)=0,"",
INDEX(Cashflow!$J:$J,SUMPRODUCT(
  (Cashflow!$D$9:$D$4993=$X$1)
  *(Cashflow!$L$9:$L$4993=ROW()-9)
  *ROW(Cashflow!$D$9:$D$4993)
))),"")</f>
        <v/>
      </c>
      <c r="AE209" s="311" t="str" cm="1">
        <f t="array" aca="1" ref="AE209" ca="1">IFERROR(IF(IFERROR(SUMPRODUCT(
  (Cashflow!$D$9:$D$4993=$X$1)
  *(Cashflow!$L$9:$L$4993=ROW()-9)
  *ROW(Cashflow!$D$9:$D$4993)
),0)=0,"",
INDEX(Cashflow!$K:$K,SUMPRODUCT(
  (Cashflow!$D$9:$D$4993=$X$1)
  *(Cashflow!$L$9:$L$4993=ROW()-9)
  *ROW(Cashflow!$D$9:$D$4993)
))),"")</f>
        <v/>
      </c>
    </row>
    <row r="210" spans="3:31" ht="16.5" customHeight="1" x14ac:dyDescent="0.2">
      <c r="C210" s="297" t="str">
        <f ca="1">IFERROR(IF(IFERROR(SUMPRODUCT((Transactions!$L$9:$L$5005=$D$1)*(Transactions!$M$9:$M$5005=184)*ROW(Transactions!$L$9:$L$5005)),0)=0,"",INDEX(Transactions!$C:$C,IFERROR(SUMPRODUCT((Transactions!$L$9:$L$5005=$D$1)*(Transactions!$M$9:$M$5005=184)*ROW(Transactions!$L$9:$L$5005)),0))),"")</f>
        <v/>
      </c>
      <c r="D210" s="107" t="str">
        <f ca="1">IFERROR(IF(IFERROR(SUMPRODUCT((Transactions!$L$9:$L$5005=$D$1)*(Transactions!$M$9:$M$5005=184)*ROW(Transactions!$L$9:$L$5005)),0)=0,"",INDEX(Transactions!$D:$D,IFERROR(SUMPRODUCT((Transactions!$L$9:$L$5005=$D$1)*(Transactions!$M$9:$M$5005=184)*ROW(Transactions!$L$9:$L$5005)),0))),"")</f>
        <v/>
      </c>
      <c r="E210" s="108" t="str">
        <f ca="1">IFERROR(IF(IFERROR(SUMPRODUCT((Transactions!$L$9:$L$5005=$D$1)*(Transactions!$M$9:$M$5005=184)*ROW(Transactions!$L$9:$L$5005)),0)=0,"",INDEX(Transactions!$F:$F,IFERROR(SUMPRODUCT((Transactions!$L$9:$L$5005=$D$1)*(Transactions!$M$9:$M$5005=184)*ROW(Transactions!$L$9:$L$5005)),0))),"")</f>
        <v/>
      </c>
      <c r="F210" s="108" t="str">
        <f ca="1">IFERROR(IF(IFERROR(SUMPRODUCT((Transactions!$L$9:$L$5005=$D$1)*(Transactions!$M$9:$M$5005=184)*ROW(Transactions!$L$9:$L$5005)),0)=0,"",INDEX(Transactions!$G:$G,IFERROR(SUMPRODUCT((Transactions!$L$9:$L$5005=$D$1)*(Transactions!$M$9:$M$5005=184)*ROW(Transactions!$L$9:$L$5005)),0))),"")</f>
        <v/>
      </c>
      <c r="G210" s="109" t="str">
        <f ca="1">IFERROR(IF(IFERROR(SUMPRODUCT((Transactions!$L$9:$L$5005=$D$1)*(Transactions!$M$9:$M$5005=184)*ROW(Transactions!$L$9:$L$5005)),0)=0,"",INDEX(Transactions!$H:$H,IFERROR(SUMPRODUCT((Transactions!$L$9:$L$5005=$D$1)*(Transactions!$M$9:$M$5005=184)*ROW(Transactions!$L$9:$L$5005)),0))),"")</f>
        <v/>
      </c>
      <c r="H210" s="108" t="str">
        <f ca="1">IFERROR(IF(IFERROR(SUMPRODUCT((Transactions!$L$9:$L$5005=$D$1)*(Transactions!$M$9:$M$5005=184)*ROW(Transactions!$L$9:$L$5005)),0)=0,"",INDEX(Transactions!$J:$J,IFERROR(SUMPRODUCT((Transactions!$L$9:$L$5005=$D$1)*(Transactions!$M$9:$M$5005=184)*ROW(Transactions!$L$9:$L$5005)),0))),"")</f>
        <v/>
      </c>
      <c r="I210" s="107" t="str">
        <f ca="1">IFERROR(IF(IFERROR(SUMPRODUCT((Transactions!$L$9:$L$5005=$D$1)*(Transactions!$M$9:$M$5005=184)*ROW(Transactions!$L$9:$L$5005)),0)=0,"",INDEX(Transactions!$K:$K,IFERROR(SUMPRODUCT((Transactions!$L$9:$L$5005=$D$1)*(Transactions!$M$9:$M$5005=184)*ROW(Transactions!$L$9:$L$5005)),0))),"")</f>
        <v/>
      </c>
      <c r="J210" s="299" t="str">
        <f ca="1">IFERROR(IF(IFERROR(SUMPRODUCT((Transactions!$L$9:$L$5005=$D$1)*(Transactions!$M$9:$M$5005=184)*ROW(Transactions!$L$9:$L$5005)),0)=0,"",INDEX(Transactions!$L:$L,IFERROR(SUMPRODUCT((Transactions!$L$9:$L$5005=$D$1)*(Transactions!$M$9:$M$5005=184)*ROW(Transactions!$L$9:$L$5005)),0))),"")</f>
        <v/>
      </c>
    </row>
    <row r="211" spans="3:31" ht="16.5" customHeight="1" x14ac:dyDescent="0.2">
      <c r="C211" s="296" t="str">
        <f ca="1">IFERROR(IF(IFERROR(SUMPRODUCT((Transactions!$L$9:$L$5005=$D$1)*(Transactions!$M$9:$M$5005=185)*ROW(Transactions!$L$9:$L$5005)),0)=0,"",INDEX(Transactions!$C:$C,IFERROR(SUMPRODUCT((Transactions!$L$9:$L$5005=$D$1)*(Transactions!$M$9:$M$5005=185)*ROW(Transactions!$L$9:$L$5005)),0))),"")</f>
        <v/>
      </c>
      <c r="D211" s="104" t="str">
        <f ca="1">IFERROR(IF(IFERROR(SUMPRODUCT((Transactions!$L$9:$L$5005=$D$1)*(Transactions!$M$9:$M$5005=185)*ROW(Transactions!$L$9:$L$5005)),0)=0,"",INDEX(Transactions!$D:$D,IFERROR(SUMPRODUCT((Transactions!$L$9:$L$5005=$D$1)*(Transactions!$M$9:$M$5005=185)*ROW(Transactions!$L$9:$L$5005)),0))),"")</f>
        <v/>
      </c>
      <c r="E211" s="105" t="str">
        <f ca="1">IFERROR(IF(IFERROR(SUMPRODUCT((Transactions!$L$9:$L$5005=$D$1)*(Transactions!$M$9:$M$5005=185)*ROW(Transactions!$L$9:$L$5005)),0)=0,"",INDEX(Transactions!$F:$F,IFERROR(SUMPRODUCT((Transactions!$L$9:$L$5005=$D$1)*(Transactions!$M$9:$M$5005=185)*ROW(Transactions!$L$9:$L$5005)),0))),"")</f>
        <v/>
      </c>
      <c r="F211" s="105" t="str">
        <f ca="1">IFERROR(IF(IFERROR(SUMPRODUCT((Transactions!$L$9:$L$5005=$D$1)*(Transactions!$M$9:$M$5005=185)*ROW(Transactions!$L$9:$L$5005)),0)=0,"",INDEX(Transactions!$G:$G,IFERROR(SUMPRODUCT((Transactions!$L$9:$L$5005=$D$1)*(Transactions!$M$9:$M$5005=185)*ROW(Transactions!$L$9:$L$5005)),0))),"")</f>
        <v/>
      </c>
      <c r="G211" s="106" t="str">
        <f ca="1">IFERROR(IF(IFERROR(SUMPRODUCT((Transactions!$L$9:$L$5005=$D$1)*(Transactions!$M$9:$M$5005=185)*ROW(Transactions!$L$9:$L$5005)),0)=0,"",INDEX(Transactions!$H:$H,IFERROR(SUMPRODUCT((Transactions!$L$9:$L$5005=$D$1)*(Transactions!$M$9:$M$5005=185)*ROW(Transactions!$L$9:$L$5005)),0))),"")</f>
        <v/>
      </c>
      <c r="H211" s="105" t="str">
        <f ca="1">IFERROR(IF(IFERROR(SUMPRODUCT((Transactions!$L$9:$L$5005=$D$1)*(Transactions!$M$9:$M$5005=185)*ROW(Transactions!$L$9:$L$5005)),0)=0,"",INDEX(Transactions!$J:$J,IFERROR(SUMPRODUCT((Transactions!$L$9:$L$5005=$D$1)*(Transactions!$M$9:$M$5005=185)*ROW(Transactions!$L$9:$L$5005)),0))),"")</f>
        <v/>
      </c>
      <c r="I211" s="104" t="str">
        <f ca="1">IFERROR(IF(IFERROR(SUMPRODUCT((Transactions!$L$9:$L$5005=$D$1)*(Transactions!$M$9:$M$5005=185)*ROW(Transactions!$L$9:$L$5005)),0)=0,"",INDEX(Transactions!$K:$K,IFERROR(SUMPRODUCT((Transactions!$L$9:$L$5005=$D$1)*(Transactions!$M$9:$M$5005=185)*ROW(Transactions!$L$9:$L$5005)),0))),"")</f>
        <v/>
      </c>
      <c r="J211" s="298" t="str">
        <f ca="1">IFERROR(IF(IFERROR(SUMPRODUCT((Transactions!$L$9:$L$5005=$D$1)*(Transactions!$M$9:$M$5005=185)*ROW(Transactions!$L$9:$L$5005)),0)=0,"",INDEX(Transactions!$L:$L,IFERROR(SUMPRODUCT((Transactions!$L$9:$L$5005=$D$1)*(Transactions!$M$9:$M$5005=185)*ROW(Transactions!$L$9:$L$5005)),0))),"")</f>
        <v/>
      </c>
      <c r="T211"/>
      <c r="X211" s="485" t="s">
        <v>175</v>
      </c>
      <c r="Y211" s="485"/>
      <c r="Z211" s="485"/>
      <c r="AA211" s="485"/>
      <c r="AB211" s="485"/>
      <c r="AC211" s="485"/>
      <c r="AD211" s="485"/>
      <c r="AE211" s="485"/>
    </row>
    <row r="212" spans="3:31" ht="16.5" customHeight="1" x14ac:dyDescent="0.2">
      <c r="C212" s="297" t="str">
        <f ca="1">IFERROR(IF(IFERROR(SUMPRODUCT((Transactions!$L$9:$L$5005=$D$1)*(Transactions!$M$9:$M$5005=186)*ROW(Transactions!$L$9:$L$5005)),0)=0,"",INDEX(Transactions!$C:$C,IFERROR(SUMPRODUCT((Transactions!$L$9:$L$5005=$D$1)*(Transactions!$M$9:$M$5005=186)*ROW(Transactions!$L$9:$L$5005)),0))),"")</f>
        <v/>
      </c>
      <c r="D212" s="107" t="str">
        <f ca="1">IFERROR(IF(IFERROR(SUMPRODUCT((Transactions!$L$9:$L$5005=$D$1)*(Transactions!$M$9:$M$5005=186)*ROW(Transactions!$L$9:$L$5005)),0)=0,"",INDEX(Transactions!$D:$D,IFERROR(SUMPRODUCT((Transactions!$L$9:$L$5005=$D$1)*(Transactions!$M$9:$M$5005=186)*ROW(Transactions!$L$9:$L$5005)),0))),"")</f>
        <v/>
      </c>
      <c r="E212" s="108" t="str">
        <f ca="1">IFERROR(IF(IFERROR(SUMPRODUCT((Transactions!$L$9:$L$5005=$D$1)*(Transactions!$M$9:$M$5005=186)*ROW(Transactions!$L$9:$L$5005)),0)=0,"",INDEX(Transactions!$F:$F,IFERROR(SUMPRODUCT((Transactions!$L$9:$L$5005=$D$1)*(Transactions!$M$9:$M$5005=186)*ROW(Transactions!$L$9:$L$5005)),0))),"")</f>
        <v/>
      </c>
      <c r="F212" s="108" t="str">
        <f ca="1">IFERROR(IF(IFERROR(SUMPRODUCT((Transactions!$L$9:$L$5005=$D$1)*(Transactions!$M$9:$M$5005=186)*ROW(Transactions!$L$9:$L$5005)),0)=0,"",INDEX(Transactions!$G:$G,IFERROR(SUMPRODUCT((Transactions!$L$9:$L$5005=$D$1)*(Transactions!$M$9:$M$5005=186)*ROW(Transactions!$L$9:$L$5005)),0))),"")</f>
        <v/>
      </c>
      <c r="G212" s="109" t="str">
        <f ca="1">IFERROR(IF(IFERROR(SUMPRODUCT((Transactions!$L$9:$L$5005=$D$1)*(Transactions!$M$9:$M$5005=186)*ROW(Transactions!$L$9:$L$5005)),0)=0,"",INDEX(Transactions!$H:$H,IFERROR(SUMPRODUCT((Transactions!$L$9:$L$5005=$D$1)*(Transactions!$M$9:$M$5005=186)*ROW(Transactions!$L$9:$L$5005)),0))),"")</f>
        <v/>
      </c>
      <c r="H212" s="108" t="str">
        <f ca="1">IFERROR(IF(IFERROR(SUMPRODUCT((Transactions!$L$9:$L$5005=$D$1)*(Transactions!$M$9:$M$5005=186)*ROW(Transactions!$L$9:$L$5005)),0)=0,"",INDEX(Transactions!$J:$J,IFERROR(SUMPRODUCT((Transactions!$L$9:$L$5005=$D$1)*(Transactions!$M$9:$M$5005=186)*ROW(Transactions!$L$9:$L$5005)),0))),"")</f>
        <v/>
      </c>
      <c r="I212" s="107" t="str">
        <f ca="1">IFERROR(IF(IFERROR(SUMPRODUCT((Transactions!$L$9:$L$5005=$D$1)*(Transactions!$M$9:$M$5005=186)*ROW(Transactions!$L$9:$L$5005)),0)=0,"",INDEX(Transactions!$K:$K,IFERROR(SUMPRODUCT((Transactions!$L$9:$L$5005=$D$1)*(Transactions!$M$9:$M$5005=186)*ROW(Transactions!$L$9:$L$5005)),0))),"")</f>
        <v/>
      </c>
      <c r="J212" s="299" t="str">
        <f ca="1">IFERROR(IF(IFERROR(SUMPRODUCT((Transactions!$L$9:$L$5005=$D$1)*(Transactions!$M$9:$M$5005=186)*ROW(Transactions!$L$9:$L$5005)),0)=0,"",INDEX(Transactions!$L:$L,IFERROR(SUMPRODUCT((Transactions!$L$9:$L$5005=$D$1)*(Transactions!$M$9:$M$5005=186)*ROW(Transactions!$L$9:$L$5005)),0))),"")</f>
        <v/>
      </c>
    </row>
    <row r="213" spans="3:31" ht="16.5" customHeight="1" x14ac:dyDescent="0.2">
      <c r="C213" s="296" t="str">
        <f ca="1">IFERROR(IF(IFERROR(SUMPRODUCT((Transactions!$L$9:$L$5005=$D$1)*(Transactions!$M$9:$M$5005=187)*ROW(Transactions!$L$9:$L$5005)),0)=0,"",INDEX(Transactions!$C:$C,IFERROR(SUMPRODUCT((Transactions!$L$9:$L$5005=$D$1)*(Transactions!$M$9:$M$5005=187)*ROW(Transactions!$L$9:$L$5005)),0))),"")</f>
        <v/>
      </c>
      <c r="D213" s="104" t="str">
        <f ca="1">IFERROR(IF(IFERROR(SUMPRODUCT((Transactions!$L$9:$L$5005=$D$1)*(Transactions!$M$9:$M$5005=187)*ROW(Transactions!$L$9:$L$5005)),0)=0,"",INDEX(Transactions!$D:$D,IFERROR(SUMPRODUCT((Transactions!$L$9:$L$5005=$D$1)*(Transactions!$M$9:$M$5005=187)*ROW(Transactions!$L$9:$L$5005)),0))),"")</f>
        <v/>
      </c>
      <c r="E213" s="105" t="str">
        <f ca="1">IFERROR(IF(IFERROR(SUMPRODUCT((Transactions!$L$9:$L$5005=$D$1)*(Transactions!$M$9:$M$5005=187)*ROW(Transactions!$L$9:$L$5005)),0)=0,"",INDEX(Transactions!$F:$F,IFERROR(SUMPRODUCT((Transactions!$L$9:$L$5005=$D$1)*(Transactions!$M$9:$M$5005=187)*ROW(Transactions!$L$9:$L$5005)),0))),"")</f>
        <v/>
      </c>
      <c r="F213" s="105" t="str">
        <f ca="1">IFERROR(IF(IFERROR(SUMPRODUCT((Transactions!$L$9:$L$5005=$D$1)*(Transactions!$M$9:$M$5005=187)*ROW(Transactions!$L$9:$L$5005)),0)=0,"",INDEX(Transactions!$G:$G,IFERROR(SUMPRODUCT((Transactions!$L$9:$L$5005=$D$1)*(Transactions!$M$9:$M$5005=187)*ROW(Transactions!$L$9:$L$5005)),0))),"")</f>
        <v/>
      </c>
      <c r="G213" s="106" t="str">
        <f ca="1">IFERROR(IF(IFERROR(SUMPRODUCT((Transactions!$L$9:$L$5005=$D$1)*(Transactions!$M$9:$M$5005=187)*ROW(Transactions!$L$9:$L$5005)),0)=0,"",INDEX(Transactions!$H:$H,IFERROR(SUMPRODUCT((Transactions!$L$9:$L$5005=$D$1)*(Transactions!$M$9:$M$5005=187)*ROW(Transactions!$L$9:$L$5005)),0))),"")</f>
        <v/>
      </c>
      <c r="H213" s="105" t="str">
        <f ca="1">IFERROR(IF(IFERROR(SUMPRODUCT((Transactions!$L$9:$L$5005=$D$1)*(Transactions!$M$9:$M$5005=187)*ROW(Transactions!$L$9:$L$5005)),0)=0,"",INDEX(Transactions!$J:$J,IFERROR(SUMPRODUCT((Transactions!$L$9:$L$5005=$D$1)*(Transactions!$M$9:$M$5005=187)*ROW(Transactions!$L$9:$L$5005)),0))),"")</f>
        <v/>
      </c>
      <c r="I213" s="104" t="str">
        <f ca="1">IFERROR(IF(IFERROR(SUMPRODUCT((Transactions!$L$9:$L$5005=$D$1)*(Transactions!$M$9:$M$5005=187)*ROW(Transactions!$L$9:$L$5005)),0)=0,"",INDEX(Transactions!$K:$K,IFERROR(SUMPRODUCT((Transactions!$L$9:$L$5005=$D$1)*(Transactions!$M$9:$M$5005=187)*ROW(Transactions!$L$9:$L$5005)),0))),"")</f>
        <v/>
      </c>
      <c r="J213" s="298" t="str">
        <f ca="1">IFERROR(IF(IFERROR(SUMPRODUCT((Transactions!$L$9:$L$5005=$D$1)*(Transactions!$M$9:$M$5005=187)*ROW(Transactions!$L$9:$L$5005)),0)=0,"",INDEX(Transactions!$L:$L,IFERROR(SUMPRODUCT((Transactions!$L$9:$L$5005=$D$1)*(Transactions!$M$9:$M$5005=187)*ROW(Transactions!$L$9:$L$5005)),0))),"")</f>
        <v/>
      </c>
    </row>
    <row r="214" spans="3:31" ht="16.5" customHeight="1" x14ac:dyDescent="0.2">
      <c r="C214" s="297" t="str">
        <f ca="1">IFERROR(IF(IFERROR(SUMPRODUCT((Transactions!$L$9:$L$5005=$D$1)*(Transactions!$M$9:$M$5005=188)*ROW(Transactions!$L$9:$L$5005)),0)=0,"",INDEX(Transactions!$C:$C,IFERROR(SUMPRODUCT((Transactions!$L$9:$L$5005=$D$1)*(Transactions!$M$9:$M$5005=188)*ROW(Transactions!$L$9:$L$5005)),0))),"")</f>
        <v/>
      </c>
      <c r="D214" s="107" t="str">
        <f ca="1">IFERROR(IF(IFERROR(SUMPRODUCT((Transactions!$L$9:$L$5005=$D$1)*(Transactions!$M$9:$M$5005=188)*ROW(Transactions!$L$9:$L$5005)),0)=0,"",INDEX(Transactions!$D:$D,IFERROR(SUMPRODUCT((Transactions!$L$9:$L$5005=$D$1)*(Transactions!$M$9:$M$5005=188)*ROW(Transactions!$L$9:$L$5005)),0))),"")</f>
        <v/>
      </c>
      <c r="E214" s="108" t="str">
        <f ca="1">IFERROR(IF(IFERROR(SUMPRODUCT((Transactions!$L$9:$L$5005=$D$1)*(Transactions!$M$9:$M$5005=188)*ROW(Transactions!$L$9:$L$5005)),0)=0,"",INDEX(Transactions!$F:$F,IFERROR(SUMPRODUCT((Transactions!$L$9:$L$5005=$D$1)*(Transactions!$M$9:$M$5005=188)*ROW(Transactions!$L$9:$L$5005)),0))),"")</f>
        <v/>
      </c>
      <c r="F214" s="108" t="str">
        <f ca="1">IFERROR(IF(IFERROR(SUMPRODUCT((Transactions!$L$9:$L$5005=$D$1)*(Transactions!$M$9:$M$5005=188)*ROW(Transactions!$L$9:$L$5005)),0)=0,"",INDEX(Transactions!$G:$G,IFERROR(SUMPRODUCT((Transactions!$L$9:$L$5005=$D$1)*(Transactions!$M$9:$M$5005=188)*ROW(Transactions!$L$9:$L$5005)),0))),"")</f>
        <v/>
      </c>
      <c r="G214" s="109" t="str">
        <f ca="1">IFERROR(IF(IFERROR(SUMPRODUCT((Transactions!$L$9:$L$5005=$D$1)*(Transactions!$M$9:$M$5005=188)*ROW(Transactions!$L$9:$L$5005)),0)=0,"",INDEX(Transactions!$H:$H,IFERROR(SUMPRODUCT((Transactions!$L$9:$L$5005=$D$1)*(Transactions!$M$9:$M$5005=188)*ROW(Transactions!$L$9:$L$5005)),0))),"")</f>
        <v/>
      </c>
      <c r="H214" s="108" t="str">
        <f ca="1">IFERROR(IF(IFERROR(SUMPRODUCT((Transactions!$L$9:$L$5005=$D$1)*(Transactions!$M$9:$M$5005=188)*ROW(Transactions!$L$9:$L$5005)),0)=0,"",INDEX(Transactions!$J:$J,IFERROR(SUMPRODUCT((Transactions!$L$9:$L$5005=$D$1)*(Transactions!$M$9:$M$5005=188)*ROW(Transactions!$L$9:$L$5005)),0))),"")</f>
        <v/>
      </c>
      <c r="I214" s="107" t="str">
        <f ca="1">IFERROR(IF(IFERROR(SUMPRODUCT((Transactions!$L$9:$L$5005=$D$1)*(Transactions!$M$9:$M$5005=188)*ROW(Transactions!$L$9:$L$5005)),0)=0,"",INDEX(Transactions!$K:$K,IFERROR(SUMPRODUCT((Transactions!$L$9:$L$5005=$D$1)*(Transactions!$M$9:$M$5005=188)*ROW(Transactions!$L$9:$L$5005)),0))),"")</f>
        <v/>
      </c>
      <c r="J214" s="299" t="str">
        <f ca="1">IFERROR(IF(IFERROR(SUMPRODUCT((Transactions!$L$9:$L$5005=$D$1)*(Transactions!$M$9:$M$5005=188)*ROW(Transactions!$L$9:$L$5005)),0)=0,"",INDEX(Transactions!$L:$L,IFERROR(SUMPRODUCT((Transactions!$L$9:$L$5005=$D$1)*(Transactions!$M$9:$M$5005=188)*ROW(Transactions!$L$9:$L$5005)),0))),"")</f>
        <v/>
      </c>
    </row>
    <row r="215" spans="3:31" ht="16.5" customHeight="1" x14ac:dyDescent="0.2">
      <c r="C215" s="296" t="str">
        <f ca="1">IFERROR(IF(IFERROR(SUMPRODUCT((Transactions!$L$9:$L$5005=$D$1)*(Transactions!$M$9:$M$5005=189)*ROW(Transactions!$L$9:$L$5005)),0)=0,"",INDEX(Transactions!$C:$C,IFERROR(SUMPRODUCT((Transactions!$L$9:$L$5005=$D$1)*(Transactions!$M$9:$M$5005=189)*ROW(Transactions!$L$9:$L$5005)),0))),"")</f>
        <v/>
      </c>
      <c r="D215" s="104" t="str">
        <f ca="1">IFERROR(IF(IFERROR(SUMPRODUCT((Transactions!$L$9:$L$5005=$D$1)*(Transactions!$M$9:$M$5005=189)*ROW(Transactions!$L$9:$L$5005)),0)=0,"",INDEX(Transactions!$D:$D,IFERROR(SUMPRODUCT((Transactions!$L$9:$L$5005=$D$1)*(Transactions!$M$9:$M$5005=189)*ROW(Transactions!$L$9:$L$5005)),0))),"")</f>
        <v/>
      </c>
      <c r="E215" s="105" t="str">
        <f ca="1">IFERROR(IF(IFERROR(SUMPRODUCT((Transactions!$L$9:$L$5005=$D$1)*(Transactions!$M$9:$M$5005=189)*ROW(Transactions!$L$9:$L$5005)),0)=0,"",INDEX(Transactions!$F:$F,IFERROR(SUMPRODUCT((Transactions!$L$9:$L$5005=$D$1)*(Transactions!$M$9:$M$5005=189)*ROW(Transactions!$L$9:$L$5005)),0))),"")</f>
        <v/>
      </c>
      <c r="F215" s="105" t="str">
        <f ca="1">IFERROR(IF(IFERROR(SUMPRODUCT((Transactions!$L$9:$L$5005=$D$1)*(Transactions!$M$9:$M$5005=189)*ROW(Transactions!$L$9:$L$5005)),0)=0,"",INDEX(Transactions!$G:$G,IFERROR(SUMPRODUCT((Transactions!$L$9:$L$5005=$D$1)*(Transactions!$M$9:$M$5005=189)*ROW(Transactions!$L$9:$L$5005)),0))),"")</f>
        <v/>
      </c>
      <c r="G215" s="106" t="str">
        <f ca="1">IFERROR(IF(IFERROR(SUMPRODUCT((Transactions!$L$9:$L$5005=$D$1)*(Transactions!$M$9:$M$5005=189)*ROW(Transactions!$L$9:$L$5005)),0)=0,"",INDEX(Transactions!$H:$H,IFERROR(SUMPRODUCT((Transactions!$L$9:$L$5005=$D$1)*(Transactions!$M$9:$M$5005=189)*ROW(Transactions!$L$9:$L$5005)),0))),"")</f>
        <v/>
      </c>
      <c r="H215" s="105" t="str">
        <f ca="1">IFERROR(IF(IFERROR(SUMPRODUCT((Transactions!$L$9:$L$5005=$D$1)*(Transactions!$M$9:$M$5005=189)*ROW(Transactions!$L$9:$L$5005)),0)=0,"",INDEX(Transactions!$J:$J,IFERROR(SUMPRODUCT((Transactions!$L$9:$L$5005=$D$1)*(Transactions!$M$9:$M$5005=189)*ROW(Transactions!$L$9:$L$5005)),0))),"")</f>
        <v/>
      </c>
      <c r="I215" s="104" t="str">
        <f ca="1">IFERROR(IF(IFERROR(SUMPRODUCT((Transactions!$L$9:$L$5005=$D$1)*(Transactions!$M$9:$M$5005=189)*ROW(Transactions!$L$9:$L$5005)),0)=0,"",INDEX(Transactions!$K:$K,IFERROR(SUMPRODUCT((Transactions!$L$9:$L$5005=$D$1)*(Transactions!$M$9:$M$5005=189)*ROW(Transactions!$L$9:$L$5005)),0))),"")</f>
        <v/>
      </c>
      <c r="J215" s="298" t="str">
        <f ca="1">IFERROR(IF(IFERROR(SUMPRODUCT((Transactions!$L$9:$L$5005=$D$1)*(Transactions!$M$9:$M$5005=189)*ROW(Transactions!$L$9:$L$5005)),0)=0,"",INDEX(Transactions!$L:$L,IFERROR(SUMPRODUCT((Transactions!$L$9:$L$5005=$D$1)*(Transactions!$M$9:$M$5005=189)*ROW(Transactions!$L$9:$L$5005)),0))),"")</f>
        <v/>
      </c>
    </row>
    <row r="216" spans="3:31" ht="16.5" customHeight="1" x14ac:dyDescent="0.2">
      <c r="C216" s="297" t="str">
        <f ca="1">IFERROR(IF(IFERROR(SUMPRODUCT((Transactions!$L$9:$L$5005=$D$1)*(Transactions!$M$9:$M$5005=190)*ROW(Transactions!$L$9:$L$5005)),0)=0,"",INDEX(Transactions!$C:$C,IFERROR(SUMPRODUCT((Transactions!$L$9:$L$5005=$D$1)*(Transactions!$M$9:$M$5005=190)*ROW(Transactions!$L$9:$L$5005)),0))),"")</f>
        <v/>
      </c>
      <c r="D216" s="107" t="str">
        <f ca="1">IFERROR(IF(IFERROR(SUMPRODUCT((Transactions!$L$9:$L$5005=$D$1)*(Transactions!$M$9:$M$5005=190)*ROW(Transactions!$L$9:$L$5005)),0)=0,"",INDEX(Transactions!$D:$D,IFERROR(SUMPRODUCT((Transactions!$L$9:$L$5005=$D$1)*(Transactions!$M$9:$M$5005=190)*ROW(Transactions!$L$9:$L$5005)),0))),"")</f>
        <v/>
      </c>
      <c r="E216" s="108" t="str">
        <f ca="1">IFERROR(IF(IFERROR(SUMPRODUCT((Transactions!$L$9:$L$5005=$D$1)*(Transactions!$M$9:$M$5005=190)*ROW(Transactions!$L$9:$L$5005)),0)=0,"",INDEX(Transactions!$F:$F,IFERROR(SUMPRODUCT((Transactions!$L$9:$L$5005=$D$1)*(Transactions!$M$9:$M$5005=190)*ROW(Transactions!$L$9:$L$5005)),0))),"")</f>
        <v/>
      </c>
      <c r="F216" s="108" t="str">
        <f ca="1">IFERROR(IF(IFERROR(SUMPRODUCT((Transactions!$L$9:$L$5005=$D$1)*(Transactions!$M$9:$M$5005=190)*ROW(Transactions!$L$9:$L$5005)),0)=0,"",INDEX(Transactions!$G:$G,IFERROR(SUMPRODUCT((Transactions!$L$9:$L$5005=$D$1)*(Transactions!$M$9:$M$5005=190)*ROW(Transactions!$L$9:$L$5005)),0))),"")</f>
        <v/>
      </c>
      <c r="G216" s="109" t="str">
        <f ca="1">IFERROR(IF(IFERROR(SUMPRODUCT((Transactions!$L$9:$L$5005=$D$1)*(Transactions!$M$9:$M$5005=190)*ROW(Transactions!$L$9:$L$5005)),0)=0,"",INDEX(Transactions!$H:$H,IFERROR(SUMPRODUCT((Transactions!$L$9:$L$5005=$D$1)*(Transactions!$M$9:$M$5005=190)*ROW(Transactions!$L$9:$L$5005)),0))),"")</f>
        <v/>
      </c>
      <c r="H216" s="108" t="str">
        <f ca="1">IFERROR(IF(IFERROR(SUMPRODUCT((Transactions!$L$9:$L$5005=$D$1)*(Transactions!$M$9:$M$5005=190)*ROW(Transactions!$L$9:$L$5005)),0)=0,"",INDEX(Transactions!$J:$J,IFERROR(SUMPRODUCT((Transactions!$L$9:$L$5005=$D$1)*(Transactions!$M$9:$M$5005=190)*ROW(Transactions!$L$9:$L$5005)),0))),"")</f>
        <v/>
      </c>
      <c r="I216" s="107" t="str">
        <f ca="1">IFERROR(IF(IFERROR(SUMPRODUCT((Transactions!$L$9:$L$5005=$D$1)*(Transactions!$M$9:$M$5005=190)*ROW(Transactions!$L$9:$L$5005)),0)=0,"",INDEX(Transactions!$K:$K,IFERROR(SUMPRODUCT((Transactions!$L$9:$L$5005=$D$1)*(Transactions!$M$9:$M$5005=190)*ROW(Transactions!$L$9:$L$5005)),0))),"")</f>
        <v/>
      </c>
      <c r="J216" s="299" t="str">
        <f ca="1">IFERROR(IF(IFERROR(SUMPRODUCT((Transactions!$L$9:$L$5005=$D$1)*(Transactions!$M$9:$M$5005=190)*ROW(Transactions!$L$9:$L$5005)),0)=0,"",INDEX(Transactions!$L:$L,IFERROR(SUMPRODUCT((Transactions!$L$9:$L$5005=$D$1)*(Transactions!$M$9:$M$5005=190)*ROW(Transactions!$L$9:$L$5005)),0))),"")</f>
        <v/>
      </c>
    </row>
    <row r="217" spans="3:31" ht="16.5" customHeight="1" x14ac:dyDescent="0.2">
      <c r="C217" s="296" t="str">
        <f ca="1">IFERROR(IF(IFERROR(SUMPRODUCT((Transactions!$L$9:$L$5005=$D$1)*(Transactions!$M$9:$M$5005=191)*ROW(Transactions!$L$9:$L$5005)),0)=0,"",INDEX(Transactions!$C:$C,IFERROR(SUMPRODUCT((Transactions!$L$9:$L$5005=$D$1)*(Transactions!$M$9:$M$5005=191)*ROW(Transactions!$L$9:$L$5005)),0))),"")</f>
        <v/>
      </c>
      <c r="D217" s="104" t="str">
        <f ca="1">IFERROR(IF(IFERROR(SUMPRODUCT((Transactions!$L$9:$L$5005=$D$1)*(Transactions!$M$9:$M$5005=191)*ROW(Transactions!$L$9:$L$5005)),0)=0,"",INDEX(Transactions!$D:$D,IFERROR(SUMPRODUCT((Transactions!$L$9:$L$5005=$D$1)*(Transactions!$M$9:$M$5005=191)*ROW(Transactions!$L$9:$L$5005)),0))),"")</f>
        <v/>
      </c>
      <c r="E217" s="105" t="str">
        <f ca="1">IFERROR(IF(IFERROR(SUMPRODUCT((Transactions!$L$9:$L$5005=$D$1)*(Transactions!$M$9:$M$5005=191)*ROW(Transactions!$L$9:$L$5005)),0)=0,"",INDEX(Transactions!$F:$F,IFERROR(SUMPRODUCT((Transactions!$L$9:$L$5005=$D$1)*(Transactions!$M$9:$M$5005=191)*ROW(Transactions!$L$9:$L$5005)),0))),"")</f>
        <v/>
      </c>
      <c r="F217" s="105" t="str">
        <f ca="1">IFERROR(IF(IFERROR(SUMPRODUCT((Transactions!$L$9:$L$5005=$D$1)*(Transactions!$M$9:$M$5005=191)*ROW(Transactions!$L$9:$L$5005)),0)=0,"",INDEX(Transactions!$G:$G,IFERROR(SUMPRODUCT((Transactions!$L$9:$L$5005=$D$1)*(Transactions!$M$9:$M$5005=191)*ROW(Transactions!$L$9:$L$5005)),0))),"")</f>
        <v/>
      </c>
      <c r="G217" s="106" t="str">
        <f ca="1">IFERROR(IF(IFERROR(SUMPRODUCT((Transactions!$L$9:$L$5005=$D$1)*(Transactions!$M$9:$M$5005=191)*ROW(Transactions!$L$9:$L$5005)),0)=0,"",INDEX(Transactions!$H:$H,IFERROR(SUMPRODUCT((Transactions!$L$9:$L$5005=$D$1)*(Transactions!$M$9:$M$5005=191)*ROW(Transactions!$L$9:$L$5005)),0))),"")</f>
        <v/>
      </c>
      <c r="H217" s="105" t="str">
        <f ca="1">IFERROR(IF(IFERROR(SUMPRODUCT((Transactions!$L$9:$L$5005=$D$1)*(Transactions!$M$9:$M$5005=191)*ROW(Transactions!$L$9:$L$5005)),0)=0,"",INDEX(Transactions!$J:$J,IFERROR(SUMPRODUCT((Transactions!$L$9:$L$5005=$D$1)*(Transactions!$M$9:$M$5005=191)*ROW(Transactions!$L$9:$L$5005)),0))),"")</f>
        <v/>
      </c>
      <c r="I217" s="104" t="str">
        <f ca="1">IFERROR(IF(IFERROR(SUMPRODUCT((Transactions!$L$9:$L$5005=$D$1)*(Transactions!$M$9:$M$5005=191)*ROW(Transactions!$L$9:$L$5005)),0)=0,"",INDEX(Transactions!$K:$K,IFERROR(SUMPRODUCT((Transactions!$L$9:$L$5005=$D$1)*(Transactions!$M$9:$M$5005=191)*ROW(Transactions!$L$9:$L$5005)),0))),"")</f>
        <v/>
      </c>
      <c r="J217" s="298" t="str">
        <f ca="1">IFERROR(IF(IFERROR(SUMPRODUCT((Transactions!$L$9:$L$5005=$D$1)*(Transactions!$M$9:$M$5005=191)*ROW(Transactions!$L$9:$L$5005)),0)=0,"",INDEX(Transactions!$L:$L,IFERROR(SUMPRODUCT((Transactions!$L$9:$L$5005=$D$1)*(Transactions!$M$9:$M$5005=191)*ROW(Transactions!$L$9:$L$5005)),0))),"")</f>
        <v/>
      </c>
    </row>
    <row r="218" spans="3:31" ht="16.5" customHeight="1" x14ac:dyDescent="0.2">
      <c r="C218" s="297" t="str">
        <f ca="1">IFERROR(IF(IFERROR(SUMPRODUCT((Transactions!$L$9:$L$5005=$D$1)*(Transactions!$M$9:$M$5005=192)*ROW(Transactions!$L$9:$L$5005)),0)=0,"",INDEX(Transactions!$C:$C,IFERROR(SUMPRODUCT((Transactions!$L$9:$L$5005=$D$1)*(Transactions!$M$9:$M$5005=192)*ROW(Transactions!$L$9:$L$5005)),0))),"")</f>
        <v/>
      </c>
      <c r="D218" s="107" t="str">
        <f ca="1">IFERROR(IF(IFERROR(SUMPRODUCT((Transactions!$L$9:$L$5005=$D$1)*(Transactions!$M$9:$M$5005=192)*ROW(Transactions!$L$9:$L$5005)),0)=0,"",INDEX(Transactions!$D:$D,IFERROR(SUMPRODUCT((Transactions!$L$9:$L$5005=$D$1)*(Transactions!$M$9:$M$5005=192)*ROW(Transactions!$L$9:$L$5005)),0))),"")</f>
        <v/>
      </c>
      <c r="E218" s="108" t="str">
        <f ca="1">IFERROR(IF(IFERROR(SUMPRODUCT((Transactions!$L$9:$L$5005=$D$1)*(Transactions!$M$9:$M$5005=192)*ROW(Transactions!$L$9:$L$5005)),0)=0,"",INDEX(Transactions!$F:$F,IFERROR(SUMPRODUCT((Transactions!$L$9:$L$5005=$D$1)*(Transactions!$M$9:$M$5005=192)*ROW(Transactions!$L$9:$L$5005)),0))),"")</f>
        <v/>
      </c>
      <c r="F218" s="108" t="str">
        <f ca="1">IFERROR(IF(IFERROR(SUMPRODUCT((Transactions!$L$9:$L$5005=$D$1)*(Transactions!$M$9:$M$5005=192)*ROW(Transactions!$L$9:$L$5005)),0)=0,"",INDEX(Transactions!$G:$G,IFERROR(SUMPRODUCT((Transactions!$L$9:$L$5005=$D$1)*(Transactions!$M$9:$M$5005=192)*ROW(Transactions!$L$9:$L$5005)),0))),"")</f>
        <v/>
      </c>
      <c r="G218" s="109" t="str">
        <f ca="1">IFERROR(IF(IFERROR(SUMPRODUCT((Transactions!$L$9:$L$5005=$D$1)*(Transactions!$M$9:$M$5005=192)*ROW(Transactions!$L$9:$L$5005)),0)=0,"",INDEX(Transactions!$H:$H,IFERROR(SUMPRODUCT((Transactions!$L$9:$L$5005=$D$1)*(Transactions!$M$9:$M$5005=192)*ROW(Transactions!$L$9:$L$5005)),0))),"")</f>
        <v/>
      </c>
      <c r="H218" s="108" t="str">
        <f ca="1">IFERROR(IF(IFERROR(SUMPRODUCT((Transactions!$L$9:$L$5005=$D$1)*(Transactions!$M$9:$M$5005=192)*ROW(Transactions!$L$9:$L$5005)),0)=0,"",INDEX(Transactions!$J:$J,IFERROR(SUMPRODUCT((Transactions!$L$9:$L$5005=$D$1)*(Transactions!$M$9:$M$5005=192)*ROW(Transactions!$L$9:$L$5005)),0))),"")</f>
        <v/>
      </c>
      <c r="I218" s="107" t="str">
        <f ca="1">IFERROR(IF(IFERROR(SUMPRODUCT((Transactions!$L$9:$L$5005=$D$1)*(Transactions!$M$9:$M$5005=192)*ROW(Transactions!$L$9:$L$5005)),0)=0,"",INDEX(Transactions!$K:$K,IFERROR(SUMPRODUCT((Transactions!$L$9:$L$5005=$D$1)*(Transactions!$M$9:$M$5005=192)*ROW(Transactions!$L$9:$L$5005)),0))),"")</f>
        <v/>
      </c>
      <c r="J218" s="299" t="str">
        <f ca="1">IFERROR(IF(IFERROR(SUMPRODUCT((Transactions!$L$9:$L$5005=$D$1)*(Transactions!$M$9:$M$5005=192)*ROW(Transactions!$L$9:$L$5005)),0)=0,"",INDEX(Transactions!$L:$L,IFERROR(SUMPRODUCT((Transactions!$L$9:$L$5005=$D$1)*(Transactions!$M$9:$M$5005=192)*ROW(Transactions!$L$9:$L$5005)),0))),"")</f>
        <v/>
      </c>
    </row>
    <row r="219" spans="3:31" ht="16.5" customHeight="1" x14ac:dyDescent="0.2">
      <c r="C219" s="296" t="str">
        <f ca="1">IFERROR(IF(IFERROR(SUMPRODUCT((Transactions!$L$9:$L$5005=$D$1)*(Transactions!$M$9:$M$5005=193)*ROW(Transactions!$L$9:$L$5005)),0)=0,"",INDEX(Transactions!$C:$C,IFERROR(SUMPRODUCT((Transactions!$L$9:$L$5005=$D$1)*(Transactions!$M$9:$M$5005=193)*ROW(Transactions!$L$9:$L$5005)),0))),"")</f>
        <v/>
      </c>
      <c r="D219" s="104" t="str">
        <f ca="1">IFERROR(IF(IFERROR(SUMPRODUCT((Transactions!$L$9:$L$5005=$D$1)*(Transactions!$M$9:$M$5005=193)*ROW(Transactions!$L$9:$L$5005)),0)=0,"",INDEX(Transactions!$D:$D,IFERROR(SUMPRODUCT((Transactions!$L$9:$L$5005=$D$1)*(Transactions!$M$9:$M$5005=193)*ROW(Transactions!$L$9:$L$5005)),0))),"")</f>
        <v/>
      </c>
      <c r="E219" s="105" t="str">
        <f ca="1">IFERROR(IF(IFERROR(SUMPRODUCT((Transactions!$L$9:$L$5005=$D$1)*(Transactions!$M$9:$M$5005=193)*ROW(Transactions!$L$9:$L$5005)),0)=0,"",INDEX(Transactions!$F:$F,IFERROR(SUMPRODUCT((Transactions!$L$9:$L$5005=$D$1)*(Transactions!$M$9:$M$5005=193)*ROW(Transactions!$L$9:$L$5005)),0))),"")</f>
        <v/>
      </c>
      <c r="F219" s="105" t="str">
        <f ca="1">IFERROR(IF(IFERROR(SUMPRODUCT((Transactions!$L$9:$L$5005=$D$1)*(Transactions!$M$9:$M$5005=193)*ROW(Transactions!$L$9:$L$5005)),0)=0,"",INDEX(Transactions!$G:$G,IFERROR(SUMPRODUCT((Transactions!$L$9:$L$5005=$D$1)*(Transactions!$M$9:$M$5005=193)*ROW(Transactions!$L$9:$L$5005)),0))),"")</f>
        <v/>
      </c>
      <c r="G219" s="106" t="str">
        <f ca="1">IFERROR(IF(IFERROR(SUMPRODUCT((Transactions!$L$9:$L$5005=$D$1)*(Transactions!$M$9:$M$5005=193)*ROW(Transactions!$L$9:$L$5005)),0)=0,"",INDEX(Transactions!$H:$H,IFERROR(SUMPRODUCT((Transactions!$L$9:$L$5005=$D$1)*(Transactions!$M$9:$M$5005=193)*ROW(Transactions!$L$9:$L$5005)),0))),"")</f>
        <v/>
      </c>
      <c r="H219" s="105" t="str">
        <f ca="1">IFERROR(IF(IFERROR(SUMPRODUCT((Transactions!$L$9:$L$5005=$D$1)*(Transactions!$M$9:$M$5005=193)*ROW(Transactions!$L$9:$L$5005)),0)=0,"",INDEX(Transactions!$J:$J,IFERROR(SUMPRODUCT((Transactions!$L$9:$L$5005=$D$1)*(Transactions!$M$9:$M$5005=193)*ROW(Transactions!$L$9:$L$5005)),0))),"")</f>
        <v/>
      </c>
      <c r="I219" s="104" t="str">
        <f ca="1">IFERROR(IF(IFERROR(SUMPRODUCT((Transactions!$L$9:$L$5005=$D$1)*(Transactions!$M$9:$M$5005=193)*ROW(Transactions!$L$9:$L$5005)),0)=0,"",INDEX(Transactions!$K:$K,IFERROR(SUMPRODUCT((Transactions!$L$9:$L$5005=$D$1)*(Transactions!$M$9:$M$5005=193)*ROW(Transactions!$L$9:$L$5005)),0))),"")</f>
        <v/>
      </c>
      <c r="J219" s="298" t="str">
        <f ca="1">IFERROR(IF(IFERROR(SUMPRODUCT((Transactions!$L$9:$L$5005=$D$1)*(Transactions!$M$9:$M$5005=193)*ROW(Transactions!$L$9:$L$5005)),0)=0,"",INDEX(Transactions!$L:$L,IFERROR(SUMPRODUCT((Transactions!$L$9:$L$5005=$D$1)*(Transactions!$M$9:$M$5005=193)*ROW(Transactions!$L$9:$L$5005)),0))),"")</f>
        <v/>
      </c>
    </row>
    <row r="220" spans="3:31" ht="16.5" customHeight="1" x14ac:dyDescent="0.2">
      <c r="C220" s="297" t="str">
        <f ca="1">IFERROR(IF(IFERROR(SUMPRODUCT((Transactions!$L$9:$L$5005=$D$1)*(Transactions!$M$9:$M$5005=194)*ROW(Transactions!$L$9:$L$5005)),0)=0,"",INDEX(Transactions!$C:$C,IFERROR(SUMPRODUCT((Transactions!$L$9:$L$5005=$D$1)*(Transactions!$M$9:$M$5005=194)*ROW(Transactions!$L$9:$L$5005)),0))),"")</f>
        <v/>
      </c>
      <c r="D220" s="107" t="str">
        <f ca="1">IFERROR(IF(IFERROR(SUMPRODUCT((Transactions!$L$9:$L$5005=$D$1)*(Transactions!$M$9:$M$5005=194)*ROW(Transactions!$L$9:$L$5005)),0)=0,"",INDEX(Transactions!$D:$D,IFERROR(SUMPRODUCT((Transactions!$L$9:$L$5005=$D$1)*(Transactions!$M$9:$M$5005=194)*ROW(Transactions!$L$9:$L$5005)),0))),"")</f>
        <v/>
      </c>
      <c r="E220" s="108" t="str">
        <f ca="1">IFERROR(IF(IFERROR(SUMPRODUCT((Transactions!$L$9:$L$5005=$D$1)*(Transactions!$M$9:$M$5005=194)*ROW(Transactions!$L$9:$L$5005)),0)=0,"",INDEX(Transactions!$F:$F,IFERROR(SUMPRODUCT((Transactions!$L$9:$L$5005=$D$1)*(Transactions!$M$9:$M$5005=194)*ROW(Transactions!$L$9:$L$5005)),0))),"")</f>
        <v/>
      </c>
      <c r="F220" s="108" t="str">
        <f ca="1">IFERROR(IF(IFERROR(SUMPRODUCT((Transactions!$L$9:$L$5005=$D$1)*(Transactions!$M$9:$M$5005=194)*ROW(Transactions!$L$9:$L$5005)),0)=0,"",INDEX(Transactions!$G:$G,IFERROR(SUMPRODUCT((Transactions!$L$9:$L$5005=$D$1)*(Transactions!$M$9:$M$5005=194)*ROW(Transactions!$L$9:$L$5005)),0))),"")</f>
        <v/>
      </c>
      <c r="G220" s="109" t="str">
        <f ca="1">IFERROR(IF(IFERROR(SUMPRODUCT((Transactions!$L$9:$L$5005=$D$1)*(Transactions!$M$9:$M$5005=194)*ROW(Transactions!$L$9:$L$5005)),0)=0,"",INDEX(Transactions!$H:$H,IFERROR(SUMPRODUCT((Transactions!$L$9:$L$5005=$D$1)*(Transactions!$M$9:$M$5005=194)*ROW(Transactions!$L$9:$L$5005)),0))),"")</f>
        <v/>
      </c>
      <c r="H220" s="108" t="str">
        <f ca="1">IFERROR(IF(IFERROR(SUMPRODUCT((Transactions!$L$9:$L$5005=$D$1)*(Transactions!$M$9:$M$5005=194)*ROW(Transactions!$L$9:$L$5005)),0)=0,"",INDEX(Transactions!$J:$J,IFERROR(SUMPRODUCT((Transactions!$L$9:$L$5005=$D$1)*(Transactions!$M$9:$M$5005=194)*ROW(Transactions!$L$9:$L$5005)),0))),"")</f>
        <v/>
      </c>
      <c r="I220" s="107" t="str">
        <f ca="1">IFERROR(IF(IFERROR(SUMPRODUCT((Transactions!$L$9:$L$5005=$D$1)*(Transactions!$M$9:$M$5005=194)*ROW(Transactions!$L$9:$L$5005)),0)=0,"",INDEX(Transactions!$K:$K,IFERROR(SUMPRODUCT((Transactions!$L$9:$L$5005=$D$1)*(Transactions!$M$9:$M$5005=194)*ROW(Transactions!$L$9:$L$5005)),0))),"")</f>
        <v/>
      </c>
      <c r="J220" s="299" t="str">
        <f ca="1">IFERROR(IF(IFERROR(SUMPRODUCT((Transactions!$L$9:$L$5005=$D$1)*(Transactions!$M$9:$M$5005=194)*ROW(Transactions!$L$9:$L$5005)),0)=0,"",INDEX(Transactions!$L:$L,IFERROR(SUMPRODUCT((Transactions!$L$9:$L$5005=$D$1)*(Transactions!$M$9:$M$5005=194)*ROW(Transactions!$L$9:$L$5005)),0))),"")</f>
        <v/>
      </c>
    </row>
    <row r="221" spans="3:31" ht="16.5" customHeight="1" x14ac:dyDescent="0.2">
      <c r="C221" s="296" t="str">
        <f ca="1">IFERROR(IF(IFERROR(SUMPRODUCT((Transactions!$L$9:$L$5005=$D$1)*(Transactions!$M$9:$M$5005=195)*ROW(Transactions!$L$9:$L$5005)),0)=0,"",INDEX(Transactions!$C:$C,IFERROR(SUMPRODUCT((Transactions!$L$9:$L$5005=$D$1)*(Transactions!$M$9:$M$5005=195)*ROW(Transactions!$L$9:$L$5005)),0))),"")</f>
        <v/>
      </c>
      <c r="D221" s="104" t="str">
        <f ca="1">IFERROR(IF(IFERROR(SUMPRODUCT((Transactions!$L$9:$L$5005=$D$1)*(Transactions!$M$9:$M$5005=195)*ROW(Transactions!$L$9:$L$5005)),0)=0,"",INDEX(Transactions!$D:$D,IFERROR(SUMPRODUCT((Transactions!$L$9:$L$5005=$D$1)*(Transactions!$M$9:$M$5005=195)*ROW(Transactions!$L$9:$L$5005)),0))),"")</f>
        <v/>
      </c>
      <c r="E221" s="105" t="str">
        <f ca="1">IFERROR(IF(IFERROR(SUMPRODUCT((Transactions!$L$9:$L$5005=$D$1)*(Transactions!$M$9:$M$5005=195)*ROW(Transactions!$L$9:$L$5005)),0)=0,"",INDEX(Transactions!$F:$F,IFERROR(SUMPRODUCT((Transactions!$L$9:$L$5005=$D$1)*(Transactions!$M$9:$M$5005=195)*ROW(Transactions!$L$9:$L$5005)),0))),"")</f>
        <v/>
      </c>
      <c r="F221" s="105" t="str">
        <f ca="1">IFERROR(IF(IFERROR(SUMPRODUCT((Transactions!$L$9:$L$5005=$D$1)*(Transactions!$M$9:$M$5005=195)*ROW(Transactions!$L$9:$L$5005)),0)=0,"",INDEX(Transactions!$G:$G,IFERROR(SUMPRODUCT((Transactions!$L$9:$L$5005=$D$1)*(Transactions!$M$9:$M$5005=195)*ROW(Transactions!$L$9:$L$5005)),0))),"")</f>
        <v/>
      </c>
      <c r="G221" s="106" t="str">
        <f ca="1">IFERROR(IF(IFERROR(SUMPRODUCT((Transactions!$L$9:$L$5005=$D$1)*(Transactions!$M$9:$M$5005=195)*ROW(Transactions!$L$9:$L$5005)),0)=0,"",INDEX(Transactions!$H:$H,IFERROR(SUMPRODUCT((Transactions!$L$9:$L$5005=$D$1)*(Transactions!$M$9:$M$5005=195)*ROW(Transactions!$L$9:$L$5005)),0))),"")</f>
        <v/>
      </c>
      <c r="H221" s="105" t="str">
        <f ca="1">IFERROR(IF(IFERROR(SUMPRODUCT((Transactions!$L$9:$L$5005=$D$1)*(Transactions!$M$9:$M$5005=195)*ROW(Transactions!$L$9:$L$5005)),0)=0,"",INDEX(Transactions!$J:$J,IFERROR(SUMPRODUCT((Transactions!$L$9:$L$5005=$D$1)*(Transactions!$M$9:$M$5005=195)*ROW(Transactions!$L$9:$L$5005)),0))),"")</f>
        <v/>
      </c>
      <c r="I221" s="104" t="str">
        <f ca="1">IFERROR(IF(IFERROR(SUMPRODUCT((Transactions!$L$9:$L$5005=$D$1)*(Transactions!$M$9:$M$5005=195)*ROW(Transactions!$L$9:$L$5005)),0)=0,"",INDEX(Transactions!$K:$K,IFERROR(SUMPRODUCT((Transactions!$L$9:$L$5005=$D$1)*(Transactions!$M$9:$M$5005=195)*ROW(Transactions!$L$9:$L$5005)),0))),"")</f>
        <v/>
      </c>
      <c r="J221" s="298" t="str">
        <f ca="1">IFERROR(IF(IFERROR(SUMPRODUCT((Transactions!$L$9:$L$5005=$D$1)*(Transactions!$M$9:$M$5005=195)*ROW(Transactions!$L$9:$L$5005)),0)=0,"",INDEX(Transactions!$L:$L,IFERROR(SUMPRODUCT((Transactions!$L$9:$L$5005=$D$1)*(Transactions!$M$9:$M$5005=195)*ROW(Transactions!$L$9:$L$5005)),0))),"")</f>
        <v/>
      </c>
    </row>
    <row r="222" spans="3:31" ht="16.5" customHeight="1" x14ac:dyDescent="0.2">
      <c r="C222" s="297" t="str">
        <f ca="1">IFERROR(IF(IFERROR(SUMPRODUCT((Transactions!$L$9:$L$5005=$D$1)*(Transactions!$M$9:$M$5005=196)*ROW(Transactions!$L$9:$L$5005)),0)=0,"",INDEX(Transactions!$C:$C,IFERROR(SUMPRODUCT((Transactions!$L$9:$L$5005=$D$1)*(Transactions!$M$9:$M$5005=196)*ROW(Transactions!$L$9:$L$5005)),0))),"")</f>
        <v/>
      </c>
      <c r="D222" s="107" t="str">
        <f ca="1">IFERROR(IF(IFERROR(SUMPRODUCT((Transactions!$L$9:$L$5005=$D$1)*(Transactions!$M$9:$M$5005=196)*ROW(Transactions!$L$9:$L$5005)),0)=0,"",INDEX(Transactions!$D:$D,IFERROR(SUMPRODUCT((Transactions!$L$9:$L$5005=$D$1)*(Transactions!$M$9:$M$5005=196)*ROW(Transactions!$L$9:$L$5005)),0))),"")</f>
        <v/>
      </c>
      <c r="E222" s="108" t="str">
        <f ca="1">IFERROR(IF(IFERROR(SUMPRODUCT((Transactions!$L$9:$L$5005=$D$1)*(Transactions!$M$9:$M$5005=196)*ROW(Transactions!$L$9:$L$5005)),0)=0,"",INDEX(Transactions!$F:$F,IFERROR(SUMPRODUCT((Transactions!$L$9:$L$5005=$D$1)*(Transactions!$M$9:$M$5005=196)*ROW(Transactions!$L$9:$L$5005)),0))),"")</f>
        <v/>
      </c>
      <c r="F222" s="108" t="str">
        <f ca="1">IFERROR(IF(IFERROR(SUMPRODUCT((Transactions!$L$9:$L$5005=$D$1)*(Transactions!$M$9:$M$5005=196)*ROW(Transactions!$L$9:$L$5005)),0)=0,"",INDEX(Transactions!$G:$G,IFERROR(SUMPRODUCT((Transactions!$L$9:$L$5005=$D$1)*(Transactions!$M$9:$M$5005=196)*ROW(Transactions!$L$9:$L$5005)),0))),"")</f>
        <v/>
      </c>
      <c r="G222" s="109" t="str">
        <f ca="1">IFERROR(IF(IFERROR(SUMPRODUCT((Transactions!$L$9:$L$5005=$D$1)*(Transactions!$M$9:$M$5005=196)*ROW(Transactions!$L$9:$L$5005)),0)=0,"",INDEX(Transactions!$H:$H,IFERROR(SUMPRODUCT((Transactions!$L$9:$L$5005=$D$1)*(Transactions!$M$9:$M$5005=196)*ROW(Transactions!$L$9:$L$5005)),0))),"")</f>
        <v/>
      </c>
      <c r="H222" s="108" t="str">
        <f ca="1">IFERROR(IF(IFERROR(SUMPRODUCT((Transactions!$L$9:$L$5005=$D$1)*(Transactions!$M$9:$M$5005=196)*ROW(Transactions!$L$9:$L$5005)),0)=0,"",INDEX(Transactions!$J:$J,IFERROR(SUMPRODUCT((Transactions!$L$9:$L$5005=$D$1)*(Transactions!$M$9:$M$5005=196)*ROW(Transactions!$L$9:$L$5005)),0))),"")</f>
        <v/>
      </c>
      <c r="I222" s="107" t="str">
        <f ca="1">IFERROR(IF(IFERROR(SUMPRODUCT((Transactions!$L$9:$L$5005=$D$1)*(Transactions!$M$9:$M$5005=196)*ROW(Transactions!$L$9:$L$5005)),0)=0,"",INDEX(Transactions!$K:$K,IFERROR(SUMPRODUCT((Transactions!$L$9:$L$5005=$D$1)*(Transactions!$M$9:$M$5005=196)*ROW(Transactions!$L$9:$L$5005)),0))),"")</f>
        <v/>
      </c>
      <c r="J222" s="299" t="str">
        <f ca="1">IFERROR(IF(IFERROR(SUMPRODUCT((Transactions!$L$9:$L$5005=$D$1)*(Transactions!$M$9:$M$5005=196)*ROW(Transactions!$L$9:$L$5005)),0)=0,"",INDEX(Transactions!$L:$L,IFERROR(SUMPRODUCT((Transactions!$L$9:$L$5005=$D$1)*(Transactions!$M$9:$M$5005=196)*ROW(Transactions!$L$9:$L$5005)),0))),"")</f>
        <v/>
      </c>
    </row>
    <row r="223" spans="3:31" ht="16.5" customHeight="1" x14ac:dyDescent="0.2">
      <c r="C223" s="296" t="str">
        <f ca="1">IFERROR(IF(IFERROR(SUMPRODUCT((Transactions!$L$9:$L$5005=$D$1)*(Transactions!$M$9:$M$5005=197)*ROW(Transactions!$L$9:$L$5005)),0)=0,"",INDEX(Transactions!$C:$C,IFERROR(SUMPRODUCT((Transactions!$L$9:$L$5005=$D$1)*(Transactions!$M$9:$M$5005=197)*ROW(Transactions!$L$9:$L$5005)),0))),"")</f>
        <v/>
      </c>
      <c r="D223" s="104" t="str">
        <f ca="1">IFERROR(IF(IFERROR(SUMPRODUCT((Transactions!$L$9:$L$5005=$D$1)*(Transactions!$M$9:$M$5005=197)*ROW(Transactions!$L$9:$L$5005)),0)=0,"",INDEX(Transactions!$D:$D,IFERROR(SUMPRODUCT((Transactions!$L$9:$L$5005=$D$1)*(Transactions!$M$9:$M$5005=197)*ROW(Transactions!$L$9:$L$5005)),0))),"")</f>
        <v/>
      </c>
      <c r="E223" s="105" t="str">
        <f ca="1">IFERROR(IF(IFERROR(SUMPRODUCT((Transactions!$L$9:$L$5005=$D$1)*(Transactions!$M$9:$M$5005=197)*ROW(Transactions!$L$9:$L$5005)),0)=0,"",INDEX(Transactions!$F:$F,IFERROR(SUMPRODUCT((Transactions!$L$9:$L$5005=$D$1)*(Transactions!$M$9:$M$5005=197)*ROW(Transactions!$L$9:$L$5005)),0))),"")</f>
        <v/>
      </c>
      <c r="F223" s="105" t="str">
        <f ca="1">IFERROR(IF(IFERROR(SUMPRODUCT((Transactions!$L$9:$L$5005=$D$1)*(Transactions!$M$9:$M$5005=197)*ROW(Transactions!$L$9:$L$5005)),0)=0,"",INDEX(Transactions!$G:$G,IFERROR(SUMPRODUCT((Transactions!$L$9:$L$5005=$D$1)*(Transactions!$M$9:$M$5005=197)*ROW(Transactions!$L$9:$L$5005)),0))),"")</f>
        <v/>
      </c>
      <c r="G223" s="106" t="str">
        <f ca="1">IFERROR(IF(IFERROR(SUMPRODUCT((Transactions!$L$9:$L$5005=$D$1)*(Transactions!$M$9:$M$5005=197)*ROW(Transactions!$L$9:$L$5005)),0)=0,"",INDEX(Transactions!$H:$H,IFERROR(SUMPRODUCT((Transactions!$L$9:$L$5005=$D$1)*(Transactions!$M$9:$M$5005=197)*ROW(Transactions!$L$9:$L$5005)),0))),"")</f>
        <v/>
      </c>
      <c r="H223" s="105" t="str">
        <f ca="1">IFERROR(IF(IFERROR(SUMPRODUCT((Transactions!$L$9:$L$5005=$D$1)*(Transactions!$M$9:$M$5005=197)*ROW(Transactions!$L$9:$L$5005)),0)=0,"",INDEX(Transactions!$J:$J,IFERROR(SUMPRODUCT((Transactions!$L$9:$L$5005=$D$1)*(Transactions!$M$9:$M$5005=197)*ROW(Transactions!$L$9:$L$5005)),0))),"")</f>
        <v/>
      </c>
      <c r="I223" s="104" t="str">
        <f ca="1">IFERROR(IF(IFERROR(SUMPRODUCT((Transactions!$L$9:$L$5005=$D$1)*(Transactions!$M$9:$M$5005=197)*ROW(Transactions!$L$9:$L$5005)),0)=0,"",INDEX(Transactions!$K:$K,IFERROR(SUMPRODUCT((Transactions!$L$9:$L$5005=$D$1)*(Transactions!$M$9:$M$5005=197)*ROW(Transactions!$L$9:$L$5005)),0))),"")</f>
        <v/>
      </c>
      <c r="J223" s="298" t="str">
        <f ca="1">IFERROR(IF(IFERROR(SUMPRODUCT((Transactions!$L$9:$L$5005=$D$1)*(Transactions!$M$9:$M$5005=197)*ROW(Transactions!$L$9:$L$5005)),0)=0,"",INDEX(Transactions!$L:$L,IFERROR(SUMPRODUCT((Transactions!$L$9:$L$5005=$D$1)*(Transactions!$M$9:$M$5005=197)*ROW(Transactions!$L$9:$L$5005)),0))),"")</f>
        <v/>
      </c>
    </row>
    <row r="224" spans="3:31" ht="16.5" customHeight="1" x14ac:dyDescent="0.2">
      <c r="C224" s="297" t="str">
        <f ca="1">IFERROR(IF(IFERROR(SUMPRODUCT((Transactions!$L$9:$L$5005=$D$1)*(Transactions!$M$9:$M$5005=198)*ROW(Transactions!$L$9:$L$5005)),0)=0,"",INDEX(Transactions!$C:$C,IFERROR(SUMPRODUCT((Transactions!$L$9:$L$5005=$D$1)*(Transactions!$M$9:$M$5005=198)*ROW(Transactions!$L$9:$L$5005)),0))),"")</f>
        <v/>
      </c>
      <c r="D224" s="107" t="str">
        <f ca="1">IFERROR(IF(IFERROR(SUMPRODUCT((Transactions!$L$9:$L$5005=$D$1)*(Transactions!$M$9:$M$5005=198)*ROW(Transactions!$L$9:$L$5005)),0)=0,"",INDEX(Transactions!$D:$D,IFERROR(SUMPRODUCT((Transactions!$L$9:$L$5005=$D$1)*(Transactions!$M$9:$M$5005=198)*ROW(Transactions!$L$9:$L$5005)),0))),"")</f>
        <v/>
      </c>
      <c r="E224" s="108" t="str">
        <f ca="1">IFERROR(IF(IFERROR(SUMPRODUCT((Transactions!$L$9:$L$5005=$D$1)*(Transactions!$M$9:$M$5005=198)*ROW(Transactions!$L$9:$L$5005)),0)=0,"",INDEX(Transactions!$F:$F,IFERROR(SUMPRODUCT((Transactions!$L$9:$L$5005=$D$1)*(Transactions!$M$9:$M$5005=198)*ROW(Transactions!$L$9:$L$5005)),0))),"")</f>
        <v/>
      </c>
      <c r="F224" s="108" t="str">
        <f ca="1">IFERROR(IF(IFERROR(SUMPRODUCT((Transactions!$L$9:$L$5005=$D$1)*(Transactions!$M$9:$M$5005=198)*ROW(Transactions!$L$9:$L$5005)),0)=0,"",INDEX(Transactions!$G:$G,IFERROR(SUMPRODUCT((Transactions!$L$9:$L$5005=$D$1)*(Transactions!$M$9:$M$5005=198)*ROW(Transactions!$L$9:$L$5005)),0))),"")</f>
        <v/>
      </c>
      <c r="G224" s="109" t="str">
        <f ca="1">IFERROR(IF(IFERROR(SUMPRODUCT((Transactions!$L$9:$L$5005=$D$1)*(Transactions!$M$9:$M$5005=198)*ROW(Transactions!$L$9:$L$5005)),0)=0,"",INDEX(Transactions!$H:$H,IFERROR(SUMPRODUCT((Transactions!$L$9:$L$5005=$D$1)*(Transactions!$M$9:$M$5005=198)*ROW(Transactions!$L$9:$L$5005)),0))),"")</f>
        <v/>
      </c>
      <c r="H224" s="108" t="str">
        <f ca="1">IFERROR(IF(IFERROR(SUMPRODUCT((Transactions!$L$9:$L$5005=$D$1)*(Transactions!$M$9:$M$5005=198)*ROW(Transactions!$L$9:$L$5005)),0)=0,"",INDEX(Transactions!$J:$J,IFERROR(SUMPRODUCT((Transactions!$L$9:$L$5005=$D$1)*(Transactions!$M$9:$M$5005=198)*ROW(Transactions!$L$9:$L$5005)),0))),"")</f>
        <v/>
      </c>
      <c r="I224" s="107" t="str">
        <f ca="1">IFERROR(IF(IFERROR(SUMPRODUCT((Transactions!$L$9:$L$5005=$D$1)*(Transactions!$M$9:$M$5005=198)*ROW(Transactions!$L$9:$L$5005)),0)=0,"",INDEX(Transactions!$K:$K,IFERROR(SUMPRODUCT((Transactions!$L$9:$L$5005=$D$1)*(Transactions!$M$9:$M$5005=198)*ROW(Transactions!$L$9:$L$5005)),0))),"")</f>
        <v/>
      </c>
      <c r="J224" s="299" t="str">
        <f ca="1">IFERROR(IF(IFERROR(SUMPRODUCT((Transactions!$L$9:$L$5005=$D$1)*(Transactions!$M$9:$M$5005=198)*ROW(Transactions!$L$9:$L$5005)),0)=0,"",INDEX(Transactions!$L:$L,IFERROR(SUMPRODUCT((Transactions!$L$9:$L$5005=$D$1)*(Transactions!$M$9:$M$5005=198)*ROW(Transactions!$L$9:$L$5005)),0))),"")</f>
        <v/>
      </c>
    </row>
    <row r="225" spans="3:10" ht="16.5" customHeight="1" x14ac:dyDescent="0.2">
      <c r="C225" s="296" t="str">
        <f ca="1">IFERROR(IF(IFERROR(SUMPRODUCT((Transactions!$L$9:$L$5005=$D$1)*(Transactions!$M$9:$M$5005=199)*ROW(Transactions!$L$9:$L$5005)),0)=0,"",INDEX(Transactions!$C:$C,IFERROR(SUMPRODUCT((Transactions!$L$9:$L$5005=$D$1)*(Transactions!$M$9:$M$5005=199)*ROW(Transactions!$L$9:$L$5005)),0))),"")</f>
        <v/>
      </c>
      <c r="D225" s="104" t="str">
        <f ca="1">IFERROR(IF(IFERROR(SUMPRODUCT((Transactions!$L$9:$L$5005=$D$1)*(Transactions!$M$9:$M$5005=199)*ROW(Transactions!$L$9:$L$5005)),0)=0,"",INDEX(Transactions!$D:$D,IFERROR(SUMPRODUCT((Transactions!$L$9:$L$5005=$D$1)*(Transactions!$M$9:$M$5005=199)*ROW(Transactions!$L$9:$L$5005)),0))),"")</f>
        <v/>
      </c>
      <c r="E225" s="105" t="str">
        <f ca="1">IFERROR(IF(IFERROR(SUMPRODUCT((Transactions!$L$9:$L$5005=$D$1)*(Transactions!$M$9:$M$5005=199)*ROW(Transactions!$L$9:$L$5005)),0)=0,"",INDEX(Transactions!$F:$F,IFERROR(SUMPRODUCT((Transactions!$L$9:$L$5005=$D$1)*(Transactions!$M$9:$M$5005=199)*ROW(Transactions!$L$9:$L$5005)),0))),"")</f>
        <v/>
      </c>
      <c r="F225" s="105" t="str">
        <f ca="1">IFERROR(IF(IFERROR(SUMPRODUCT((Transactions!$L$9:$L$5005=$D$1)*(Transactions!$M$9:$M$5005=199)*ROW(Transactions!$L$9:$L$5005)),0)=0,"",INDEX(Transactions!$G:$G,IFERROR(SUMPRODUCT((Transactions!$L$9:$L$5005=$D$1)*(Transactions!$M$9:$M$5005=199)*ROW(Transactions!$L$9:$L$5005)),0))),"")</f>
        <v/>
      </c>
      <c r="G225" s="106" t="str">
        <f ca="1">IFERROR(IF(IFERROR(SUMPRODUCT((Transactions!$L$9:$L$5005=$D$1)*(Transactions!$M$9:$M$5005=199)*ROW(Transactions!$L$9:$L$5005)),0)=0,"",INDEX(Transactions!$H:$H,IFERROR(SUMPRODUCT((Transactions!$L$9:$L$5005=$D$1)*(Transactions!$M$9:$M$5005=199)*ROW(Transactions!$L$9:$L$5005)),0))),"")</f>
        <v/>
      </c>
      <c r="H225" s="105" t="str">
        <f ca="1">IFERROR(IF(IFERROR(SUMPRODUCT((Transactions!$L$9:$L$5005=$D$1)*(Transactions!$M$9:$M$5005=199)*ROW(Transactions!$L$9:$L$5005)),0)=0,"",INDEX(Transactions!$J:$J,IFERROR(SUMPRODUCT((Transactions!$L$9:$L$5005=$D$1)*(Transactions!$M$9:$M$5005=199)*ROW(Transactions!$L$9:$L$5005)),0))),"")</f>
        <v/>
      </c>
      <c r="I225" s="104" t="str">
        <f ca="1">IFERROR(IF(IFERROR(SUMPRODUCT((Transactions!$L$9:$L$5005=$D$1)*(Transactions!$M$9:$M$5005=199)*ROW(Transactions!$L$9:$L$5005)),0)=0,"",INDEX(Transactions!$K:$K,IFERROR(SUMPRODUCT((Transactions!$L$9:$L$5005=$D$1)*(Transactions!$M$9:$M$5005=199)*ROW(Transactions!$L$9:$L$5005)),0))),"")</f>
        <v/>
      </c>
      <c r="J225" s="298" t="str">
        <f ca="1">IFERROR(IF(IFERROR(SUMPRODUCT((Transactions!$L$9:$L$5005=$D$1)*(Transactions!$M$9:$M$5005=199)*ROW(Transactions!$L$9:$L$5005)),0)=0,"",INDEX(Transactions!$L:$L,IFERROR(SUMPRODUCT((Transactions!$L$9:$L$5005=$D$1)*(Transactions!$M$9:$M$5005=199)*ROW(Transactions!$L$9:$L$5005)),0))),"")</f>
        <v/>
      </c>
    </row>
    <row r="226" spans="3:10" ht="16.5" customHeight="1" x14ac:dyDescent="0.2">
      <c r="C226" s="300" t="str">
        <f ca="1">IFERROR(IF(IFERROR(SUMPRODUCT((Transactions!$L$9:$L$5005=$D$1)*(Transactions!$M$9:$M$5005=200)*ROW(Transactions!$L$9:$L$5005)),0)=0,"",INDEX(Transactions!$C:$C,IFERROR(SUMPRODUCT((Transactions!$L$9:$L$5005=$D$1)*(Transactions!$M$9:$M$5005=200)*ROW(Transactions!$L$9:$L$5005)),0))),"")</f>
        <v/>
      </c>
      <c r="D226" s="301" t="str">
        <f ca="1">IFERROR(IF(IFERROR(SUMPRODUCT((Transactions!$L$9:$L$5005=$D$1)*(Transactions!$M$9:$M$5005=200)*ROW(Transactions!$L$9:$L$5005)),0)=0,"",INDEX(Transactions!$D:$D,IFERROR(SUMPRODUCT((Transactions!$L$9:$L$5005=$D$1)*(Transactions!$M$9:$M$5005=200)*ROW(Transactions!$L$9:$L$5005)),0))),"")</f>
        <v/>
      </c>
      <c r="E226" s="302" t="str">
        <f ca="1">IFERROR(IF(IFERROR(SUMPRODUCT((Transactions!$L$9:$L$5005=$D$1)*(Transactions!$M$9:$M$5005=200)*ROW(Transactions!$L$9:$L$5005)),0)=0,"",INDEX(Transactions!$F:$F,IFERROR(SUMPRODUCT((Transactions!$L$9:$L$5005=$D$1)*(Transactions!$M$9:$M$5005=200)*ROW(Transactions!$L$9:$L$5005)),0))),"")</f>
        <v/>
      </c>
      <c r="F226" s="302" t="str">
        <f ca="1">IFERROR(IF(IFERROR(SUMPRODUCT((Transactions!$L$9:$L$5005=$D$1)*(Transactions!$M$9:$M$5005=200)*ROW(Transactions!$L$9:$L$5005)),0)=0,"",INDEX(Transactions!$G:$G,IFERROR(SUMPRODUCT((Transactions!$L$9:$L$5005=$D$1)*(Transactions!$M$9:$M$5005=200)*ROW(Transactions!$L$9:$L$5005)),0))),"")</f>
        <v/>
      </c>
      <c r="G226" s="303" t="str">
        <f ca="1">IFERROR(IF(IFERROR(SUMPRODUCT((Transactions!$L$9:$L$5005=$D$1)*(Transactions!$M$9:$M$5005=200)*ROW(Transactions!$L$9:$L$5005)),0)=0,"",INDEX(Transactions!$H:$H,IFERROR(SUMPRODUCT((Transactions!$L$9:$L$5005=$D$1)*(Transactions!$M$9:$M$5005=200)*ROW(Transactions!$L$9:$L$5005)),0))),"")</f>
        <v/>
      </c>
      <c r="H226" s="302" t="str">
        <f ca="1">IFERROR(IF(IFERROR(SUMPRODUCT((Transactions!$L$9:$L$5005=$D$1)*(Transactions!$M$9:$M$5005=200)*ROW(Transactions!$L$9:$L$5005)),0)=0,"",INDEX(Transactions!$J:$J,IFERROR(SUMPRODUCT((Transactions!$L$9:$L$5005=$D$1)*(Transactions!$M$9:$M$5005=200)*ROW(Transactions!$L$9:$L$5005)),0))),"")</f>
        <v/>
      </c>
      <c r="I226" s="301" t="str">
        <f ca="1">IFERROR(IF(IFERROR(SUMPRODUCT((Transactions!$L$9:$L$5005=$D$1)*(Transactions!$M$9:$M$5005=200)*ROW(Transactions!$L$9:$L$5005)),0)=0,"",INDEX(Transactions!$K:$K,IFERROR(SUMPRODUCT((Transactions!$L$9:$L$5005=$D$1)*(Transactions!$M$9:$M$5005=200)*ROW(Transactions!$L$9:$L$5005)),0))),"")</f>
        <v/>
      </c>
      <c r="J226" s="304" t="str">
        <f ca="1">IFERROR(IF(IFERROR(SUMPRODUCT((Transactions!$L$9:$L$5005=$D$1)*(Transactions!$M$9:$M$5005=200)*ROW(Transactions!$L$9:$L$5005)),0)=0,"",INDEX(Transactions!$L:$L,IFERROR(SUMPRODUCT((Transactions!$L$9:$L$5005=$D$1)*(Transactions!$M$9:$M$5005=200)*ROW(Transactions!$L$9:$L$5005)),0))),"")</f>
        <v/>
      </c>
    </row>
    <row r="227" spans="3:10" ht="16.5" customHeight="1" x14ac:dyDescent="0.2"/>
    <row r="228" spans="3:10" ht="16.5" customHeight="1" x14ac:dyDescent="0.2">
      <c r="C228" s="485" t="s">
        <v>175</v>
      </c>
      <c r="D228" s="485"/>
      <c r="E228" s="485"/>
      <c r="F228" s="485"/>
      <c r="G228" s="485"/>
      <c r="H228" s="485"/>
      <c r="I228" s="485"/>
      <c r="J228" s="485"/>
    </row>
    <row r="229" spans="3:10" ht="16.5" customHeight="1" x14ac:dyDescent="0.2"/>
    <row r="230" spans="3:10" ht="16.5" customHeight="1" x14ac:dyDescent="0.2"/>
    <row r="231" spans="3:10" ht="16.5" customHeight="1" x14ac:dyDescent="0.2"/>
    <row r="232" spans="3:10" ht="16.5" customHeight="1" x14ac:dyDescent="0.2"/>
    <row r="233" spans="3:10" ht="16.5" customHeight="1" x14ac:dyDescent="0.2"/>
    <row r="234" spans="3:10" ht="16.5" customHeight="1" x14ac:dyDescent="0.2"/>
    <row r="235" spans="3:10" ht="16.5" customHeight="1" x14ac:dyDescent="0.2"/>
    <row r="236" spans="3:10" ht="16.5" customHeight="1" x14ac:dyDescent="0.2"/>
    <row r="237" spans="3:10" ht="16.5" customHeight="1" x14ac:dyDescent="0.2"/>
    <row r="238" spans="3:10" ht="16.5" customHeight="1" x14ac:dyDescent="0.2"/>
    <row r="239" spans="3:10" ht="16.5" customHeight="1" x14ac:dyDescent="0.2"/>
    <row r="240" spans="3:10" ht="16.5" customHeight="1" x14ac:dyDescent="0.2"/>
    <row r="241" ht="16.5" customHeight="1" x14ac:dyDescent="0.2"/>
    <row r="242" ht="16.5" customHeight="1" x14ac:dyDescent="0.2"/>
    <row r="243" ht="16.5" customHeight="1" x14ac:dyDescent="0.2"/>
    <row r="244" ht="16.5" customHeight="1" x14ac:dyDescent="0.2"/>
    <row r="245" ht="16.5" customHeight="1" x14ac:dyDescent="0.2"/>
    <row r="246" ht="16.5" customHeight="1" x14ac:dyDescent="0.2"/>
    <row r="247" ht="16.5" customHeight="1" x14ac:dyDescent="0.2"/>
    <row r="248" ht="16.5" customHeight="1" x14ac:dyDescent="0.2"/>
    <row r="249" ht="16.5" customHeight="1" x14ac:dyDescent="0.2"/>
    <row r="251" ht="19.5" customHeight="1" x14ac:dyDescent="0.2"/>
  </sheetData>
  <sheetProtection algorithmName="SHA-512" hashValue="NaSL3zjxK2Hj3YJ/JuJVGX13tg17XV3I1wUuEwJ6G8Tcnr7Gt3hM3EIWi8NRDDOU9SEjBRWGvaitsSzR5ViKcQ==" saltValue="38Ye6BYnMqCmelSPzS54ZQ==" spinCount="100000" sheet="1" objects="1" scenarios="1" autoFilter="0"/>
  <protectedRanges>
    <protectedRange sqref="C1" name="Range2"/>
    <protectedRange sqref="N1" name="Range1"/>
    <protectedRange sqref="X1" name="Range1_1"/>
  </protectedRanges>
  <autoFilter ref="N9:T9" xr:uid="{00000000-0001-0000-0300-000000000000}"/>
  <mergeCells count="14">
    <mergeCell ref="N6:P6"/>
    <mergeCell ref="C228:J228"/>
    <mergeCell ref="F1:J1"/>
    <mergeCell ref="C2:J2"/>
    <mergeCell ref="C6:E6"/>
    <mergeCell ref="G6:J6"/>
    <mergeCell ref="C8:J8"/>
    <mergeCell ref="P1:T1"/>
    <mergeCell ref="X8:AE8"/>
    <mergeCell ref="X211:AE211"/>
    <mergeCell ref="AA1:AE1"/>
    <mergeCell ref="X2:AE2"/>
    <mergeCell ref="X6:Z6"/>
    <mergeCell ref="AB6:AE6"/>
  </mergeCells>
  <conditionalFormatting sqref="N10:T23 X10:AE23 C27:J226">
    <cfRule type="expression" dxfId="73" priority="6">
      <formula>$E10="Income"</formula>
    </cfRule>
    <cfRule type="expression" dxfId="72" priority="7">
      <formula>$E10="Expense"</formula>
    </cfRule>
  </conditionalFormatting>
  <conditionalFormatting sqref="N47:T47 X47:AE47">
    <cfRule type="expression" dxfId="71" priority="18">
      <formula>#REF!="Income"</formula>
    </cfRule>
    <cfRule type="expression" dxfId="70" priority="19">
      <formula>#REF!="Expense"</formula>
    </cfRule>
  </conditionalFormatting>
  <conditionalFormatting sqref="N48:T209 X48:AE209">
    <cfRule type="expression" dxfId="69" priority="20">
      <formula>$E25="Income"</formula>
    </cfRule>
    <cfRule type="expression" dxfId="68" priority="21">
      <formula>$E25="Expense"</formula>
    </cfRule>
  </conditionalFormatting>
  <pageMargins left="0.75" right="0.75" top="1" bottom="1" header="0.511811023622047" footer="0.511811023622047"/>
  <pageSetup paperSize="9" orientation="portrait" horizontalDpi="300" verticalDpi="300"/>
  <tableParts count="2">
    <tablePart r:id="rId1"/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2" id="{00000000-000E-0000-0200-000003000000}">
            <xm:f>Settings!#REF!="Income"</xm:f>
            <x14:dxf>
              <font>
                <b/>
                <sz val="9"/>
                <color rgb="FF065F46"/>
                <name val="Arial"/>
                <charset val="1"/>
              </font>
              <fill>
                <patternFill>
                  <bgColor rgb="FFF0FFF4"/>
                </patternFill>
              </fill>
            </x14:dxf>
          </x14:cfRule>
          <x14:cfRule type="expression" priority="23" id="{00000000-000E-0000-0200-000004000000}">
            <xm:f>Settings!#REF!="Expense"</xm:f>
            <x14:dxf>
              <font>
                <sz val="9"/>
                <color rgb="FF991B1B"/>
                <name val="Arial"/>
                <charset val="1"/>
              </font>
              <fill>
                <patternFill>
                  <bgColor rgb="FFFFF5F5"/>
                </patternFill>
              </fill>
            </x14:dxf>
          </x14:cfRule>
          <xm:sqref>N24:T46 X24:AE46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8EF0861-782C-4342-9136-8BD4853F7947}">
          <x14:formula1>
            <xm:f>Settings!$D$58:$D$77</xm:f>
          </x14:formula1>
          <xm:sqref>C1</xm:sqref>
        </x14:dataValidation>
        <x14:dataValidation type="list" allowBlank="1" showInputMessage="1" showErrorMessage="1" xr:uid="{B3AFF3FC-51C2-214F-A1EC-771FA36D2FA4}">
          <x14:formula1>
            <xm:f>Settings!$D$13:$D$46</xm:f>
          </x14:formula1>
          <xm:sqref>N1</xm:sqref>
        </x14:dataValidation>
        <x14:dataValidation type="list" allowBlank="1" showInputMessage="1" showErrorMessage="1" xr:uid="{6D80B90C-5879-442B-8749-13A25940BB13}">
          <x14:formula1>
            <xm:f>Settings!$E$12:$E$46</xm:f>
          </x14:formula1>
          <xm:sqref>X1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69F7F-BCCA-D344-AC0E-F8AD2A316786}">
  <sheetPr codeName="Sheet8">
    <tabColor rgb="FF92D050"/>
  </sheetPr>
  <dimension ref="A1:Z1003"/>
  <sheetViews>
    <sheetView topLeftCell="A123" zoomScale="81" workbookViewId="0">
      <selection activeCell="N108" sqref="N108"/>
    </sheetView>
  </sheetViews>
  <sheetFormatPr baseColWidth="10" defaultColWidth="8.5" defaultRowHeight="15" x14ac:dyDescent="0.2"/>
  <cols>
    <col min="1" max="1" width="14.83203125" style="126" customWidth="1"/>
    <col min="2" max="2" width="8.5" style="126" customWidth="1"/>
    <col min="3" max="3" width="7.83203125" style="126" customWidth="1"/>
    <col min="4" max="4" width="10.33203125" style="126" customWidth="1"/>
    <col min="5" max="5" width="9.33203125" style="126" customWidth="1"/>
    <col min="6" max="6" width="8.1640625" style="126" customWidth="1"/>
    <col min="7" max="7" width="13.1640625" style="126" customWidth="1"/>
    <col min="8" max="8" width="12.6640625" style="126" customWidth="1"/>
    <col min="9" max="9" width="8" style="126" customWidth="1"/>
    <col min="10" max="10" width="7" style="126" bestFit="1" customWidth="1"/>
    <col min="11" max="11" width="11.33203125" style="126" customWidth="1"/>
    <col min="12" max="12" width="7.33203125" style="126" customWidth="1"/>
    <col min="13" max="13" width="6" style="126" bestFit="1" customWidth="1"/>
    <col min="14" max="15" width="7" style="126" bestFit="1" customWidth="1"/>
    <col min="16" max="16" width="15.5" style="126" customWidth="1"/>
    <col min="17" max="17" width="7" style="126" bestFit="1" customWidth="1"/>
    <col min="18" max="18" width="11.6640625" style="126" bestFit="1" customWidth="1"/>
    <col min="19" max="26" width="5.6640625" style="126" customWidth="1"/>
    <col min="27" max="16384" width="8.5" style="126"/>
  </cols>
  <sheetData>
    <row r="1" spans="1:26" ht="16" thickBot="1" x14ac:dyDescent="0.25">
      <c r="A1" s="493" t="s">
        <v>176</v>
      </c>
      <c r="B1" s="494"/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  <c r="O1" s="494"/>
      <c r="P1" s="494"/>
      <c r="Q1" s="495"/>
      <c r="R1" s="185"/>
      <c r="S1" s="185"/>
      <c r="T1" s="185"/>
      <c r="U1" s="185"/>
      <c r="V1" s="185"/>
      <c r="W1" s="185"/>
      <c r="X1" s="185"/>
      <c r="Y1" s="185"/>
      <c r="Z1" s="185"/>
    </row>
    <row r="2" spans="1:26" ht="49" thickBot="1" x14ac:dyDescent="0.25">
      <c r="A2" s="186" t="s">
        <v>177</v>
      </c>
      <c r="B2" s="186" t="s">
        <v>111</v>
      </c>
      <c r="C2" s="186" t="s">
        <v>178</v>
      </c>
      <c r="D2" s="186" t="s">
        <v>179</v>
      </c>
      <c r="E2" s="186" t="s">
        <v>180</v>
      </c>
      <c r="F2" s="186" t="s">
        <v>181</v>
      </c>
      <c r="G2" s="186" t="s">
        <v>182</v>
      </c>
      <c r="H2" s="186" t="s">
        <v>5</v>
      </c>
      <c r="I2" s="186" t="s">
        <v>183</v>
      </c>
      <c r="J2" s="186" t="s">
        <v>184</v>
      </c>
      <c r="K2" s="187"/>
      <c r="L2" s="187"/>
      <c r="M2" s="187"/>
      <c r="N2" s="187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</row>
    <row r="3" spans="1:26" ht="17" thickBot="1" x14ac:dyDescent="0.25">
      <c r="A3" s="188" t="s">
        <v>185</v>
      </c>
      <c r="B3" s="189">
        <v>62012</v>
      </c>
      <c r="C3" s="189">
        <v>0</v>
      </c>
      <c r="D3" s="189">
        <v>4723</v>
      </c>
      <c r="E3" s="189">
        <v>50000</v>
      </c>
      <c r="F3" s="189">
        <v>600</v>
      </c>
      <c r="G3" s="189">
        <v>55323</v>
      </c>
      <c r="H3" s="189">
        <v>6689</v>
      </c>
      <c r="I3" s="189">
        <v>6502</v>
      </c>
      <c r="J3" s="189">
        <v>-187</v>
      </c>
      <c r="K3" s="190"/>
      <c r="L3" s="190"/>
      <c r="M3" s="190"/>
      <c r="N3" s="190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</row>
    <row r="4" spans="1:26" ht="17" thickBot="1" x14ac:dyDescent="0.25">
      <c r="A4" s="191" t="s">
        <v>186</v>
      </c>
      <c r="B4" s="192">
        <v>151639</v>
      </c>
      <c r="C4" s="192">
        <v>32719</v>
      </c>
      <c r="D4" s="192">
        <v>9462</v>
      </c>
      <c r="E4" s="185"/>
      <c r="F4" s="192">
        <v>1100</v>
      </c>
      <c r="G4" s="192">
        <v>43281</v>
      </c>
      <c r="H4" s="192">
        <v>108358</v>
      </c>
      <c r="I4" s="192">
        <v>151639</v>
      </c>
      <c r="J4" s="192">
        <v>43281</v>
      </c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  <c r="Z4" s="185"/>
    </row>
    <row r="5" spans="1:26" ht="16" thickBot="1" x14ac:dyDescent="0.25">
      <c r="A5" s="190"/>
      <c r="B5" s="190"/>
      <c r="C5" s="190"/>
      <c r="D5" s="190"/>
      <c r="E5" s="190"/>
      <c r="F5" s="190"/>
      <c r="G5" s="190"/>
      <c r="H5" s="190"/>
      <c r="I5" s="190"/>
      <c r="J5" s="190"/>
      <c r="K5" s="190"/>
      <c r="L5" s="190"/>
      <c r="M5" s="190"/>
      <c r="N5" s="190"/>
      <c r="O5" s="185"/>
      <c r="P5" s="185"/>
      <c r="Q5" s="185"/>
      <c r="R5" s="185"/>
      <c r="S5" s="185"/>
      <c r="T5" s="185"/>
      <c r="U5" s="185"/>
      <c r="V5" s="185"/>
      <c r="W5" s="185"/>
      <c r="X5" s="185"/>
      <c r="Y5" s="185"/>
      <c r="Z5" s="185"/>
    </row>
    <row r="6" spans="1:26" ht="17" thickBot="1" x14ac:dyDescent="0.25">
      <c r="A6" s="193" t="s">
        <v>187</v>
      </c>
      <c r="B6" s="194">
        <v>213651</v>
      </c>
      <c r="C6" s="194">
        <v>32719</v>
      </c>
      <c r="D6" s="194">
        <v>14185</v>
      </c>
      <c r="E6" s="194">
        <v>51700</v>
      </c>
      <c r="F6" s="194">
        <v>1700</v>
      </c>
      <c r="G6" s="194">
        <v>98604</v>
      </c>
      <c r="H6" s="194">
        <v>115047</v>
      </c>
      <c r="I6" s="194">
        <v>158141</v>
      </c>
      <c r="J6" s="185"/>
      <c r="K6" s="185"/>
      <c r="L6" s="185"/>
      <c r="M6" s="185"/>
      <c r="N6" s="185"/>
      <c r="O6" s="185"/>
      <c r="P6" s="185"/>
      <c r="Q6" s="185"/>
      <c r="R6" s="185"/>
      <c r="S6" s="185"/>
      <c r="T6" s="185"/>
      <c r="U6" s="185"/>
      <c r="V6" s="185"/>
      <c r="W6" s="185"/>
      <c r="X6" s="185"/>
      <c r="Y6" s="185"/>
      <c r="Z6" s="185"/>
    </row>
    <row r="7" spans="1:26" ht="17" thickBot="1" x14ac:dyDescent="0.25">
      <c r="A7" s="190"/>
      <c r="B7" s="190"/>
      <c r="C7" s="190"/>
      <c r="D7" s="190"/>
      <c r="E7" s="190"/>
      <c r="F7" s="190"/>
      <c r="G7" s="188" t="s">
        <v>188</v>
      </c>
      <c r="H7" s="189">
        <v>116460</v>
      </c>
      <c r="I7" s="190"/>
      <c r="J7" s="190"/>
      <c r="K7" s="190"/>
      <c r="L7" s="190"/>
      <c r="M7" s="190"/>
      <c r="N7" s="190"/>
      <c r="O7" s="185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</row>
    <row r="8" spans="1:26" ht="16" thickBot="1" x14ac:dyDescent="0.25">
      <c r="A8" s="185"/>
      <c r="B8" s="185"/>
      <c r="C8" s="185"/>
      <c r="D8" s="185"/>
      <c r="E8" s="185"/>
      <c r="F8" s="185"/>
      <c r="G8" s="185"/>
      <c r="H8" s="192">
        <v>1413</v>
      </c>
      <c r="I8" s="185"/>
      <c r="J8" s="185"/>
      <c r="K8" s="185"/>
      <c r="L8" s="185"/>
      <c r="M8" s="185"/>
      <c r="N8" s="185"/>
      <c r="O8" s="185"/>
      <c r="P8" s="185"/>
      <c r="Q8" s="185"/>
      <c r="R8" s="185"/>
      <c r="S8" s="185"/>
      <c r="T8" s="185"/>
      <c r="U8" s="185"/>
      <c r="V8" s="185"/>
      <c r="W8" s="185"/>
      <c r="X8" s="185"/>
      <c r="Y8" s="185"/>
      <c r="Z8" s="185"/>
    </row>
    <row r="9" spans="1:26" ht="16" thickBot="1" x14ac:dyDescent="0.25">
      <c r="A9" s="195"/>
      <c r="B9" s="195"/>
      <c r="C9" s="195"/>
      <c r="D9" s="195"/>
      <c r="E9" s="195"/>
      <c r="F9" s="195"/>
      <c r="G9" s="195"/>
      <c r="H9" s="195"/>
      <c r="I9" s="195"/>
      <c r="J9" s="195"/>
      <c r="K9" s="195"/>
      <c r="L9" s="195"/>
      <c r="M9" s="195"/>
      <c r="N9" s="195"/>
      <c r="O9" s="185"/>
      <c r="P9" s="185"/>
      <c r="Q9" s="185"/>
      <c r="R9" s="185"/>
      <c r="S9" s="185"/>
      <c r="T9" s="185"/>
      <c r="U9" s="185"/>
      <c r="V9" s="185"/>
      <c r="W9" s="185"/>
      <c r="X9" s="185"/>
      <c r="Y9" s="185"/>
      <c r="Z9" s="185"/>
    </row>
    <row r="10" spans="1:26" ht="16" thickBot="1" x14ac:dyDescent="0.25">
      <c r="A10" s="18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</row>
    <row r="11" spans="1:26" ht="16" thickBot="1" x14ac:dyDescent="0.25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</row>
    <row r="12" spans="1:26" ht="16" thickBot="1" x14ac:dyDescent="0.25">
      <c r="A12" s="490" t="s">
        <v>189</v>
      </c>
      <c r="B12" s="491"/>
      <c r="C12" s="491"/>
      <c r="D12" s="491"/>
      <c r="E12" s="491"/>
      <c r="F12" s="491"/>
      <c r="G12" s="491"/>
      <c r="H12" s="491"/>
      <c r="I12" s="491"/>
      <c r="J12" s="491"/>
      <c r="K12" s="491"/>
      <c r="L12" s="491"/>
      <c r="M12" s="491"/>
      <c r="N12" s="491"/>
      <c r="O12" s="491"/>
      <c r="P12" s="491"/>
      <c r="Q12" s="492"/>
      <c r="R12" s="185"/>
      <c r="S12" s="185"/>
      <c r="T12" s="185"/>
      <c r="U12" s="185"/>
      <c r="V12" s="185"/>
      <c r="W12" s="185"/>
      <c r="X12" s="185"/>
      <c r="Y12" s="185"/>
      <c r="Z12" s="185"/>
    </row>
    <row r="13" spans="1:26" ht="33" thickBot="1" x14ac:dyDescent="0.25">
      <c r="A13" s="196" t="s">
        <v>190</v>
      </c>
      <c r="B13" s="196" t="s">
        <v>191</v>
      </c>
      <c r="C13" s="196" t="s">
        <v>178</v>
      </c>
      <c r="D13" s="196" t="s">
        <v>192</v>
      </c>
      <c r="E13" s="196" t="s">
        <v>193</v>
      </c>
      <c r="F13" s="196" t="s">
        <v>194</v>
      </c>
      <c r="G13" s="196" t="s">
        <v>195</v>
      </c>
      <c r="H13" s="196" t="s">
        <v>196</v>
      </c>
      <c r="I13" s="196" t="s">
        <v>197</v>
      </c>
      <c r="J13" s="197" t="s">
        <v>4</v>
      </c>
      <c r="K13" s="196" t="s">
        <v>198</v>
      </c>
      <c r="L13" s="196" t="s">
        <v>181</v>
      </c>
      <c r="M13" s="196" t="s">
        <v>179</v>
      </c>
      <c r="N13" s="196" t="s">
        <v>199</v>
      </c>
      <c r="O13" s="196" t="s">
        <v>200</v>
      </c>
      <c r="P13" s="196" t="s">
        <v>201</v>
      </c>
      <c r="Q13" s="196" t="s">
        <v>202</v>
      </c>
      <c r="R13" s="185"/>
      <c r="S13" s="185"/>
      <c r="T13" s="185"/>
      <c r="U13" s="185"/>
      <c r="V13" s="185"/>
      <c r="W13" s="185"/>
      <c r="X13" s="185"/>
      <c r="Y13" s="185"/>
      <c r="Z13" s="185"/>
    </row>
    <row r="14" spans="1:26" ht="17" thickBot="1" x14ac:dyDescent="0.25">
      <c r="A14" s="198" t="s">
        <v>38</v>
      </c>
      <c r="B14" s="199">
        <v>10500</v>
      </c>
      <c r="C14" s="199">
        <v>6300</v>
      </c>
      <c r="D14" s="199">
        <v>800</v>
      </c>
      <c r="E14" s="199">
        <v>1250</v>
      </c>
      <c r="F14" s="199">
        <v>7349</v>
      </c>
      <c r="G14" s="199">
        <v>2000</v>
      </c>
      <c r="H14" s="199">
        <v>0</v>
      </c>
      <c r="I14" s="199">
        <v>1800</v>
      </c>
      <c r="J14" s="199">
        <v>29999</v>
      </c>
      <c r="K14" s="199">
        <v>1875</v>
      </c>
      <c r="L14" s="200">
        <v>200</v>
      </c>
      <c r="M14" s="200">
        <v>1800</v>
      </c>
      <c r="N14" s="200">
        <v>27999</v>
      </c>
      <c r="O14" s="201"/>
      <c r="P14" s="201"/>
      <c r="Q14" s="201"/>
      <c r="R14" s="185"/>
      <c r="S14" s="185"/>
      <c r="T14" s="185"/>
      <c r="U14" s="185"/>
      <c r="V14" s="185"/>
      <c r="W14" s="185"/>
      <c r="X14" s="185"/>
      <c r="Y14" s="185"/>
      <c r="Z14" s="185"/>
    </row>
    <row r="15" spans="1:26" ht="17" thickBot="1" x14ac:dyDescent="0.25">
      <c r="A15" s="202" t="s">
        <v>39</v>
      </c>
      <c r="B15" s="203">
        <v>10500</v>
      </c>
      <c r="C15" s="203">
        <v>6300</v>
      </c>
      <c r="D15" s="203">
        <v>800</v>
      </c>
      <c r="E15" s="203">
        <v>1250</v>
      </c>
      <c r="F15" s="203">
        <v>7349</v>
      </c>
      <c r="G15" s="203">
        <v>2000</v>
      </c>
      <c r="H15" s="203">
        <v>0</v>
      </c>
      <c r="I15" s="203">
        <v>1800</v>
      </c>
      <c r="J15" s="203">
        <v>29999</v>
      </c>
      <c r="K15" s="203">
        <v>1875</v>
      </c>
      <c r="L15" s="204">
        <v>200</v>
      </c>
      <c r="M15" s="204">
        <v>1800</v>
      </c>
      <c r="N15" s="204">
        <v>27999</v>
      </c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</row>
    <row r="16" spans="1:26" ht="17" thickBot="1" x14ac:dyDescent="0.25">
      <c r="A16" s="198" t="s">
        <v>40</v>
      </c>
      <c r="B16" s="199">
        <v>10500</v>
      </c>
      <c r="C16" s="199">
        <v>6300</v>
      </c>
      <c r="D16" s="199">
        <v>800</v>
      </c>
      <c r="E16" s="199">
        <v>1250</v>
      </c>
      <c r="F16" s="199">
        <v>7349</v>
      </c>
      <c r="G16" s="199">
        <v>2000</v>
      </c>
      <c r="H16" s="199">
        <v>0</v>
      </c>
      <c r="I16" s="199">
        <v>1800</v>
      </c>
      <c r="J16" s="199">
        <v>29999</v>
      </c>
      <c r="K16" s="199">
        <v>1875</v>
      </c>
      <c r="L16" s="200">
        <v>200</v>
      </c>
      <c r="M16" s="200">
        <v>1800</v>
      </c>
      <c r="N16" s="200">
        <v>27999</v>
      </c>
      <c r="O16" s="201"/>
      <c r="P16" s="201"/>
      <c r="Q16" s="201"/>
      <c r="R16" s="185"/>
      <c r="S16" s="185"/>
      <c r="T16" s="185"/>
      <c r="U16" s="185"/>
      <c r="V16" s="185"/>
      <c r="W16" s="185"/>
      <c r="X16" s="185"/>
      <c r="Y16" s="185"/>
      <c r="Z16" s="185"/>
    </row>
    <row r="17" spans="1:26" ht="17" thickBot="1" x14ac:dyDescent="0.25">
      <c r="A17" s="202" t="s">
        <v>41</v>
      </c>
      <c r="B17" s="203">
        <v>10500</v>
      </c>
      <c r="C17" s="203">
        <v>6300</v>
      </c>
      <c r="D17" s="203">
        <v>800</v>
      </c>
      <c r="E17" s="203">
        <v>1250</v>
      </c>
      <c r="F17" s="203">
        <v>7349</v>
      </c>
      <c r="G17" s="203">
        <v>2000</v>
      </c>
      <c r="H17" s="203">
        <v>0</v>
      </c>
      <c r="I17" s="203">
        <v>1800</v>
      </c>
      <c r="J17" s="203">
        <v>29999</v>
      </c>
      <c r="K17" s="203">
        <v>1875</v>
      </c>
      <c r="L17" s="204">
        <v>200</v>
      </c>
      <c r="M17" s="204">
        <v>1800</v>
      </c>
      <c r="N17" s="204">
        <v>27999</v>
      </c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</row>
    <row r="18" spans="1:26" ht="17" thickBot="1" x14ac:dyDescent="0.25">
      <c r="A18" s="198" t="s">
        <v>43</v>
      </c>
      <c r="B18" s="199">
        <v>10500</v>
      </c>
      <c r="C18" s="199">
        <v>6300</v>
      </c>
      <c r="D18" s="199">
        <v>800</v>
      </c>
      <c r="E18" s="199">
        <v>1250</v>
      </c>
      <c r="F18" s="199">
        <v>7349</v>
      </c>
      <c r="G18" s="199">
        <v>2000</v>
      </c>
      <c r="H18" s="199">
        <v>0</v>
      </c>
      <c r="I18" s="199">
        <v>1800</v>
      </c>
      <c r="J18" s="199">
        <v>29999</v>
      </c>
      <c r="K18" s="199">
        <v>1875</v>
      </c>
      <c r="L18" s="200">
        <v>200</v>
      </c>
      <c r="M18" s="200">
        <v>1800</v>
      </c>
      <c r="N18" s="200">
        <v>27999</v>
      </c>
      <c r="O18" s="201"/>
      <c r="P18" s="201"/>
      <c r="Q18" s="201"/>
      <c r="R18" s="185"/>
      <c r="S18" s="185"/>
      <c r="T18" s="185"/>
      <c r="U18" s="185"/>
      <c r="V18" s="185"/>
      <c r="W18" s="185"/>
      <c r="X18" s="185"/>
      <c r="Y18" s="185"/>
      <c r="Z18" s="185"/>
    </row>
    <row r="19" spans="1:26" ht="17" thickBot="1" x14ac:dyDescent="0.25">
      <c r="A19" s="202" t="s">
        <v>44</v>
      </c>
      <c r="B19" s="203">
        <v>10500</v>
      </c>
      <c r="C19" s="203">
        <v>6300</v>
      </c>
      <c r="D19" s="203">
        <v>800</v>
      </c>
      <c r="E19" s="203">
        <v>1250</v>
      </c>
      <c r="F19" s="203">
        <v>7349</v>
      </c>
      <c r="G19" s="203">
        <v>2000</v>
      </c>
      <c r="H19" s="203">
        <v>0</v>
      </c>
      <c r="I19" s="203">
        <v>1800</v>
      </c>
      <c r="J19" s="203">
        <v>29999</v>
      </c>
      <c r="K19" s="203">
        <v>1875</v>
      </c>
      <c r="L19" s="204">
        <v>200</v>
      </c>
      <c r="M19" s="204">
        <v>1800</v>
      </c>
      <c r="N19" s="204">
        <v>27999</v>
      </c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</row>
    <row r="20" spans="1:26" ht="17" thickBot="1" x14ac:dyDescent="0.25">
      <c r="A20" s="198" t="s">
        <v>45</v>
      </c>
      <c r="B20" s="199">
        <v>10776</v>
      </c>
      <c r="C20" s="199">
        <v>6300</v>
      </c>
      <c r="D20" s="199">
        <v>800</v>
      </c>
      <c r="E20" s="199">
        <v>1250</v>
      </c>
      <c r="F20" s="199">
        <v>7860</v>
      </c>
      <c r="G20" s="199">
        <v>2000</v>
      </c>
      <c r="H20" s="199">
        <v>0</v>
      </c>
      <c r="I20" s="199">
        <v>1800</v>
      </c>
      <c r="J20" s="199">
        <v>30786</v>
      </c>
      <c r="K20" s="199">
        <v>1875</v>
      </c>
      <c r="L20" s="200">
        <v>200</v>
      </c>
      <c r="M20" s="200">
        <v>1800</v>
      </c>
      <c r="N20" s="200">
        <v>28786</v>
      </c>
      <c r="O20" s="201"/>
      <c r="P20" s="201"/>
      <c r="Q20" s="201"/>
      <c r="R20" s="185"/>
      <c r="S20" s="185"/>
      <c r="T20" s="185"/>
      <c r="U20" s="185"/>
      <c r="V20" s="185"/>
      <c r="W20" s="185"/>
      <c r="X20" s="185"/>
      <c r="Y20" s="185"/>
      <c r="Z20" s="185"/>
    </row>
    <row r="21" spans="1:26" ht="17" thickBot="1" x14ac:dyDescent="0.25">
      <c r="A21" s="202" t="s">
        <v>46</v>
      </c>
      <c r="B21" s="203">
        <v>11925</v>
      </c>
      <c r="C21" s="203">
        <v>6300</v>
      </c>
      <c r="D21" s="203">
        <v>800</v>
      </c>
      <c r="E21" s="203">
        <v>1250</v>
      </c>
      <c r="F21" s="203">
        <v>9987</v>
      </c>
      <c r="G21" s="203">
        <v>2000</v>
      </c>
      <c r="H21" s="203">
        <v>600</v>
      </c>
      <c r="I21" s="203">
        <v>1800</v>
      </c>
      <c r="J21" s="203">
        <v>34662</v>
      </c>
      <c r="K21" s="203">
        <v>1875</v>
      </c>
      <c r="L21" s="204">
        <v>200</v>
      </c>
      <c r="M21" s="204">
        <v>1800</v>
      </c>
      <c r="N21" s="204">
        <v>32662</v>
      </c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</row>
    <row r="22" spans="1:26" ht="17" thickBot="1" x14ac:dyDescent="0.25">
      <c r="A22" s="198" t="s">
        <v>47</v>
      </c>
      <c r="B22" s="199">
        <v>12100</v>
      </c>
      <c r="C22" s="199">
        <v>6300</v>
      </c>
      <c r="D22" s="199">
        <v>800</v>
      </c>
      <c r="E22" s="199">
        <v>1250</v>
      </c>
      <c r="F22" s="199">
        <v>10312</v>
      </c>
      <c r="G22" s="199">
        <v>2000</v>
      </c>
      <c r="H22" s="199">
        <v>0</v>
      </c>
      <c r="I22" s="199">
        <v>0</v>
      </c>
      <c r="J22" s="199">
        <v>32762</v>
      </c>
      <c r="K22" s="199">
        <v>1875</v>
      </c>
      <c r="L22" s="200">
        <v>200</v>
      </c>
      <c r="M22" s="200">
        <v>1800</v>
      </c>
      <c r="N22" s="200">
        <v>30762</v>
      </c>
      <c r="O22" s="201"/>
      <c r="P22" s="201"/>
      <c r="Q22" s="201"/>
      <c r="R22" s="185"/>
      <c r="S22" s="185"/>
      <c r="T22" s="185"/>
      <c r="U22" s="185"/>
      <c r="V22" s="185"/>
      <c r="W22" s="185"/>
      <c r="X22" s="185"/>
      <c r="Y22" s="185"/>
      <c r="Z22" s="185"/>
    </row>
    <row r="23" spans="1:26" ht="17" thickBot="1" x14ac:dyDescent="0.25">
      <c r="A23" s="202" t="s">
        <v>34</v>
      </c>
      <c r="B23" s="203">
        <v>12100</v>
      </c>
      <c r="C23" s="203">
        <v>6300</v>
      </c>
      <c r="D23" s="203">
        <v>800</v>
      </c>
      <c r="E23" s="203">
        <v>1250</v>
      </c>
      <c r="F23" s="203">
        <v>10312</v>
      </c>
      <c r="G23" s="203">
        <v>2000</v>
      </c>
      <c r="H23" s="203">
        <v>0</v>
      </c>
      <c r="I23" s="203">
        <v>0</v>
      </c>
      <c r="J23" s="203">
        <v>32762</v>
      </c>
      <c r="K23" s="203">
        <v>1875</v>
      </c>
      <c r="L23" s="204">
        <v>200</v>
      </c>
      <c r="M23" s="204">
        <v>1800</v>
      </c>
      <c r="N23" s="204">
        <v>30762</v>
      </c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</row>
    <row r="24" spans="1:26" ht="17" thickBot="1" x14ac:dyDescent="0.25">
      <c r="A24" s="198" t="s">
        <v>36</v>
      </c>
      <c r="B24" s="199">
        <v>12100</v>
      </c>
      <c r="C24" s="199">
        <v>6300</v>
      </c>
      <c r="D24" s="199">
        <v>800</v>
      </c>
      <c r="E24" s="199">
        <v>1250</v>
      </c>
      <c r="F24" s="199">
        <v>10312</v>
      </c>
      <c r="G24" s="199">
        <v>2000</v>
      </c>
      <c r="H24" s="199">
        <v>0</v>
      </c>
      <c r="I24" s="199">
        <v>0</v>
      </c>
      <c r="J24" s="199">
        <v>32762</v>
      </c>
      <c r="K24" s="199">
        <v>1875</v>
      </c>
      <c r="L24" s="200">
        <v>300</v>
      </c>
      <c r="M24" s="200">
        <v>1800</v>
      </c>
      <c r="N24" s="200">
        <v>30662</v>
      </c>
      <c r="O24" s="201"/>
      <c r="P24" s="201"/>
      <c r="Q24" s="201"/>
      <c r="R24" s="185"/>
      <c r="S24" s="185"/>
      <c r="T24" s="185"/>
      <c r="U24" s="185"/>
      <c r="V24" s="185"/>
      <c r="W24" s="185"/>
      <c r="X24" s="185"/>
      <c r="Y24" s="185"/>
      <c r="Z24" s="185"/>
    </row>
    <row r="25" spans="1:26" ht="17" thickBot="1" x14ac:dyDescent="0.25">
      <c r="A25" s="202" t="s">
        <v>37</v>
      </c>
      <c r="B25" s="203">
        <v>12100</v>
      </c>
      <c r="C25" s="203">
        <v>6300</v>
      </c>
      <c r="D25" s="203">
        <v>800</v>
      </c>
      <c r="E25" s="203">
        <v>1250</v>
      </c>
      <c r="F25" s="203">
        <v>10312</v>
      </c>
      <c r="G25" s="203">
        <v>2000</v>
      </c>
      <c r="H25" s="203">
        <v>24750</v>
      </c>
      <c r="I25" s="203">
        <v>0</v>
      </c>
      <c r="J25" s="203">
        <v>57512</v>
      </c>
      <c r="K25" s="203">
        <v>1875</v>
      </c>
      <c r="L25" s="204">
        <v>200</v>
      </c>
      <c r="M25" s="204">
        <v>1800</v>
      </c>
      <c r="N25" s="204">
        <v>55512</v>
      </c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</row>
    <row r="26" spans="1:26" ht="17" thickBot="1" x14ac:dyDescent="0.25">
      <c r="A26" s="205" t="s">
        <v>203</v>
      </c>
      <c r="B26" s="206"/>
      <c r="C26" s="207">
        <v>75600</v>
      </c>
      <c r="D26" s="206"/>
      <c r="E26" s="206"/>
      <c r="F26" s="206"/>
      <c r="G26" s="206"/>
      <c r="H26" s="208">
        <v>25350</v>
      </c>
      <c r="I26" s="206"/>
      <c r="J26" s="208">
        <v>401240</v>
      </c>
      <c r="K26" s="209">
        <v>22500</v>
      </c>
      <c r="L26" s="209">
        <v>2500</v>
      </c>
      <c r="M26" s="209">
        <v>21600</v>
      </c>
      <c r="N26" s="209">
        <v>377140</v>
      </c>
      <c r="O26" s="206"/>
      <c r="P26" s="206"/>
      <c r="Q26" s="206"/>
      <c r="R26" s="185"/>
      <c r="S26" s="185"/>
      <c r="T26" s="185"/>
      <c r="U26" s="185"/>
      <c r="V26" s="185"/>
      <c r="W26" s="185"/>
      <c r="X26" s="185"/>
      <c r="Y26" s="185"/>
      <c r="Z26" s="185"/>
    </row>
    <row r="27" spans="1:26" ht="16" thickBot="1" x14ac:dyDescent="0.25">
      <c r="A27" s="185"/>
      <c r="B27" s="185"/>
      <c r="C27" s="185"/>
      <c r="D27" s="185"/>
      <c r="E27" s="185"/>
      <c r="F27" s="185"/>
      <c r="G27" s="185" t="s">
        <v>204</v>
      </c>
      <c r="H27" s="361">
        <v>112.66666669999999</v>
      </c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</row>
    <row r="28" spans="1:26" ht="16" thickBot="1" x14ac:dyDescent="0.25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K28" s="210"/>
      <c r="L28" s="210"/>
      <c r="M28" s="210"/>
      <c r="N28" s="210"/>
      <c r="O28" s="210"/>
      <c r="P28" s="210"/>
      <c r="Q28" s="210"/>
      <c r="R28" s="185"/>
      <c r="S28" s="185"/>
      <c r="T28" s="185"/>
      <c r="U28" s="185"/>
      <c r="V28" s="185"/>
      <c r="W28" s="185"/>
      <c r="X28" s="185"/>
      <c r="Y28" s="185"/>
      <c r="Z28" s="185"/>
    </row>
    <row r="29" spans="1:26" ht="33" thickBot="1" x14ac:dyDescent="0.25">
      <c r="A29" s="211" t="s">
        <v>200</v>
      </c>
      <c r="B29" s="212" t="s">
        <v>191</v>
      </c>
      <c r="C29" s="212" t="s">
        <v>178</v>
      </c>
      <c r="D29" s="212" t="s">
        <v>192</v>
      </c>
      <c r="E29" s="212" t="s">
        <v>193</v>
      </c>
      <c r="F29" s="212" t="s">
        <v>194</v>
      </c>
      <c r="G29" s="212" t="s">
        <v>195</v>
      </c>
      <c r="H29" s="212" t="s">
        <v>196</v>
      </c>
      <c r="I29" s="212" t="s">
        <v>197</v>
      </c>
      <c r="J29" s="212" t="s">
        <v>4</v>
      </c>
      <c r="K29" s="213" t="s">
        <v>198</v>
      </c>
      <c r="L29" s="213" t="s">
        <v>181</v>
      </c>
      <c r="M29" s="213" t="s">
        <v>179</v>
      </c>
      <c r="N29" s="214" t="s">
        <v>199</v>
      </c>
      <c r="O29" s="213" t="s">
        <v>205</v>
      </c>
      <c r="P29" s="213" t="s">
        <v>206</v>
      </c>
      <c r="Q29" s="213" t="s">
        <v>207</v>
      </c>
      <c r="R29" s="185"/>
      <c r="S29" s="185"/>
      <c r="T29" s="185"/>
      <c r="U29" s="185"/>
      <c r="V29" s="185"/>
      <c r="W29" s="185"/>
      <c r="X29" s="185"/>
      <c r="Y29" s="185"/>
      <c r="Z29" s="185"/>
    </row>
    <row r="30" spans="1:26" ht="17" thickBot="1" x14ac:dyDescent="0.25">
      <c r="A30" s="362" t="s">
        <v>208</v>
      </c>
      <c r="B30" s="215">
        <v>10500</v>
      </c>
      <c r="C30" s="215">
        <v>6300</v>
      </c>
      <c r="D30" s="215">
        <v>800</v>
      </c>
      <c r="E30" s="215">
        <v>1250</v>
      </c>
      <c r="F30" s="215">
        <v>7349</v>
      </c>
      <c r="G30" s="215">
        <v>2000</v>
      </c>
      <c r="H30" s="215">
        <v>0</v>
      </c>
      <c r="I30" s="215">
        <v>0</v>
      </c>
      <c r="J30" s="215">
        <v>28199</v>
      </c>
      <c r="K30" s="363">
        <v>1875</v>
      </c>
      <c r="L30" s="363">
        <v>200</v>
      </c>
      <c r="M30" s="363">
        <v>1800</v>
      </c>
      <c r="N30" s="216">
        <v>26199</v>
      </c>
      <c r="O30" s="217">
        <v>29999</v>
      </c>
      <c r="P30" s="363">
        <v>31874</v>
      </c>
      <c r="Q30" s="215">
        <v>382488</v>
      </c>
      <c r="R30" s="185"/>
      <c r="S30" s="185"/>
      <c r="T30" s="185"/>
      <c r="U30" s="185"/>
      <c r="V30" s="185"/>
      <c r="W30" s="185"/>
      <c r="X30" s="185"/>
      <c r="Y30" s="185"/>
      <c r="Z30" s="185"/>
    </row>
    <row r="31" spans="1:26" ht="16" thickBot="1" x14ac:dyDescent="0.25">
      <c r="A31" s="218"/>
      <c r="B31" s="219"/>
      <c r="C31" s="219"/>
      <c r="D31" s="219"/>
      <c r="E31" s="219"/>
      <c r="F31" s="219"/>
      <c r="G31" s="219"/>
      <c r="H31" s="219"/>
      <c r="I31" s="219"/>
      <c r="J31" s="219"/>
      <c r="K31" s="219"/>
      <c r="L31" s="219"/>
      <c r="M31" s="220"/>
      <c r="N31" s="220"/>
      <c r="O31" s="220"/>
      <c r="P31" s="220"/>
      <c r="Q31" s="221">
        <v>400000</v>
      </c>
      <c r="R31" s="185"/>
      <c r="S31" s="185"/>
      <c r="T31" s="185"/>
      <c r="U31" s="185"/>
      <c r="V31" s="185"/>
      <c r="W31" s="185"/>
      <c r="X31" s="185"/>
      <c r="Y31" s="185"/>
      <c r="Z31" s="185"/>
    </row>
    <row r="32" spans="1:26" ht="17" thickBot="1" x14ac:dyDescent="0.25">
      <c r="A32" s="364" t="s">
        <v>209</v>
      </c>
      <c r="B32" s="215">
        <v>126000</v>
      </c>
      <c r="C32" s="215">
        <v>75600</v>
      </c>
      <c r="D32" s="215">
        <v>9600</v>
      </c>
      <c r="E32" s="215">
        <v>15000</v>
      </c>
      <c r="F32" s="215">
        <v>88188</v>
      </c>
      <c r="G32" s="215">
        <v>24000</v>
      </c>
      <c r="H32" s="215">
        <v>0</v>
      </c>
      <c r="I32" s="215">
        <v>0</v>
      </c>
      <c r="J32" s="215">
        <v>338388</v>
      </c>
      <c r="K32" s="363">
        <v>22500</v>
      </c>
      <c r="L32" s="363">
        <v>2500</v>
      </c>
      <c r="M32" s="363">
        <v>21600</v>
      </c>
      <c r="N32" s="216">
        <v>314288</v>
      </c>
      <c r="O32" s="217">
        <v>359988</v>
      </c>
      <c r="P32" s="363">
        <v>382488</v>
      </c>
      <c r="Q32" s="215">
        <v>17512</v>
      </c>
      <c r="R32" s="185"/>
      <c r="S32" s="185"/>
      <c r="T32" s="185"/>
      <c r="U32" s="185"/>
      <c r="V32" s="185"/>
      <c r="W32" s="185"/>
      <c r="X32" s="185"/>
      <c r="Y32" s="185"/>
      <c r="Z32" s="185"/>
    </row>
    <row r="33" spans="1:26" ht="16" thickBot="1" x14ac:dyDescent="0.25">
      <c r="A33" s="222"/>
      <c r="B33" s="223"/>
      <c r="C33" s="223"/>
      <c r="D33" s="223"/>
      <c r="E33" s="223"/>
      <c r="F33" s="223"/>
      <c r="G33" s="223"/>
      <c r="H33" s="223"/>
      <c r="I33" s="223"/>
      <c r="J33" s="223"/>
      <c r="K33" s="223"/>
      <c r="L33" s="223"/>
      <c r="M33" s="224"/>
      <c r="N33" s="224"/>
      <c r="O33" s="224"/>
      <c r="P33" s="224"/>
      <c r="Q33" s="223"/>
      <c r="R33" s="185"/>
      <c r="S33" s="185"/>
      <c r="T33" s="185"/>
      <c r="U33" s="185"/>
      <c r="V33" s="185"/>
      <c r="W33" s="185"/>
      <c r="X33" s="185"/>
      <c r="Y33" s="185"/>
      <c r="Z33" s="185"/>
    </row>
    <row r="34" spans="1:26" ht="17" thickBot="1" x14ac:dyDescent="0.25">
      <c r="A34" s="362" t="s">
        <v>210</v>
      </c>
      <c r="B34" s="215">
        <v>11925</v>
      </c>
      <c r="C34" s="215">
        <v>6300</v>
      </c>
      <c r="D34" s="215">
        <v>800</v>
      </c>
      <c r="E34" s="215">
        <v>1250</v>
      </c>
      <c r="F34" s="215">
        <v>9987</v>
      </c>
      <c r="G34" s="215">
        <v>2000</v>
      </c>
      <c r="H34" s="215">
        <v>0</v>
      </c>
      <c r="I34" s="215">
        <v>0</v>
      </c>
      <c r="J34" s="215">
        <v>32262</v>
      </c>
      <c r="K34" s="363">
        <v>1875</v>
      </c>
      <c r="L34" s="363">
        <v>200</v>
      </c>
      <c r="M34" s="363">
        <v>1800</v>
      </c>
      <c r="N34" s="216">
        <v>30262</v>
      </c>
      <c r="O34" s="217">
        <v>34062</v>
      </c>
      <c r="P34" s="363">
        <v>35937</v>
      </c>
      <c r="Q34" s="215">
        <v>431244</v>
      </c>
      <c r="R34" s="225">
        <v>12.747066569999999</v>
      </c>
      <c r="S34" s="185"/>
      <c r="T34" s="185"/>
      <c r="U34" s="185"/>
      <c r="V34" s="185"/>
      <c r="W34" s="185"/>
      <c r="X34" s="185"/>
      <c r="Y34" s="185"/>
      <c r="Z34" s="185"/>
    </row>
    <row r="35" spans="1:26" ht="16" thickBot="1" x14ac:dyDescent="0.25">
      <c r="A35" s="218"/>
      <c r="B35" s="219"/>
      <c r="C35" s="219"/>
      <c r="D35" s="219"/>
      <c r="E35" s="219"/>
      <c r="F35" s="219"/>
      <c r="G35" s="219"/>
      <c r="H35" s="219"/>
      <c r="I35" s="219"/>
      <c r="J35" s="219"/>
      <c r="K35" s="219"/>
      <c r="L35" s="219"/>
      <c r="M35" s="220"/>
      <c r="N35" s="220"/>
      <c r="O35" s="220"/>
      <c r="P35" s="220"/>
      <c r="Q35" s="365">
        <v>450000</v>
      </c>
      <c r="R35" s="185"/>
      <c r="S35" s="185"/>
      <c r="T35" s="185"/>
      <c r="U35" s="185"/>
      <c r="V35" s="185"/>
      <c r="W35" s="185"/>
      <c r="X35" s="185"/>
      <c r="Y35" s="185"/>
      <c r="Z35" s="185"/>
    </row>
    <row r="36" spans="1:26" ht="17" thickBot="1" x14ac:dyDescent="0.25">
      <c r="A36" s="364" t="s">
        <v>211</v>
      </c>
      <c r="B36" s="215">
        <v>143100</v>
      </c>
      <c r="C36" s="215">
        <v>75600</v>
      </c>
      <c r="D36" s="215">
        <v>9600</v>
      </c>
      <c r="E36" s="215">
        <v>15000</v>
      </c>
      <c r="F36" s="215">
        <v>119844</v>
      </c>
      <c r="G36" s="215">
        <v>24000</v>
      </c>
      <c r="H36" s="215">
        <v>0</v>
      </c>
      <c r="I36" s="215">
        <v>0</v>
      </c>
      <c r="J36" s="215">
        <v>387144</v>
      </c>
      <c r="K36" s="363">
        <v>22500</v>
      </c>
      <c r="L36" s="363">
        <v>2500</v>
      </c>
      <c r="M36" s="363">
        <v>21600</v>
      </c>
      <c r="N36" s="216">
        <v>363044</v>
      </c>
      <c r="O36" s="217">
        <v>408744</v>
      </c>
      <c r="P36" s="363">
        <v>431244</v>
      </c>
      <c r="Q36" s="363">
        <v>18756</v>
      </c>
      <c r="R36" s="185"/>
      <c r="S36" s="185"/>
      <c r="T36" s="185"/>
      <c r="U36" s="185"/>
      <c r="V36" s="185"/>
      <c r="W36" s="185"/>
      <c r="X36" s="185"/>
      <c r="Y36" s="185"/>
      <c r="Z36" s="185"/>
    </row>
    <row r="37" spans="1:26" ht="16" thickBot="1" x14ac:dyDescent="0.25">
      <c r="A37" s="222"/>
      <c r="B37" s="223"/>
      <c r="C37" s="223"/>
      <c r="D37" s="223"/>
      <c r="E37" s="223"/>
      <c r="F37" s="223"/>
      <c r="G37" s="223"/>
      <c r="H37" s="223"/>
      <c r="I37" s="223"/>
      <c r="J37" s="223"/>
      <c r="K37" s="223"/>
      <c r="L37" s="223"/>
      <c r="M37" s="223"/>
      <c r="N37" s="223"/>
      <c r="O37" s="223"/>
      <c r="P37" s="223"/>
      <c r="Q37" s="223"/>
      <c r="R37" s="185"/>
      <c r="S37" s="185"/>
      <c r="T37" s="185"/>
      <c r="U37" s="185"/>
      <c r="V37" s="185"/>
      <c r="W37" s="185"/>
      <c r="X37" s="185"/>
      <c r="Y37" s="185"/>
      <c r="Z37" s="185"/>
    </row>
    <row r="38" spans="1:26" ht="17" thickBot="1" x14ac:dyDescent="0.25">
      <c r="A38" s="226" t="s">
        <v>212</v>
      </c>
      <c r="B38" s="215">
        <v>12100</v>
      </c>
      <c r="C38" s="215">
        <v>7260</v>
      </c>
      <c r="D38" s="215">
        <v>800</v>
      </c>
      <c r="E38" s="215">
        <v>1250</v>
      </c>
      <c r="F38" s="215">
        <v>9352</v>
      </c>
      <c r="G38" s="215">
        <v>2000</v>
      </c>
      <c r="H38" s="215">
        <v>0</v>
      </c>
      <c r="I38" s="215">
        <v>0</v>
      </c>
      <c r="J38" s="215">
        <v>32762</v>
      </c>
      <c r="K38" s="363">
        <v>1875</v>
      </c>
      <c r="L38" s="363">
        <v>200</v>
      </c>
      <c r="M38" s="363">
        <v>1800</v>
      </c>
      <c r="N38" s="216">
        <v>30762</v>
      </c>
      <c r="O38" s="217">
        <v>34562</v>
      </c>
      <c r="P38" s="363">
        <v>36437</v>
      </c>
      <c r="Q38" s="215">
        <v>437244</v>
      </c>
      <c r="R38" s="185"/>
      <c r="S38" s="185"/>
      <c r="T38" s="185"/>
      <c r="U38" s="185"/>
      <c r="V38" s="185"/>
      <c r="W38" s="185"/>
      <c r="X38" s="185"/>
      <c r="Y38" s="185"/>
      <c r="Z38" s="185"/>
    </row>
    <row r="39" spans="1:26" ht="16" thickBot="1" x14ac:dyDescent="0.25">
      <c r="A39" s="227"/>
      <c r="B39" s="219"/>
      <c r="C39" s="219"/>
      <c r="D39" s="219"/>
      <c r="E39" s="219"/>
      <c r="F39" s="219"/>
      <c r="G39" s="219"/>
      <c r="H39" s="219"/>
      <c r="I39" s="219"/>
      <c r="J39" s="219"/>
      <c r="K39" s="219"/>
      <c r="L39" s="219"/>
      <c r="M39" s="220"/>
      <c r="N39" s="220"/>
      <c r="O39" s="220"/>
      <c r="P39" s="220"/>
      <c r="Q39" s="365">
        <v>456744</v>
      </c>
      <c r="R39" s="225">
        <v>1.498666667</v>
      </c>
      <c r="S39" s="185"/>
      <c r="T39" s="185"/>
      <c r="U39" s="185"/>
      <c r="V39" s="185"/>
      <c r="W39" s="185"/>
      <c r="X39" s="185"/>
      <c r="Y39" s="185"/>
      <c r="Z39" s="185"/>
    </row>
    <row r="40" spans="1:26" ht="17" thickBot="1" x14ac:dyDescent="0.25">
      <c r="A40" s="362" t="s">
        <v>213</v>
      </c>
      <c r="B40" s="215">
        <v>145200</v>
      </c>
      <c r="C40" s="215">
        <v>87120</v>
      </c>
      <c r="D40" s="215">
        <v>9600</v>
      </c>
      <c r="E40" s="215">
        <v>15000</v>
      </c>
      <c r="F40" s="215">
        <v>112224</v>
      </c>
      <c r="G40" s="215">
        <v>24000</v>
      </c>
      <c r="H40" s="215">
        <v>0</v>
      </c>
      <c r="I40" s="215">
        <v>0</v>
      </c>
      <c r="J40" s="215">
        <v>393144</v>
      </c>
      <c r="K40" s="363">
        <v>22500</v>
      </c>
      <c r="L40" s="363">
        <v>2500</v>
      </c>
      <c r="M40" s="363">
        <v>21600</v>
      </c>
      <c r="N40" s="216">
        <v>369044</v>
      </c>
      <c r="O40" s="217">
        <v>414744</v>
      </c>
      <c r="P40" s="363">
        <v>437244</v>
      </c>
      <c r="Q40" s="363">
        <v>19500</v>
      </c>
      <c r="R40" s="185"/>
      <c r="S40" s="185"/>
      <c r="T40" s="185"/>
      <c r="U40" s="185"/>
      <c r="V40" s="185"/>
      <c r="W40" s="185"/>
      <c r="X40" s="185"/>
      <c r="Y40" s="185"/>
      <c r="Z40" s="185"/>
    </row>
    <row r="41" spans="1:26" ht="16" thickBot="1" x14ac:dyDescent="0.25">
      <c r="A41" s="185"/>
      <c r="B41" s="185"/>
      <c r="C41" s="185"/>
      <c r="D41" s="185"/>
      <c r="E41" s="185"/>
      <c r="F41" s="185"/>
      <c r="G41" s="185"/>
      <c r="H41" s="185"/>
      <c r="I41" s="185"/>
      <c r="J41" s="185"/>
      <c r="K41" s="185"/>
      <c r="L41" s="185"/>
      <c r="M41" s="185"/>
      <c r="N41" s="185"/>
      <c r="O41" s="185"/>
      <c r="P41" s="185"/>
      <c r="Q41" s="185"/>
      <c r="R41" s="185"/>
      <c r="S41" s="185"/>
      <c r="T41" s="185"/>
      <c r="U41" s="185"/>
      <c r="V41" s="185"/>
      <c r="W41" s="185"/>
      <c r="X41" s="185"/>
      <c r="Y41" s="185"/>
      <c r="Z41" s="185"/>
    </row>
    <row r="42" spans="1:26" ht="16" thickBot="1" x14ac:dyDescent="0.25">
      <c r="A42" s="185"/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5"/>
      <c r="O42" s="185"/>
      <c r="P42" s="185"/>
      <c r="Q42" s="185"/>
      <c r="R42" s="185"/>
      <c r="S42" s="185"/>
      <c r="T42" s="185"/>
      <c r="U42" s="185"/>
      <c r="V42" s="185"/>
      <c r="W42" s="185"/>
      <c r="X42" s="185"/>
      <c r="Y42" s="185"/>
      <c r="Z42" s="185"/>
    </row>
    <row r="43" spans="1:26" ht="16" thickBot="1" x14ac:dyDescent="0.25">
      <c r="A43" s="185"/>
      <c r="B43" s="185"/>
      <c r="C43" s="185"/>
      <c r="D43" s="185"/>
      <c r="E43" s="185"/>
      <c r="F43" s="185"/>
      <c r="G43" s="185"/>
      <c r="H43" s="185"/>
      <c r="I43" s="185"/>
      <c r="J43" s="185"/>
      <c r="K43" s="185"/>
      <c r="L43" s="185"/>
      <c r="M43" s="185"/>
      <c r="N43" s="185"/>
      <c r="O43" s="185"/>
      <c r="P43" s="185"/>
      <c r="Q43" s="185"/>
      <c r="R43" s="185"/>
      <c r="S43" s="185"/>
      <c r="T43" s="185"/>
      <c r="U43" s="185"/>
      <c r="V43" s="185"/>
      <c r="W43" s="185"/>
      <c r="X43" s="185"/>
      <c r="Y43" s="185"/>
      <c r="Z43" s="185"/>
    </row>
    <row r="44" spans="1:26" ht="16" thickBot="1" x14ac:dyDescent="0.25">
      <c r="A44" s="185"/>
      <c r="B44" s="185"/>
      <c r="C44" s="185"/>
      <c r="D44" s="185"/>
      <c r="E44" s="185"/>
      <c r="F44" s="185"/>
      <c r="G44" s="185"/>
      <c r="H44" s="185"/>
      <c r="I44" s="185"/>
      <c r="J44" s="185"/>
      <c r="K44" s="185"/>
      <c r="L44" s="496" t="s">
        <v>214</v>
      </c>
      <c r="M44" s="497"/>
      <c r="N44" s="185"/>
      <c r="O44" s="185"/>
      <c r="P44" s="185"/>
      <c r="Q44" s="185"/>
      <c r="R44" s="185"/>
      <c r="S44" s="185"/>
      <c r="T44" s="185"/>
      <c r="U44" s="185"/>
      <c r="V44" s="185"/>
      <c r="W44" s="185"/>
      <c r="X44" s="185"/>
      <c r="Y44" s="185"/>
      <c r="Z44" s="185"/>
    </row>
    <row r="45" spans="1:26" ht="16" thickBot="1" x14ac:dyDescent="0.25">
      <c r="A45" s="490" t="s">
        <v>215</v>
      </c>
      <c r="B45" s="491"/>
      <c r="C45" s="491"/>
      <c r="D45" s="491"/>
      <c r="E45" s="491"/>
      <c r="F45" s="491"/>
      <c r="G45" s="491"/>
      <c r="H45" s="491"/>
      <c r="I45" s="491"/>
      <c r="J45" s="491"/>
      <c r="K45" s="491"/>
      <c r="L45" s="491"/>
      <c r="M45" s="491"/>
      <c r="N45" s="491"/>
      <c r="O45" s="491"/>
      <c r="P45" s="491"/>
      <c r="Q45" s="492"/>
      <c r="R45" s="185"/>
      <c r="S45" s="185"/>
      <c r="T45" s="185"/>
      <c r="U45" s="185"/>
      <c r="V45" s="185"/>
      <c r="W45" s="185"/>
      <c r="X45" s="185"/>
      <c r="Y45" s="185"/>
      <c r="Z45" s="185"/>
    </row>
    <row r="46" spans="1:26" ht="33" thickBot="1" x14ac:dyDescent="0.25">
      <c r="A46" s="196" t="s">
        <v>190</v>
      </c>
      <c r="B46" s="196" t="s">
        <v>191</v>
      </c>
      <c r="C46" s="196" t="s">
        <v>178</v>
      </c>
      <c r="D46" s="196" t="s">
        <v>192</v>
      </c>
      <c r="E46" s="196" t="s">
        <v>193</v>
      </c>
      <c r="F46" s="196" t="s">
        <v>194</v>
      </c>
      <c r="G46" s="196" t="s">
        <v>195</v>
      </c>
      <c r="H46" s="196" t="s">
        <v>196</v>
      </c>
      <c r="I46" s="196" t="s">
        <v>197</v>
      </c>
      <c r="J46" s="197" t="s">
        <v>4</v>
      </c>
      <c r="K46" s="196" t="s">
        <v>198</v>
      </c>
      <c r="L46" s="196" t="s">
        <v>181</v>
      </c>
      <c r="M46" s="196" t="s">
        <v>179</v>
      </c>
      <c r="N46" s="196" t="s">
        <v>199</v>
      </c>
      <c r="O46" s="196" t="s">
        <v>200</v>
      </c>
      <c r="P46" s="196" t="s">
        <v>201</v>
      </c>
      <c r="Q46" s="196" t="s">
        <v>202</v>
      </c>
      <c r="R46" s="185"/>
      <c r="S46" s="185"/>
      <c r="T46" s="185"/>
      <c r="U46" s="185"/>
      <c r="V46" s="185"/>
      <c r="W46" s="185"/>
      <c r="X46" s="185"/>
      <c r="Y46" s="185"/>
      <c r="Z46" s="185"/>
    </row>
    <row r="47" spans="1:26" ht="17" thickBot="1" x14ac:dyDescent="0.25">
      <c r="A47" s="198" t="s">
        <v>38</v>
      </c>
      <c r="B47" s="199">
        <v>13250</v>
      </c>
      <c r="C47" s="199">
        <v>6300</v>
      </c>
      <c r="D47" s="199">
        <v>800</v>
      </c>
      <c r="E47" s="199">
        <v>1250</v>
      </c>
      <c r="F47" s="199">
        <v>12441</v>
      </c>
      <c r="G47" s="199">
        <v>2000</v>
      </c>
      <c r="H47" s="199">
        <v>0</v>
      </c>
      <c r="I47" s="199">
        <v>0</v>
      </c>
      <c r="J47" s="199">
        <v>36041</v>
      </c>
      <c r="K47" s="199">
        <v>1875</v>
      </c>
      <c r="L47" s="200">
        <v>200</v>
      </c>
      <c r="M47" s="200">
        <v>1800</v>
      </c>
      <c r="N47" s="200">
        <v>34041</v>
      </c>
      <c r="O47" s="201"/>
      <c r="P47" s="201"/>
      <c r="Q47" s="201"/>
      <c r="R47" s="185"/>
      <c r="S47" s="185"/>
      <c r="T47" s="185"/>
      <c r="U47" s="185"/>
      <c r="V47" s="185"/>
      <c r="W47" s="185"/>
      <c r="X47" s="185"/>
      <c r="Y47" s="185"/>
      <c r="Z47" s="185"/>
    </row>
    <row r="48" spans="1:26" ht="17" thickBot="1" x14ac:dyDescent="0.25">
      <c r="A48" s="202" t="s">
        <v>39</v>
      </c>
      <c r="B48" s="203">
        <v>13250</v>
      </c>
      <c r="C48" s="203">
        <v>6300</v>
      </c>
      <c r="D48" s="203">
        <v>800</v>
      </c>
      <c r="E48" s="203">
        <v>1250</v>
      </c>
      <c r="F48" s="203">
        <v>12441</v>
      </c>
      <c r="G48" s="203">
        <v>2000</v>
      </c>
      <c r="H48" s="203">
        <v>0</v>
      </c>
      <c r="I48" s="203">
        <v>0</v>
      </c>
      <c r="J48" s="199">
        <v>36041</v>
      </c>
      <c r="K48" s="203">
        <v>1875</v>
      </c>
      <c r="L48" s="204">
        <v>200</v>
      </c>
      <c r="M48" s="204">
        <v>1800</v>
      </c>
      <c r="N48" s="200">
        <v>34041</v>
      </c>
      <c r="O48" s="185"/>
      <c r="P48" s="185"/>
      <c r="Q48" s="185"/>
      <c r="R48" s="185"/>
      <c r="S48" s="185"/>
      <c r="T48" s="185"/>
      <c r="U48" s="185"/>
      <c r="V48" s="185"/>
      <c r="W48" s="185"/>
      <c r="X48" s="185"/>
      <c r="Y48" s="185"/>
      <c r="Z48" s="185"/>
    </row>
    <row r="49" spans="1:26" ht="17" thickBot="1" x14ac:dyDescent="0.25">
      <c r="A49" s="198" t="s">
        <v>40</v>
      </c>
      <c r="B49" s="199">
        <v>13250</v>
      </c>
      <c r="C49" s="199">
        <v>6300</v>
      </c>
      <c r="D49" s="199">
        <v>800</v>
      </c>
      <c r="E49" s="199">
        <v>1250</v>
      </c>
      <c r="F49" s="199">
        <v>12441</v>
      </c>
      <c r="G49" s="199">
        <v>2000</v>
      </c>
      <c r="H49" s="199">
        <v>0</v>
      </c>
      <c r="I49" s="199">
        <v>0</v>
      </c>
      <c r="J49" s="199">
        <v>36041</v>
      </c>
      <c r="K49" s="199">
        <v>1875</v>
      </c>
      <c r="L49" s="200">
        <v>200</v>
      </c>
      <c r="M49" s="200">
        <v>1800</v>
      </c>
      <c r="N49" s="200">
        <v>34041</v>
      </c>
      <c r="O49" s="201"/>
      <c r="P49" s="201"/>
      <c r="Q49" s="201"/>
      <c r="R49" s="185"/>
      <c r="S49" s="185"/>
      <c r="T49" s="185"/>
      <c r="U49" s="185"/>
      <c r="V49" s="185"/>
      <c r="W49" s="185"/>
      <c r="X49" s="185"/>
      <c r="Y49" s="185"/>
      <c r="Z49" s="185"/>
    </row>
    <row r="50" spans="1:26" ht="17" thickBot="1" x14ac:dyDescent="0.25">
      <c r="A50" s="202" t="s">
        <v>41</v>
      </c>
      <c r="B50" s="203">
        <v>13250</v>
      </c>
      <c r="C50" s="203">
        <v>6300</v>
      </c>
      <c r="D50" s="203">
        <v>800</v>
      </c>
      <c r="E50" s="203">
        <v>1250</v>
      </c>
      <c r="F50" s="203">
        <v>12441</v>
      </c>
      <c r="G50" s="203">
        <v>2000</v>
      </c>
      <c r="H50" s="203">
        <v>0</v>
      </c>
      <c r="I50" s="203">
        <v>0</v>
      </c>
      <c r="J50" s="199">
        <v>36041</v>
      </c>
      <c r="K50" s="203">
        <v>1875</v>
      </c>
      <c r="L50" s="204">
        <v>0</v>
      </c>
      <c r="M50" s="204">
        <v>1800</v>
      </c>
      <c r="N50" s="200">
        <v>34241</v>
      </c>
      <c r="O50" s="185"/>
      <c r="P50" s="185"/>
      <c r="Q50" s="185"/>
      <c r="R50" s="185"/>
      <c r="S50" s="185"/>
      <c r="T50" s="185"/>
      <c r="U50" s="185"/>
      <c r="V50" s="185"/>
      <c r="W50" s="185"/>
      <c r="X50" s="185"/>
      <c r="Y50" s="185"/>
      <c r="Z50" s="185"/>
    </row>
    <row r="51" spans="1:26" ht="17" thickBot="1" x14ac:dyDescent="0.25">
      <c r="A51" s="198" t="s">
        <v>43</v>
      </c>
      <c r="B51" s="199">
        <v>13250</v>
      </c>
      <c r="C51" s="199">
        <v>6300</v>
      </c>
      <c r="D51" s="199">
        <v>800</v>
      </c>
      <c r="E51" s="199">
        <v>1250</v>
      </c>
      <c r="F51" s="199">
        <v>12441</v>
      </c>
      <c r="G51" s="199">
        <v>2000</v>
      </c>
      <c r="H51" s="199">
        <v>0</v>
      </c>
      <c r="I51" s="199">
        <v>0</v>
      </c>
      <c r="J51" s="199">
        <v>36041</v>
      </c>
      <c r="K51" s="199">
        <v>1875</v>
      </c>
      <c r="L51" s="199">
        <v>0</v>
      </c>
      <c r="M51" s="199">
        <v>1800</v>
      </c>
      <c r="N51" s="200">
        <v>34241</v>
      </c>
      <c r="O51" s="201"/>
      <c r="P51" s="201"/>
      <c r="Q51" s="201"/>
      <c r="R51" s="185"/>
      <c r="S51" s="185"/>
      <c r="T51" s="185"/>
      <c r="U51" s="185"/>
      <c r="V51" s="185"/>
      <c r="W51" s="185"/>
      <c r="X51" s="185"/>
      <c r="Y51" s="185"/>
      <c r="Z51" s="185"/>
    </row>
    <row r="52" spans="1:26" ht="17" thickBot="1" x14ac:dyDescent="0.25">
      <c r="A52" s="202" t="s">
        <v>44</v>
      </c>
      <c r="B52" s="203">
        <v>13250</v>
      </c>
      <c r="C52" s="203">
        <v>6300</v>
      </c>
      <c r="D52" s="203">
        <v>800</v>
      </c>
      <c r="E52" s="203">
        <v>1250</v>
      </c>
      <c r="F52" s="203">
        <v>12441</v>
      </c>
      <c r="G52" s="203">
        <v>2000</v>
      </c>
      <c r="H52" s="203">
        <v>0</v>
      </c>
      <c r="I52" s="203">
        <v>0</v>
      </c>
      <c r="J52" s="199">
        <v>36041</v>
      </c>
      <c r="K52" s="203">
        <v>1875</v>
      </c>
      <c r="L52" s="203">
        <v>0</v>
      </c>
      <c r="M52" s="203">
        <v>1800</v>
      </c>
      <c r="N52" s="200">
        <v>34241</v>
      </c>
      <c r="O52" s="185"/>
      <c r="P52" s="185"/>
      <c r="Q52" s="185"/>
      <c r="R52" s="185"/>
      <c r="S52" s="185"/>
      <c r="T52" s="185"/>
      <c r="U52" s="185"/>
      <c r="V52" s="185"/>
      <c r="W52" s="185"/>
      <c r="X52" s="185"/>
      <c r="Y52" s="185"/>
      <c r="Z52" s="185"/>
    </row>
    <row r="53" spans="1:26" ht="17" thickBot="1" x14ac:dyDescent="0.25">
      <c r="A53" s="198" t="s">
        <v>45</v>
      </c>
      <c r="B53" s="199">
        <v>13250</v>
      </c>
      <c r="C53" s="199">
        <v>6300</v>
      </c>
      <c r="D53" s="199">
        <v>800</v>
      </c>
      <c r="E53" s="199">
        <v>1250</v>
      </c>
      <c r="F53" s="199">
        <v>12441</v>
      </c>
      <c r="G53" s="199">
        <v>2000</v>
      </c>
      <c r="H53" s="199">
        <v>0</v>
      </c>
      <c r="I53" s="199">
        <v>0</v>
      </c>
      <c r="J53" s="199">
        <v>36041</v>
      </c>
      <c r="K53" s="199">
        <v>1875</v>
      </c>
      <c r="L53" s="199">
        <v>0</v>
      </c>
      <c r="M53" s="199">
        <v>1800</v>
      </c>
      <c r="N53" s="200">
        <v>34241</v>
      </c>
      <c r="O53" s="201"/>
      <c r="P53" s="201"/>
      <c r="Q53" s="201"/>
      <c r="R53" s="185"/>
      <c r="S53" s="185"/>
      <c r="T53" s="185"/>
      <c r="U53" s="185"/>
      <c r="V53" s="185"/>
      <c r="W53" s="185"/>
      <c r="X53" s="185"/>
      <c r="Y53" s="185"/>
      <c r="Z53" s="185"/>
    </row>
    <row r="54" spans="1:26" ht="17" thickBot="1" x14ac:dyDescent="0.25">
      <c r="A54" s="202" t="s">
        <v>46</v>
      </c>
      <c r="B54" s="203">
        <v>13250</v>
      </c>
      <c r="C54" s="203">
        <v>6300</v>
      </c>
      <c r="D54" s="203">
        <v>800</v>
      </c>
      <c r="E54" s="203">
        <v>1250</v>
      </c>
      <c r="F54" s="203">
        <v>12441</v>
      </c>
      <c r="G54" s="203">
        <v>2000</v>
      </c>
      <c r="H54" s="203">
        <v>0</v>
      </c>
      <c r="I54" s="203">
        <v>0</v>
      </c>
      <c r="J54" s="199">
        <v>36041</v>
      </c>
      <c r="K54" s="203">
        <v>1875</v>
      </c>
      <c r="L54" s="203">
        <v>0</v>
      </c>
      <c r="M54" s="203">
        <v>1800</v>
      </c>
      <c r="N54" s="200">
        <v>34241</v>
      </c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185"/>
    </row>
    <row r="55" spans="1:26" ht="17" thickBot="1" x14ac:dyDescent="0.25">
      <c r="A55" s="198" t="s">
        <v>47</v>
      </c>
      <c r="B55" s="199">
        <v>13250</v>
      </c>
      <c r="C55" s="199">
        <v>6300</v>
      </c>
      <c r="D55" s="199">
        <v>800</v>
      </c>
      <c r="E55" s="199">
        <v>1250</v>
      </c>
      <c r="F55" s="199">
        <v>12441</v>
      </c>
      <c r="G55" s="199">
        <v>2000</v>
      </c>
      <c r="H55" s="199">
        <v>0</v>
      </c>
      <c r="I55" s="199">
        <v>0</v>
      </c>
      <c r="J55" s="199">
        <v>36041</v>
      </c>
      <c r="K55" s="199">
        <v>1875</v>
      </c>
      <c r="L55" s="199">
        <v>0</v>
      </c>
      <c r="M55" s="199">
        <v>1800</v>
      </c>
      <c r="N55" s="200">
        <v>34241</v>
      </c>
      <c r="O55" s="201"/>
      <c r="P55" s="201"/>
      <c r="Q55" s="201"/>
      <c r="R55" s="185"/>
      <c r="S55" s="185"/>
      <c r="T55" s="185"/>
      <c r="U55" s="185"/>
      <c r="V55" s="185"/>
      <c r="W55" s="185"/>
      <c r="X55" s="185"/>
      <c r="Y55" s="185"/>
      <c r="Z55" s="185"/>
    </row>
    <row r="56" spans="1:26" ht="17" thickBot="1" x14ac:dyDescent="0.25">
      <c r="A56" s="202" t="s">
        <v>34</v>
      </c>
      <c r="B56" s="203">
        <v>17650</v>
      </c>
      <c r="C56" s="203">
        <v>6300</v>
      </c>
      <c r="D56" s="203">
        <v>800</v>
      </c>
      <c r="E56" s="203">
        <v>1250</v>
      </c>
      <c r="F56" s="203">
        <v>20299</v>
      </c>
      <c r="G56" s="203">
        <v>2000</v>
      </c>
      <c r="H56" s="203">
        <v>0</v>
      </c>
      <c r="I56" s="203">
        <v>0</v>
      </c>
      <c r="J56" s="199">
        <v>48299</v>
      </c>
      <c r="K56" s="203">
        <v>3750</v>
      </c>
      <c r="L56" s="203">
        <v>0</v>
      </c>
      <c r="M56" s="203">
        <v>2118</v>
      </c>
      <c r="N56" s="200">
        <v>46181</v>
      </c>
      <c r="O56" s="185"/>
      <c r="P56" s="185"/>
      <c r="Q56" s="185"/>
      <c r="R56" s="185"/>
      <c r="S56" s="185"/>
      <c r="T56" s="185"/>
      <c r="U56" s="185"/>
      <c r="V56" s="185"/>
      <c r="W56" s="185"/>
      <c r="X56" s="185"/>
      <c r="Y56" s="185"/>
      <c r="Z56" s="185"/>
    </row>
    <row r="57" spans="1:26" ht="17" thickBot="1" x14ac:dyDescent="0.25">
      <c r="A57" s="198" t="s">
        <v>36</v>
      </c>
      <c r="B57" s="199">
        <v>17650</v>
      </c>
      <c r="C57" s="199">
        <v>6300</v>
      </c>
      <c r="D57" s="199">
        <v>800</v>
      </c>
      <c r="E57" s="199">
        <v>1250</v>
      </c>
      <c r="F57" s="199">
        <v>20299</v>
      </c>
      <c r="G57" s="199">
        <v>2000</v>
      </c>
      <c r="H57" s="199">
        <v>0</v>
      </c>
      <c r="I57" s="199">
        <v>0</v>
      </c>
      <c r="J57" s="199">
        <v>48299</v>
      </c>
      <c r="K57" s="199">
        <v>3750</v>
      </c>
      <c r="L57" s="199">
        <v>0</v>
      </c>
      <c r="M57" s="199">
        <v>2118</v>
      </c>
      <c r="N57" s="200">
        <v>46181</v>
      </c>
      <c r="O57" s="201"/>
      <c r="P57" s="201"/>
      <c r="Q57" s="201"/>
      <c r="R57" s="185"/>
      <c r="S57" s="185"/>
      <c r="T57" s="185"/>
      <c r="U57" s="185"/>
      <c r="V57" s="185"/>
      <c r="W57" s="185"/>
      <c r="X57" s="185"/>
      <c r="Y57" s="185"/>
      <c r="Z57" s="185"/>
    </row>
    <row r="58" spans="1:26" ht="17" thickBot="1" x14ac:dyDescent="0.25">
      <c r="A58" s="202" t="s">
        <v>37</v>
      </c>
      <c r="B58" s="203">
        <v>17650</v>
      </c>
      <c r="C58" s="203">
        <v>6300</v>
      </c>
      <c r="D58" s="203">
        <v>800</v>
      </c>
      <c r="E58" s="203">
        <v>1250</v>
      </c>
      <c r="F58" s="203">
        <v>20299</v>
      </c>
      <c r="G58" s="203">
        <v>2000</v>
      </c>
      <c r="H58" s="203">
        <v>20250</v>
      </c>
      <c r="I58" s="203">
        <v>0</v>
      </c>
      <c r="J58" s="199">
        <v>68549</v>
      </c>
      <c r="K58" s="203">
        <v>3750</v>
      </c>
      <c r="L58" s="203">
        <v>0</v>
      </c>
      <c r="M58" s="203">
        <v>2118</v>
      </c>
      <c r="N58" s="200">
        <v>66431</v>
      </c>
      <c r="O58" s="185"/>
      <c r="P58" s="185"/>
      <c r="Q58" s="185"/>
      <c r="R58" s="185"/>
      <c r="S58" s="185"/>
      <c r="T58" s="185"/>
      <c r="U58" s="185"/>
      <c r="V58" s="185"/>
      <c r="W58" s="185"/>
      <c r="X58" s="185"/>
      <c r="Y58" s="185"/>
      <c r="Z58" s="185"/>
    </row>
    <row r="59" spans="1:26" ht="17" thickBot="1" x14ac:dyDescent="0.25">
      <c r="A59" s="205" t="s">
        <v>216</v>
      </c>
      <c r="B59" s="209">
        <v>172200</v>
      </c>
      <c r="C59" s="209">
        <v>75600</v>
      </c>
      <c r="D59" s="209">
        <v>9600</v>
      </c>
      <c r="E59" s="209">
        <v>15000</v>
      </c>
      <c r="F59" s="209">
        <v>172866</v>
      </c>
      <c r="G59" s="209">
        <v>24000</v>
      </c>
      <c r="H59" s="209">
        <v>20250</v>
      </c>
      <c r="I59" s="209">
        <v>0</v>
      </c>
      <c r="J59" s="208">
        <v>489516</v>
      </c>
      <c r="K59" s="208">
        <v>28125</v>
      </c>
      <c r="L59" s="206"/>
      <c r="M59" s="209">
        <v>22554</v>
      </c>
      <c r="N59" s="209">
        <v>466362</v>
      </c>
      <c r="O59" s="206"/>
      <c r="P59" s="206"/>
      <c r="Q59" s="206"/>
      <c r="R59" s="185"/>
      <c r="S59" s="185"/>
      <c r="T59" s="185"/>
      <c r="U59" s="185"/>
      <c r="V59" s="185"/>
      <c r="W59" s="185"/>
      <c r="X59" s="185"/>
      <c r="Y59" s="185"/>
      <c r="Z59" s="185"/>
    </row>
    <row r="60" spans="1:26" ht="16" thickBot="1" x14ac:dyDescent="0.25">
      <c r="A60" s="185"/>
      <c r="B60" s="185"/>
      <c r="C60" s="185"/>
      <c r="D60" s="185"/>
      <c r="E60" s="185"/>
      <c r="F60" s="185"/>
      <c r="G60" s="185" t="s">
        <v>204</v>
      </c>
      <c r="H60" s="361">
        <v>72</v>
      </c>
      <c r="I60" s="185"/>
      <c r="J60" s="185"/>
      <c r="K60" s="185"/>
      <c r="L60" s="185"/>
      <c r="M60" s="185"/>
      <c r="N60" s="185"/>
      <c r="O60" s="185"/>
      <c r="P60" s="185"/>
      <c r="Q60" s="185"/>
      <c r="R60" s="185"/>
      <c r="S60" s="185"/>
      <c r="T60" s="185"/>
      <c r="U60" s="185"/>
      <c r="V60" s="185"/>
      <c r="W60" s="185"/>
      <c r="X60" s="185"/>
      <c r="Y60" s="185"/>
      <c r="Z60" s="185"/>
    </row>
    <row r="61" spans="1:26" ht="16" thickBot="1" x14ac:dyDescent="0.25">
      <c r="A61" s="185"/>
      <c r="B61" s="185"/>
      <c r="C61" s="185"/>
      <c r="D61" s="185"/>
      <c r="E61" s="185"/>
      <c r="F61" s="185"/>
      <c r="G61" s="185"/>
      <c r="H61" s="185"/>
      <c r="I61" s="185"/>
      <c r="J61" s="185"/>
      <c r="K61" s="185"/>
      <c r="L61" s="185"/>
      <c r="M61" s="185"/>
      <c r="N61" s="185"/>
      <c r="O61" s="185"/>
      <c r="P61" s="185"/>
      <c r="Q61" s="185"/>
      <c r="R61" s="185"/>
      <c r="S61" s="185"/>
      <c r="T61" s="185"/>
      <c r="U61" s="185"/>
      <c r="V61" s="185"/>
      <c r="W61" s="185"/>
      <c r="X61" s="185"/>
      <c r="Y61" s="185"/>
      <c r="Z61" s="185"/>
    </row>
    <row r="62" spans="1:26" ht="16" thickBot="1" x14ac:dyDescent="0.25">
      <c r="A62" s="210"/>
      <c r="B62" s="210"/>
      <c r="C62" s="210"/>
      <c r="D62" s="210"/>
      <c r="E62" s="210"/>
      <c r="F62" s="210"/>
      <c r="G62" s="210"/>
      <c r="H62" s="210"/>
      <c r="I62" s="210"/>
      <c r="J62" s="210"/>
      <c r="K62" s="210"/>
      <c r="L62" s="210"/>
      <c r="M62" s="210"/>
      <c r="N62" s="210"/>
      <c r="O62" s="210"/>
      <c r="P62" s="210"/>
      <c r="Q62" s="210"/>
      <c r="R62" s="185"/>
      <c r="S62" s="185"/>
      <c r="T62" s="185"/>
      <c r="U62" s="185"/>
      <c r="V62" s="185"/>
      <c r="W62" s="185"/>
      <c r="X62" s="185"/>
      <c r="Y62" s="185"/>
      <c r="Z62" s="185"/>
    </row>
    <row r="63" spans="1:26" ht="33" thickBot="1" x14ac:dyDescent="0.25">
      <c r="A63" s="211" t="s">
        <v>200</v>
      </c>
      <c r="B63" s="212" t="s">
        <v>191</v>
      </c>
      <c r="C63" s="212" t="s">
        <v>178</v>
      </c>
      <c r="D63" s="212" t="s">
        <v>192</v>
      </c>
      <c r="E63" s="212" t="s">
        <v>193</v>
      </c>
      <c r="F63" s="212" t="s">
        <v>194</v>
      </c>
      <c r="G63" s="212" t="s">
        <v>195</v>
      </c>
      <c r="H63" s="212" t="s">
        <v>196</v>
      </c>
      <c r="I63" s="212" t="s">
        <v>197</v>
      </c>
      <c r="J63" s="212" t="s">
        <v>4</v>
      </c>
      <c r="K63" s="213" t="s">
        <v>198</v>
      </c>
      <c r="L63" s="213" t="s">
        <v>181</v>
      </c>
      <c r="M63" s="213" t="s">
        <v>179</v>
      </c>
      <c r="N63" s="228" t="s">
        <v>199</v>
      </c>
      <c r="O63" s="213" t="s">
        <v>205</v>
      </c>
      <c r="P63" s="213" t="s">
        <v>206</v>
      </c>
      <c r="Q63" s="213" t="s">
        <v>207</v>
      </c>
      <c r="R63" s="185"/>
      <c r="S63" s="185"/>
      <c r="T63" s="185"/>
      <c r="U63" s="185"/>
      <c r="V63" s="185"/>
      <c r="W63" s="185"/>
      <c r="X63" s="185"/>
      <c r="Y63" s="185"/>
      <c r="Z63" s="185"/>
    </row>
    <row r="64" spans="1:26" ht="17" thickBot="1" x14ac:dyDescent="0.25">
      <c r="A64" s="226" t="s">
        <v>217</v>
      </c>
      <c r="B64" s="215">
        <v>13250</v>
      </c>
      <c r="C64" s="215">
        <v>6300</v>
      </c>
      <c r="D64" s="215">
        <v>800</v>
      </c>
      <c r="E64" s="215">
        <v>1250</v>
      </c>
      <c r="F64" s="215">
        <v>12441</v>
      </c>
      <c r="G64" s="215">
        <v>2000</v>
      </c>
      <c r="H64" s="215">
        <v>0</v>
      </c>
      <c r="I64" s="215">
        <v>0</v>
      </c>
      <c r="J64" s="215">
        <v>36041</v>
      </c>
      <c r="K64" s="363">
        <v>1875</v>
      </c>
      <c r="L64" s="363">
        <v>200</v>
      </c>
      <c r="M64" s="363">
        <v>1800</v>
      </c>
      <c r="N64" s="229">
        <v>34041</v>
      </c>
      <c r="O64" s="217">
        <v>37841</v>
      </c>
      <c r="P64" s="363">
        <v>39716</v>
      </c>
      <c r="Q64" s="215">
        <v>476592</v>
      </c>
      <c r="R64" s="185"/>
      <c r="S64" s="185"/>
      <c r="T64" s="185"/>
      <c r="U64" s="185"/>
      <c r="V64" s="185"/>
      <c r="W64" s="185"/>
      <c r="X64" s="185"/>
      <c r="Y64" s="185"/>
      <c r="Z64" s="185"/>
    </row>
    <row r="65" spans="1:26" ht="17" thickBot="1" x14ac:dyDescent="0.25">
      <c r="A65" s="227"/>
      <c r="B65" s="219"/>
      <c r="C65" s="219"/>
      <c r="D65" s="219"/>
      <c r="E65" s="219"/>
      <c r="F65" s="219"/>
      <c r="G65" s="219"/>
      <c r="H65" s="219"/>
      <c r="I65" s="219"/>
      <c r="J65" s="219"/>
      <c r="K65" s="219"/>
      <c r="L65" s="219"/>
      <c r="M65" s="220"/>
      <c r="N65" s="220"/>
      <c r="O65" s="220"/>
      <c r="P65" s="366" t="s">
        <v>218</v>
      </c>
      <c r="Q65" s="365">
        <v>496092</v>
      </c>
      <c r="R65" s="225">
        <v>13.45884678</v>
      </c>
      <c r="S65" s="185"/>
      <c r="T65" s="185"/>
      <c r="U65" s="185"/>
      <c r="V65" s="185"/>
      <c r="W65" s="185"/>
      <c r="X65" s="185"/>
      <c r="Y65" s="185"/>
      <c r="Z65" s="185"/>
    </row>
    <row r="66" spans="1:26" ht="17" thickBot="1" x14ac:dyDescent="0.25">
      <c r="A66" s="367" t="s">
        <v>219</v>
      </c>
      <c r="B66" s="230">
        <v>159000</v>
      </c>
      <c r="C66" s="230">
        <v>75600</v>
      </c>
      <c r="D66" s="230">
        <v>9600</v>
      </c>
      <c r="E66" s="230">
        <v>15000</v>
      </c>
      <c r="F66" s="230">
        <v>149292</v>
      </c>
      <c r="G66" s="230">
        <v>24000</v>
      </c>
      <c r="H66" s="230">
        <v>0</v>
      </c>
      <c r="I66" s="230">
        <v>0</v>
      </c>
      <c r="J66" s="230">
        <v>432492</v>
      </c>
      <c r="K66" s="368">
        <v>22500</v>
      </c>
      <c r="L66" s="368">
        <v>2500</v>
      </c>
      <c r="M66" s="368">
        <v>21600</v>
      </c>
      <c r="N66" s="231">
        <v>408392</v>
      </c>
      <c r="O66" s="232">
        <v>454092</v>
      </c>
      <c r="P66" s="368">
        <v>476592</v>
      </c>
      <c r="Q66" s="368">
        <v>19500</v>
      </c>
      <c r="R66" s="185"/>
      <c r="S66" s="185"/>
      <c r="T66" s="185"/>
      <c r="U66" s="185"/>
      <c r="V66" s="185"/>
      <c r="W66" s="185"/>
      <c r="X66" s="185"/>
      <c r="Y66" s="185"/>
      <c r="Z66" s="185"/>
    </row>
    <row r="67" spans="1:26" ht="16" thickBot="1" x14ac:dyDescent="0.25">
      <c r="A67" s="185"/>
      <c r="B67" s="185"/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5"/>
      <c r="P67" s="185"/>
      <c r="Q67" s="185"/>
      <c r="R67" s="185"/>
      <c r="S67" s="185"/>
      <c r="T67" s="185"/>
      <c r="U67" s="185"/>
      <c r="V67" s="185"/>
      <c r="W67" s="185"/>
      <c r="X67" s="185"/>
      <c r="Y67" s="185"/>
      <c r="Z67" s="185"/>
    </row>
    <row r="68" spans="1:26" ht="16" thickBot="1" x14ac:dyDescent="0.25">
      <c r="A68" s="210"/>
      <c r="B68" s="210"/>
      <c r="C68" s="210"/>
      <c r="D68" s="210"/>
      <c r="E68" s="210"/>
      <c r="F68" s="210"/>
      <c r="G68" s="210"/>
      <c r="H68" s="210"/>
      <c r="I68" s="210"/>
      <c r="J68" s="210"/>
      <c r="K68" s="210"/>
      <c r="L68" s="210"/>
      <c r="M68" s="210"/>
      <c r="N68" s="210"/>
      <c r="O68" s="210"/>
      <c r="P68" s="210"/>
      <c r="Q68" s="210"/>
      <c r="R68" s="185"/>
      <c r="S68" s="185"/>
      <c r="T68" s="185"/>
      <c r="U68" s="185"/>
      <c r="V68" s="185"/>
      <c r="W68" s="185"/>
      <c r="X68" s="185"/>
      <c r="Y68" s="185"/>
      <c r="Z68" s="185"/>
    </row>
    <row r="69" spans="1:26" ht="33" thickBot="1" x14ac:dyDescent="0.25">
      <c r="A69" s="211" t="s">
        <v>200</v>
      </c>
      <c r="B69" s="212" t="s">
        <v>191</v>
      </c>
      <c r="C69" s="212" t="s">
        <v>178</v>
      </c>
      <c r="D69" s="212" t="s">
        <v>192</v>
      </c>
      <c r="E69" s="212" t="s">
        <v>193</v>
      </c>
      <c r="F69" s="212" t="s">
        <v>194</v>
      </c>
      <c r="G69" s="212" t="s">
        <v>195</v>
      </c>
      <c r="H69" s="212" t="s">
        <v>196</v>
      </c>
      <c r="I69" s="212" t="s">
        <v>197</v>
      </c>
      <c r="J69" s="212" t="s">
        <v>4</v>
      </c>
      <c r="K69" s="213" t="s">
        <v>198</v>
      </c>
      <c r="L69" s="213" t="s">
        <v>181</v>
      </c>
      <c r="M69" s="213" t="s">
        <v>179</v>
      </c>
      <c r="N69" s="228" t="s">
        <v>199</v>
      </c>
      <c r="O69" s="213" t="s">
        <v>205</v>
      </c>
      <c r="P69" s="213" t="s">
        <v>206</v>
      </c>
      <c r="Q69" s="213" t="s">
        <v>207</v>
      </c>
      <c r="R69" s="185"/>
      <c r="S69" s="185"/>
      <c r="T69" s="185"/>
      <c r="U69" s="185"/>
      <c r="V69" s="185"/>
      <c r="W69" s="185"/>
      <c r="X69" s="185"/>
      <c r="Y69" s="185"/>
      <c r="Z69" s="185"/>
    </row>
    <row r="70" spans="1:26" ht="17" thickBot="1" x14ac:dyDescent="0.25">
      <c r="A70" s="226" t="s">
        <v>220</v>
      </c>
      <c r="B70" s="215">
        <v>17650</v>
      </c>
      <c r="C70" s="215">
        <v>6300</v>
      </c>
      <c r="D70" s="215">
        <v>800</v>
      </c>
      <c r="E70" s="215">
        <v>1250</v>
      </c>
      <c r="F70" s="215">
        <v>20299</v>
      </c>
      <c r="G70" s="215">
        <v>2000</v>
      </c>
      <c r="H70" s="215">
        <v>0</v>
      </c>
      <c r="I70" s="215">
        <v>0</v>
      </c>
      <c r="J70" s="233">
        <v>48299</v>
      </c>
      <c r="K70" s="363">
        <v>3750</v>
      </c>
      <c r="L70" s="363">
        <v>0</v>
      </c>
      <c r="M70" s="363">
        <v>2118</v>
      </c>
      <c r="N70" s="229">
        <v>46181</v>
      </c>
      <c r="O70" s="217">
        <v>50417</v>
      </c>
      <c r="P70" s="363">
        <v>54167</v>
      </c>
      <c r="Q70" s="215">
        <v>650004</v>
      </c>
      <c r="R70" s="225">
        <v>12140</v>
      </c>
      <c r="S70" s="185"/>
      <c r="T70" s="185"/>
      <c r="U70" s="185"/>
      <c r="V70" s="185"/>
      <c r="W70" s="185"/>
      <c r="X70" s="185"/>
      <c r="Y70" s="185"/>
      <c r="Z70" s="185"/>
    </row>
    <row r="71" spans="1:26" ht="17" thickBot="1" x14ac:dyDescent="0.25">
      <c r="A71" s="227"/>
      <c r="B71" s="219"/>
      <c r="C71" s="219"/>
      <c r="D71" s="219"/>
      <c r="E71" s="219"/>
      <c r="F71" s="219"/>
      <c r="G71" s="219"/>
      <c r="H71" s="219"/>
      <c r="I71" s="219"/>
      <c r="J71" s="219"/>
      <c r="K71" s="219"/>
      <c r="L71" s="219"/>
      <c r="M71" s="220"/>
      <c r="N71" s="220"/>
      <c r="O71" s="220"/>
      <c r="P71" s="366" t="s">
        <v>221</v>
      </c>
      <c r="Q71" s="365">
        <v>19500</v>
      </c>
      <c r="R71" s="225">
        <v>36.38583946</v>
      </c>
      <c r="S71" s="185"/>
      <c r="T71" s="185"/>
      <c r="U71" s="185"/>
      <c r="V71" s="185"/>
      <c r="W71" s="185"/>
      <c r="X71" s="185"/>
      <c r="Y71" s="185"/>
      <c r="Z71" s="185"/>
    </row>
    <row r="72" spans="1:26" ht="17" thickBot="1" x14ac:dyDescent="0.25">
      <c r="A72" s="367" t="s">
        <v>222</v>
      </c>
      <c r="B72" s="230">
        <v>211800</v>
      </c>
      <c r="C72" s="230">
        <v>75600</v>
      </c>
      <c r="D72" s="230">
        <v>9600</v>
      </c>
      <c r="E72" s="230">
        <v>15000</v>
      </c>
      <c r="F72" s="230">
        <v>243588</v>
      </c>
      <c r="G72" s="230">
        <v>24000</v>
      </c>
      <c r="H72" s="230">
        <v>0</v>
      </c>
      <c r="I72" s="230">
        <v>0</v>
      </c>
      <c r="J72" s="230">
        <v>579588</v>
      </c>
      <c r="K72" s="230">
        <v>45000</v>
      </c>
      <c r="L72" s="230">
        <v>0</v>
      </c>
      <c r="M72" s="230">
        <v>25416</v>
      </c>
      <c r="N72" s="230">
        <v>554172</v>
      </c>
      <c r="O72" s="232">
        <v>605004</v>
      </c>
      <c r="P72" s="368">
        <v>650004</v>
      </c>
      <c r="Q72" s="363">
        <v>669504</v>
      </c>
      <c r="R72" s="185"/>
      <c r="S72" s="185"/>
      <c r="T72" s="185"/>
      <c r="U72" s="185"/>
      <c r="V72" s="185"/>
      <c r="W72" s="185"/>
      <c r="X72" s="185"/>
      <c r="Y72" s="185"/>
      <c r="Z72" s="185"/>
    </row>
    <row r="73" spans="1:26" ht="16" thickBot="1" x14ac:dyDescent="0.25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K73" s="210"/>
      <c r="L73" s="210"/>
      <c r="M73" s="210"/>
      <c r="N73" s="210"/>
      <c r="O73" s="210"/>
      <c r="P73" s="210"/>
      <c r="Q73" s="210"/>
      <c r="R73" s="185"/>
      <c r="S73" s="185"/>
      <c r="T73" s="185"/>
      <c r="U73" s="185"/>
      <c r="V73" s="185"/>
      <c r="W73" s="185"/>
      <c r="X73" s="185"/>
      <c r="Y73" s="185"/>
      <c r="Z73" s="185"/>
    </row>
    <row r="74" spans="1:26" ht="33" thickBot="1" x14ac:dyDescent="0.25">
      <c r="A74" s="211" t="s">
        <v>200</v>
      </c>
      <c r="B74" s="212" t="s">
        <v>191</v>
      </c>
      <c r="C74" s="212" t="s">
        <v>178</v>
      </c>
      <c r="D74" s="212" t="s">
        <v>192</v>
      </c>
      <c r="E74" s="212" t="s">
        <v>193</v>
      </c>
      <c r="F74" s="212" t="s">
        <v>194</v>
      </c>
      <c r="G74" s="212" t="s">
        <v>195</v>
      </c>
      <c r="H74" s="212" t="s">
        <v>196</v>
      </c>
      <c r="I74" s="212" t="s">
        <v>197</v>
      </c>
      <c r="J74" s="212" t="s">
        <v>4</v>
      </c>
      <c r="K74" s="213" t="s">
        <v>198</v>
      </c>
      <c r="L74" s="213" t="s">
        <v>181</v>
      </c>
      <c r="M74" s="213" t="s">
        <v>179</v>
      </c>
      <c r="N74" s="228" t="s">
        <v>199</v>
      </c>
      <c r="O74" s="213" t="s">
        <v>205</v>
      </c>
      <c r="P74" s="213" t="s">
        <v>206</v>
      </c>
      <c r="Q74" s="213" t="s">
        <v>207</v>
      </c>
      <c r="R74" s="185"/>
      <c r="S74" s="185"/>
      <c r="T74" s="185"/>
      <c r="U74" s="185"/>
      <c r="V74" s="185"/>
      <c r="W74" s="185"/>
      <c r="X74" s="185"/>
      <c r="Y74" s="185"/>
      <c r="Z74" s="185"/>
    </row>
    <row r="75" spans="1:26" ht="17" thickBot="1" x14ac:dyDescent="0.25">
      <c r="A75" s="226" t="s">
        <v>223</v>
      </c>
      <c r="B75" s="215">
        <v>18425</v>
      </c>
      <c r="C75" s="215">
        <v>11055</v>
      </c>
      <c r="D75" s="215">
        <v>5258</v>
      </c>
      <c r="E75" s="215">
        <v>0</v>
      </c>
      <c r="F75" s="215">
        <v>13635</v>
      </c>
      <c r="G75" s="215">
        <v>2000</v>
      </c>
      <c r="H75" s="215">
        <v>0</v>
      </c>
      <c r="I75" s="215">
        <v>0</v>
      </c>
      <c r="J75" s="233">
        <v>50373</v>
      </c>
      <c r="K75" s="363">
        <v>3750</v>
      </c>
      <c r="L75" s="363">
        <v>0</v>
      </c>
      <c r="M75" s="363">
        <v>2211</v>
      </c>
      <c r="N75" s="229">
        <v>48162</v>
      </c>
      <c r="O75" s="217">
        <v>52584</v>
      </c>
      <c r="P75" s="363">
        <v>56334</v>
      </c>
      <c r="Q75" s="215">
        <v>676008</v>
      </c>
      <c r="R75" s="225">
        <v>1981</v>
      </c>
      <c r="S75" s="185"/>
      <c r="T75" s="185"/>
      <c r="U75" s="185"/>
      <c r="V75" s="185"/>
      <c r="W75" s="185"/>
      <c r="X75" s="185"/>
      <c r="Y75" s="185"/>
      <c r="Z75" s="185"/>
    </row>
    <row r="76" spans="1:26" ht="17" thickBot="1" x14ac:dyDescent="0.25">
      <c r="A76" s="227"/>
      <c r="B76" s="219"/>
      <c r="C76" s="219"/>
      <c r="D76" s="219"/>
      <c r="E76" s="219"/>
      <c r="F76" s="219"/>
      <c r="G76" s="219"/>
      <c r="H76" s="219"/>
      <c r="I76" s="219"/>
      <c r="J76" s="219"/>
      <c r="K76" s="219"/>
      <c r="L76" s="219"/>
      <c r="M76" s="220"/>
      <c r="N76" s="220"/>
      <c r="O76" s="220"/>
      <c r="P76" s="366" t="s">
        <v>221</v>
      </c>
      <c r="Q76" s="365">
        <v>19500</v>
      </c>
      <c r="R76" s="225">
        <v>4.0005907660000002</v>
      </c>
      <c r="S76" s="185"/>
      <c r="T76" s="185"/>
      <c r="U76" s="185"/>
      <c r="V76" s="185"/>
      <c r="W76" s="185"/>
      <c r="X76" s="185"/>
      <c r="Y76" s="185"/>
      <c r="Z76" s="185"/>
    </row>
    <row r="77" spans="1:26" ht="17" thickBot="1" x14ac:dyDescent="0.25">
      <c r="A77" s="367" t="s">
        <v>222</v>
      </c>
      <c r="B77" s="230">
        <v>221100</v>
      </c>
      <c r="C77" s="230">
        <v>132660</v>
      </c>
      <c r="D77" s="230">
        <v>63096</v>
      </c>
      <c r="E77" s="230">
        <v>0</v>
      </c>
      <c r="F77" s="230">
        <v>163620</v>
      </c>
      <c r="G77" s="230">
        <v>24000</v>
      </c>
      <c r="H77" s="230">
        <v>0</v>
      </c>
      <c r="I77" s="230">
        <v>0</v>
      </c>
      <c r="J77" s="230">
        <v>604476</v>
      </c>
      <c r="K77" s="230">
        <v>45000</v>
      </c>
      <c r="L77" s="230">
        <v>0</v>
      </c>
      <c r="M77" s="230">
        <v>26532</v>
      </c>
      <c r="N77" s="230">
        <v>577944</v>
      </c>
      <c r="O77" s="232">
        <v>631008</v>
      </c>
      <c r="P77" s="368">
        <v>676008</v>
      </c>
      <c r="Q77" s="363">
        <v>695508</v>
      </c>
      <c r="R77" s="185"/>
      <c r="S77" s="185"/>
      <c r="T77" s="185"/>
      <c r="U77" s="185"/>
      <c r="V77" s="185"/>
      <c r="W77" s="185"/>
      <c r="X77" s="185"/>
      <c r="Y77" s="185"/>
      <c r="Z77" s="185"/>
    </row>
    <row r="78" spans="1:26" ht="16" thickBot="1" x14ac:dyDescent="0.25">
      <c r="A78" s="185"/>
      <c r="B78" s="185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85"/>
      <c r="Q78" s="185"/>
      <c r="R78" s="185"/>
      <c r="S78" s="185"/>
      <c r="T78" s="185"/>
      <c r="U78" s="185"/>
      <c r="V78" s="185"/>
      <c r="W78" s="185"/>
      <c r="X78" s="185"/>
      <c r="Y78" s="185"/>
      <c r="Z78" s="185"/>
    </row>
    <row r="79" spans="1:26" ht="16" thickBot="1" x14ac:dyDescent="0.25">
      <c r="A79" s="185"/>
      <c r="B79" s="185"/>
      <c r="C79" s="185"/>
      <c r="D79" s="185"/>
      <c r="E79" s="185"/>
      <c r="F79" s="185"/>
      <c r="G79" s="185"/>
      <c r="H79" s="185"/>
      <c r="I79" s="185"/>
      <c r="J79" s="185"/>
      <c r="K79" s="185"/>
      <c r="L79" s="185"/>
      <c r="M79" s="185"/>
      <c r="N79" s="185"/>
      <c r="O79" s="185"/>
      <c r="P79" s="185"/>
      <c r="Q79" s="185"/>
      <c r="R79" s="185"/>
      <c r="S79" s="185"/>
      <c r="T79" s="185"/>
      <c r="U79" s="185"/>
      <c r="V79" s="185"/>
      <c r="W79" s="185"/>
      <c r="X79" s="185"/>
      <c r="Y79" s="185"/>
      <c r="Z79" s="185"/>
    </row>
    <row r="80" spans="1:26" ht="16" thickBot="1" x14ac:dyDescent="0.25">
      <c r="A80" s="185"/>
      <c r="B80" s="185"/>
      <c r="C80" s="185"/>
      <c r="D80" s="185"/>
      <c r="E80" s="185"/>
      <c r="F80" s="185"/>
      <c r="G80" s="185"/>
      <c r="H80" s="185"/>
      <c r="I80" s="185"/>
      <c r="J80" s="185"/>
      <c r="K80" s="496" t="s">
        <v>214</v>
      </c>
      <c r="L80" s="498"/>
      <c r="M80" s="497"/>
      <c r="N80" s="185"/>
      <c r="O80" s="185"/>
      <c r="P80" s="185"/>
      <c r="Q80" s="185"/>
      <c r="R80" s="185"/>
      <c r="S80" s="185"/>
      <c r="T80" s="185"/>
      <c r="U80" s="185"/>
      <c r="V80" s="185"/>
      <c r="W80" s="185"/>
      <c r="X80" s="185"/>
      <c r="Y80" s="185"/>
      <c r="Z80" s="185"/>
    </row>
    <row r="81" spans="1:26" ht="16" thickBot="1" x14ac:dyDescent="0.25">
      <c r="A81" s="490" t="s">
        <v>224</v>
      </c>
      <c r="B81" s="491"/>
      <c r="C81" s="491"/>
      <c r="D81" s="491"/>
      <c r="E81" s="491"/>
      <c r="F81" s="491"/>
      <c r="G81" s="491"/>
      <c r="H81" s="491"/>
      <c r="I81" s="491"/>
      <c r="J81" s="491"/>
      <c r="K81" s="491"/>
      <c r="L81" s="491"/>
      <c r="M81" s="491"/>
      <c r="N81" s="491"/>
      <c r="O81" s="491"/>
      <c r="P81" s="491"/>
      <c r="Q81" s="492"/>
      <c r="R81" s="185"/>
      <c r="S81" s="185"/>
      <c r="T81" s="185"/>
      <c r="U81" s="185"/>
      <c r="V81" s="185"/>
      <c r="W81" s="185"/>
      <c r="X81" s="185"/>
      <c r="Y81" s="185"/>
      <c r="Z81" s="185"/>
    </row>
    <row r="82" spans="1:26" ht="33" thickBot="1" x14ac:dyDescent="0.25">
      <c r="A82" s="196" t="s">
        <v>190</v>
      </c>
      <c r="B82" s="196" t="s">
        <v>191</v>
      </c>
      <c r="C82" s="196" t="s">
        <v>178</v>
      </c>
      <c r="D82" s="196" t="s">
        <v>192</v>
      </c>
      <c r="E82" s="196" t="s">
        <v>193</v>
      </c>
      <c r="F82" s="196" t="s">
        <v>194</v>
      </c>
      <c r="G82" s="196" t="s">
        <v>195</v>
      </c>
      <c r="H82" s="196" t="s">
        <v>196</v>
      </c>
      <c r="I82" s="196" t="s">
        <v>197</v>
      </c>
      <c r="J82" s="197" t="s">
        <v>4</v>
      </c>
      <c r="K82" s="196" t="s">
        <v>198</v>
      </c>
      <c r="L82" s="196" t="s">
        <v>181</v>
      </c>
      <c r="M82" s="196" t="s">
        <v>179</v>
      </c>
      <c r="N82" s="196" t="s">
        <v>199</v>
      </c>
      <c r="O82" s="196" t="s">
        <v>200</v>
      </c>
      <c r="P82" s="196" t="s">
        <v>201</v>
      </c>
      <c r="Q82" s="196" t="s">
        <v>202</v>
      </c>
      <c r="R82" s="185"/>
      <c r="S82" s="185"/>
      <c r="T82" s="185"/>
      <c r="U82" s="185"/>
      <c r="V82" s="185"/>
      <c r="W82" s="185"/>
      <c r="X82" s="185"/>
      <c r="Y82" s="185"/>
      <c r="Z82" s="185"/>
    </row>
    <row r="83" spans="1:26" ht="17" thickBot="1" x14ac:dyDescent="0.25">
      <c r="A83" s="198" t="s">
        <v>38</v>
      </c>
      <c r="B83" s="199">
        <v>17650</v>
      </c>
      <c r="C83" s="199">
        <v>6300</v>
      </c>
      <c r="D83" s="199">
        <v>800</v>
      </c>
      <c r="E83" s="199">
        <v>1250</v>
      </c>
      <c r="F83" s="199">
        <v>20299</v>
      </c>
      <c r="G83" s="199">
        <v>2000</v>
      </c>
      <c r="H83" s="199">
        <v>0</v>
      </c>
      <c r="I83" s="199">
        <v>0</v>
      </c>
      <c r="J83" s="199">
        <v>48299</v>
      </c>
      <c r="K83" s="199">
        <v>3750</v>
      </c>
      <c r="L83" s="199">
        <v>0</v>
      </c>
      <c r="M83" s="199">
        <v>2118</v>
      </c>
      <c r="N83" s="200">
        <v>46181</v>
      </c>
      <c r="O83" s="201"/>
      <c r="P83" s="201"/>
      <c r="Q83" s="201"/>
      <c r="R83" s="185"/>
      <c r="S83" s="185"/>
      <c r="T83" s="185"/>
      <c r="U83" s="185"/>
      <c r="V83" s="185"/>
      <c r="W83" s="185"/>
      <c r="X83" s="185"/>
      <c r="Y83" s="185"/>
      <c r="Z83" s="185"/>
    </row>
    <row r="84" spans="1:26" ht="17" thickBot="1" x14ac:dyDescent="0.25">
      <c r="A84" s="202" t="s">
        <v>39</v>
      </c>
      <c r="B84" s="203">
        <v>17650</v>
      </c>
      <c r="C84" s="203">
        <v>6300</v>
      </c>
      <c r="D84" s="203">
        <v>800</v>
      </c>
      <c r="E84" s="203">
        <v>1250</v>
      </c>
      <c r="F84" s="203">
        <v>20299</v>
      </c>
      <c r="G84" s="203">
        <v>2000</v>
      </c>
      <c r="H84" s="203">
        <v>0</v>
      </c>
      <c r="I84" s="203">
        <v>0</v>
      </c>
      <c r="J84" s="203">
        <v>48299</v>
      </c>
      <c r="K84" s="203">
        <v>3750</v>
      </c>
      <c r="L84" s="203">
        <v>0</v>
      </c>
      <c r="M84" s="203">
        <v>2118</v>
      </c>
      <c r="N84" s="203">
        <v>46181</v>
      </c>
      <c r="O84" s="185"/>
      <c r="P84" s="185"/>
      <c r="Q84" s="185"/>
      <c r="R84" s="185"/>
      <c r="S84" s="185"/>
      <c r="T84" s="185"/>
      <c r="U84" s="185"/>
      <c r="V84" s="185"/>
      <c r="W84" s="185"/>
      <c r="X84" s="185"/>
      <c r="Y84" s="185"/>
      <c r="Z84" s="185"/>
    </row>
    <row r="85" spans="1:26" ht="17" thickBot="1" x14ac:dyDescent="0.25">
      <c r="A85" s="198" t="s">
        <v>40</v>
      </c>
      <c r="B85" s="199">
        <v>17650</v>
      </c>
      <c r="C85" s="199">
        <v>6300</v>
      </c>
      <c r="D85" s="199">
        <v>800</v>
      </c>
      <c r="E85" s="199">
        <v>1250</v>
      </c>
      <c r="F85" s="199">
        <v>20299</v>
      </c>
      <c r="G85" s="199">
        <v>2000</v>
      </c>
      <c r="H85" s="199">
        <v>0</v>
      </c>
      <c r="I85" s="199">
        <v>0</v>
      </c>
      <c r="J85" s="199">
        <v>48299</v>
      </c>
      <c r="K85" s="199">
        <v>3750</v>
      </c>
      <c r="L85" s="199">
        <v>0</v>
      </c>
      <c r="M85" s="199">
        <v>2118</v>
      </c>
      <c r="N85" s="200">
        <v>46181</v>
      </c>
      <c r="O85" s="201"/>
      <c r="P85" s="201"/>
      <c r="Q85" s="201"/>
      <c r="R85" s="185"/>
      <c r="S85" s="185"/>
      <c r="T85" s="185"/>
      <c r="U85" s="185"/>
      <c r="V85" s="185"/>
      <c r="W85" s="185"/>
      <c r="X85" s="185"/>
      <c r="Y85" s="185"/>
      <c r="Z85" s="185"/>
    </row>
    <row r="86" spans="1:26" ht="17" thickBot="1" x14ac:dyDescent="0.25">
      <c r="A86" s="202" t="s">
        <v>41</v>
      </c>
      <c r="B86" s="203">
        <v>17650</v>
      </c>
      <c r="C86" s="203">
        <v>6300</v>
      </c>
      <c r="D86" s="203">
        <v>800</v>
      </c>
      <c r="E86" s="203">
        <v>1250</v>
      </c>
      <c r="F86" s="203">
        <v>20299</v>
      </c>
      <c r="G86" s="203">
        <v>2000</v>
      </c>
      <c r="H86" s="203">
        <v>0</v>
      </c>
      <c r="I86" s="203">
        <v>0</v>
      </c>
      <c r="J86" s="199">
        <v>48299</v>
      </c>
      <c r="K86" s="203">
        <v>3750</v>
      </c>
      <c r="L86" s="203">
        <v>0</v>
      </c>
      <c r="M86" s="203">
        <v>2118</v>
      </c>
      <c r="N86" s="200">
        <v>46181</v>
      </c>
      <c r="O86" s="185"/>
      <c r="P86" s="185"/>
      <c r="Q86" s="185"/>
      <c r="R86" s="185"/>
      <c r="S86" s="185"/>
      <c r="T86" s="185"/>
      <c r="U86" s="185"/>
      <c r="V86" s="185"/>
      <c r="W86" s="185"/>
      <c r="X86" s="185"/>
      <c r="Y86" s="185"/>
      <c r="Z86" s="185"/>
    </row>
    <row r="87" spans="1:26" ht="17" thickBot="1" x14ac:dyDescent="0.25">
      <c r="A87" s="198" t="s">
        <v>43</v>
      </c>
      <c r="B87" s="199">
        <v>18425</v>
      </c>
      <c r="C87" s="199">
        <v>11055</v>
      </c>
      <c r="D87" s="199">
        <v>5258</v>
      </c>
      <c r="E87" s="199">
        <v>0</v>
      </c>
      <c r="F87" s="199">
        <v>13635</v>
      </c>
      <c r="G87" s="199">
        <v>2000</v>
      </c>
      <c r="H87" s="199">
        <v>0</v>
      </c>
      <c r="I87" s="199">
        <v>0</v>
      </c>
      <c r="J87" s="199">
        <v>50373</v>
      </c>
      <c r="K87" s="199">
        <v>3750</v>
      </c>
      <c r="L87" s="199">
        <v>0</v>
      </c>
      <c r="M87" s="199">
        <v>2211</v>
      </c>
      <c r="N87" s="200">
        <v>48162</v>
      </c>
      <c r="O87" s="201"/>
      <c r="P87" s="201"/>
      <c r="Q87" s="201"/>
      <c r="R87" s="185"/>
      <c r="S87" s="185"/>
      <c r="T87" s="185"/>
      <c r="U87" s="185"/>
      <c r="V87" s="185"/>
      <c r="W87" s="185"/>
      <c r="X87" s="185"/>
      <c r="Y87" s="185"/>
      <c r="Z87" s="185"/>
    </row>
    <row r="88" spans="1:26" ht="17" thickBot="1" x14ac:dyDescent="0.25">
      <c r="A88" s="202" t="s">
        <v>44</v>
      </c>
      <c r="B88" s="199">
        <v>18425</v>
      </c>
      <c r="C88" s="199">
        <v>11055</v>
      </c>
      <c r="D88" s="199">
        <v>5258</v>
      </c>
      <c r="E88" s="199">
        <v>0</v>
      </c>
      <c r="F88" s="199">
        <v>13635</v>
      </c>
      <c r="G88" s="199">
        <v>2000</v>
      </c>
      <c r="H88" s="199">
        <v>0</v>
      </c>
      <c r="I88" s="199">
        <v>0</v>
      </c>
      <c r="J88" s="199">
        <v>50373</v>
      </c>
      <c r="K88" s="199">
        <v>3750</v>
      </c>
      <c r="L88" s="199">
        <v>0</v>
      </c>
      <c r="M88" s="199">
        <v>2211</v>
      </c>
      <c r="N88" s="200">
        <v>48162</v>
      </c>
      <c r="O88" s="185"/>
      <c r="P88" s="185"/>
      <c r="Q88" s="185"/>
      <c r="R88" s="185"/>
      <c r="S88" s="185"/>
      <c r="T88" s="185"/>
      <c r="U88" s="185"/>
      <c r="V88" s="185"/>
      <c r="W88" s="185"/>
      <c r="X88" s="185"/>
      <c r="Y88" s="185"/>
      <c r="Z88" s="185"/>
    </row>
    <row r="89" spans="1:26" ht="17" thickBot="1" x14ac:dyDescent="0.25">
      <c r="A89" s="198" t="s">
        <v>45</v>
      </c>
      <c r="B89" s="199">
        <v>18425</v>
      </c>
      <c r="C89" s="199">
        <v>11055</v>
      </c>
      <c r="D89" s="199">
        <v>5258</v>
      </c>
      <c r="E89" s="199">
        <v>0</v>
      </c>
      <c r="F89" s="199">
        <v>13635</v>
      </c>
      <c r="G89" s="199">
        <v>2000</v>
      </c>
      <c r="H89" s="199">
        <v>0</v>
      </c>
      <c r="I89" s="199">
        <v>0</v>
      </c>
      <c r="J89" s="199">
        <v>50373</v>
      </c>
      <c r="K89" s="199">
        <v>3750</v>
      </c>
      <c r="L89" s="199">
        <v>0</v>
      </c>
      <c r="M89" s="199">
        <v>2211</v>
      </c>
      <c r="N89" s="200">
        <v>48162</v>
      </c>
      <c r="O89" s="201"/>
      <c r="P89" s="201"/>
      <c r="Q89" s="201"/>
      <c r="R89" s="185"/>
      <c r="S89" s="185"/>
      <c r="T89" s="185"/>
      <c r="U89" s="185"/>
      <c r="V89" s="185"/>
      <c r="W89" s="185"/>
      <c r="X89" s="185"/>
      <c r="Y89" s="185"/>
      <c r="Z89" s="185"/>
    </row>
    <row r="90" spans="1:26" ht="17" thickBot="1" x14ac:dyDescent="0.25">
      <c r="A90" s="202" t="s">
        <v>46</v>
      </c>
      <c r="B90" s="199">
        <v>18425</v>
      </c>
      <c r="C90" s="199">
        <v>11055</v>
      </c>
      <c r="D90" s="199">
        <v>5258</v>
      </c>
      <c r="E90" s="199">
        <v>0</v>
      </c>
      <c r="F90" s="199">
        <v>13635</v>
      </c>
      <c r="G90" s="199">
        <v>2000</v>
      </c>
      <c r="H90" s="199">
        <v>0</v>
      </c>
      <c r="I90" s="199">
        <v>0</v>
      </c>
      <c r="J90" s="199">
        <v>50373</v>
      </c>
      <c r="K90" s="199">
        <v>3750</v>
      </c>
      <c r="L90" s="199">
        <v>0</v>
      </c>
      <c r="M90" s="199">
        <v>2211</v>
      </c>
      <c r="N90" s="200">
        <v>48162</v>
      </c>
      <c r="O90" s="185"/>
      <c r="P90" s="185"/>
      <c r="Q90" s="185"/>
      <c r="R90" s="185"/>
      <c r="S90" s="185"/>
      <c r="T90" s="185"/>
      <c r="U90" s="185"/>
      <c r="V90" s="185"/>
      <c r="W90" s="185"/>
      <c r="X90" s="185"/>
      <c r="Y90" s="185"/>
      <c r="Z90" s="185"/>
    </row>
    <row r="91" spans="1:26" ht="17" thickBot="1" x14ac:dyDescent="0.25">
      <c r="A91" s="198" t="s">
        <v>47</v>
      </c>
      <c r="B91" s="199">
        <v>18425</v>
      </c>
      <c r="C91" s="199">
        <v>11055</v>
      </c>
      <c r="D91" s="199">
        <v>5258</v>
      </c>
      <c r="E91" s="199">
        <v>0</v>
      </c>
      <c r="F91" s="199">
        <v>13635</v>
      </c>
      <c r="G91" s="199">
        <v>2000</v>
      </c>
      <c r="H91" s="199">
        <v>0</v>
      </c>
      <c r="I91" s="199">
        <v>0</v>
      </c>
      <c r="J91" s="199">
        <v>50373</v>
      </c>
      <c r="K91" s="199">
        <v>3750</v>
      </c>
      <c r="L91" s="199">
        <v>0</v>
      </c>
      <c r="M91" s="199">
        <v>2211</v>
      </c>
      <c r="N91" s="200">
        <v>48162</v>
      </c>
      <c r="O91" s="201"/>
      <c r="P91" s="201"/>
      <c r="Q91" s="201"/>
      <c r="R91" s="185"/>
      <c r="S91" s="185"/>
      <c r="T91" s="185"/>
      <c r="U91" s="185"/>
      <c r="V91" s="185"/>
      <c r="W91" s="185"/>
      <c r="X91" s="185"/>
      <c r="Y91" s="185"/>
      <c r="Z91" s="185"/>
    </row>
    <row r="92" spans="1:26" ht="17" thickBot="1" x14ac:dyDescent="0.25">
      <c r="A92" s="202" t="s">
        <v>34</v>
      </c>
      <c r="B92" s="199">
        <v>18425</v>
      </c>
      <c r="C92" s="199">
        <v>11055</v>
      </c>
      <c r="D92" s="199">
        <v>5258</v>
      </c>
      <c r="E92" s="199">
        <v>0</v>
      </c>
      <c r="F92" s="199">
        <v>13635</v>
      </c>
      <c r="G92" s="199">
        <v>2000</v>
      </c>
      <c r="H92" s="199">
        <v>0</v>
      </c>
      <c r="I92" s="199">
        <v>0</v>
      </c>
      <c r="J92" s="199">
        <v>50373</v>
      </c>
      <c r="K92" s="199">
        <v>3750</v>
      </c>
      <c r="L92" s="199">
        <v>0</v>
      </c>
      <c r="M92" s="199">
        <v>2211</v>
      </c>
      <c r="N92" s="200">
        <v>48162</v>
      </c>
      <c r="O92" s="185"/>
      <c r="P92" s="185"/>
      <c r="Q92" s="185"/>
      <c r="R92" s="185"/>
      <c r="S92" s="185"/>
      <c r="T92" s="185"/>
      <c r="U92" s="185"/>
      <c r="V92" s="185"/>
      <c r="W92" s="185"/>
      <c r="X92" s="185"/>
      <c r="Y92" s="185"/>
      <c r="Z92" s="185"/>
    </row>
    <row r="93" spans="1:26" ht="17" thickBot="1" x14ac:dyDescent="0.25">
      <c r="A93" s="198" t="s">
        <v>36</v>
      </c>
      <c r="B93" s="199">
        <v>18425</v>
      </c>
      <c r="C93" s="199">
        <v>11055</v>
      </c>
      <c r="D93" s="199">
        <v>5258</v>
      </c>
      <c r="E93" s="199">
        <v>0</v>
      </c>
      <c r="F93" s="199">
        <v>13635</v>
      </c>
      <c r="G93" s="199">
        <v>2000</v>
      </c>
      <c r="H93" s="199">
        <v>0</v>
      </c>
      <c r="I93" s="199">
        <v>0</v>
      </c>
      <c r="J93" s="199">
        <v>50373</v>
      </c>
      <c r="K93" s="199">
        <v>3750</v>
      </c>
      <c r="L93" s="199">
        <v>0</v>
      </c>
      <c r="M93" s="199">
        <v>2211</v>
      </c>
      <c r="N93" s="200">
        <v>48162</v>
      </c>
      <c r="O93" s="201"/>
      <c r="P93" s="201"/>
      <c r="Q93" s="201"/>
      <c r="R93" s="185"/>
      <c r="S93" s="185"/>
      <c r="T93" s="185"/>
      <c r="U93" s="185"/>
      <c r="V93" s="185"/>
      <c r="W93" s="185"/>
      <c r="X93" s="185"/>
      <c r="Y93" s="185"/>
      <c r="Z93" s="185"/>
    </row>
    <row r="94" spans="1:26" ht="17" thickBot="1" x14ac:dyDescent="0.25">
      <c r="A94" s="202" t="s">
        <v>37</v>
      </c>
      <c r="B94" s="199">
        <v>18425</v>
      </c>
      <c r="C94" s="199">
        <v>11055</v>
      </c>
      <c r="D94" s="199">
        <v>5258</v>
      </c>
      <c r="E94" s="199">
        <v>0</v>
      </c>
      <c r="F94" s="199">
        <v>13635</v>
      </c>
      <c r="G94" s="199">
        <v>2000</v>
      </c>
      <c r="H94" s="199">
        <v>51750</v>
      </c>
      <c r="I94" s="199">
        <v>0</v>
      </c>
      <c r="J94" s="199">
        <v>102123</v>
      </c>
      <c r="K94" s="199">
        <v>3750</v>
      </c>
      <c r="L94" s="199">
        <v>0</v>
      </c>
      <c r="M94" s="199">
        <v>2211</v>
      </c>
      <c r="N94" s="200">
        <v>99912</v>
      </c>
      <c r="O94" s="185"/>
      <c r="P94" s="185"/>
      <c r="Q94" s="185"/>
      <c r="R94" s="185"/>
      <c r="S94" s="185"/>
      <c r="T94" s="185"/>
      <c r="U94" s="185"/>
      <c r="V94" s="185"/>
      <c r="W94" s="185"/>
      <c r="X94" s="185"/>
      <c r="Y94" s="185"/>
      <c r="Z94" s="185"/>
    </row>
    <row r="95" spans="1:26" ht="17" thickBot="1" x14ac:dyDescent="0.25">
      <c r="A95" s="205" t="s">
        <v>225</v>
      </c>
      <c r="B95" s="209">
        <v>218000</v>
      </c>
      <c r="C95" s="209">
        <v>113640</v>
      </c>
      <c r="D95" s="209">
        <v>45264</v>
      </c>
      <c r="E95" s="209">
        <v>5000</v>
      </c>
      <c r="F95" s="209">
        <v>190276</v>
      </c>
      <c r="G95" s="209">
        <v>24000</v>
      </c>
      <c r="H95" s="209">
        <v>51750</v>
      </c>
      <c r="I95" s="209">
        <v>0</v>
      </c>
      <c r="J95" s="208">
        <v>647930</v>
      </c>
      <c r="K95" s="208">
        <v>45000</v>
      </c>
      <c r="L95" s="209">
        <v>0</v>
      </c>
      <c r="M95" s="209">
        <v>26160</v>
      </c>
      <c r="N95" s="209">
        <v>621770</v>
      </c>
      <c r="O95" s="206"/>
      <c r="P95" s="206"/>
      <c r="Q95" s="206"/>
      <c r="R95" s="185"/>
      <c r="S95" s="185"/>
      <c r="T95" s="185"/>
      <c r="U95" s="185"/>
      <c r="V95" s="185"/>
      <c r="W95" s="185"/>
      <c r="X95" s="185"/>
      <c r="Y95" s="185"/>
      <c r="Z95" s="185"/>
    </row>
    <row r="96" spans="1:26" ht="16" thickBot="1" x14ac:dyDescent="0.25">
      <c r="A96" s="185"/>
      <c r="B96" s="185"/>
      <c r="C96" s="185"/>
      <c r="D96" s="185"/>
      <c r="E96" s="185"/>
      <c r="F96" s="185"/>
      <c r="G96" s="185" t="s">
        <v>204</v>
      </c>
      <c r="H96" s="361">
        <v>115</v>
      </c>
      <c r="I96" s="185"/>
      <c r="J96" s="185"/>
      <c r="K96" s="185"/>
      <c r="L96" s="185"/>
      <c r="M96" s="185"/>
      <c r="N96" s="185"/>
      <c r="O96" s="185"/>
      <c r="P96" s="185"/>
      <c r="Q96" s="185"/>
      <c r="R96" s="185"/>
      <c r="S96" s="185"/>
      <c r="T96" s="185"/>
      <c r="U96" s="185"/>
      <c r="V96" s="185"/>
      <c r="W96" s="185"/>
      <c r="X96" s="185"/>
      <c r="Y96" s="185"/>
      <c r="Z96" s="185"/>
    </row>
    <row r="97" spans="1:26" ht="16" thickBot="1" x14ac:dyDescent="0.25">
      <c r="A97" s="185"/>
      <c r="B97" s="185"/>
      <c r="C97" s="185"/>
      <c r="D97" s="185"/>
      <c r="E97" s="185"/>
      <c r="F97" s="185"/>
      <c r="G97" s="185"/>
      <c r="H97" s="185"/>
      <c r="I97" s="185"/>
      <c r="J97" s="185"/>
      <c r="K97" s="185"/>
      <c r="L97" s="185"/>
      <c r="M97" s="185"/>
      <c r="N97" s="185"/>
      <c r="O97" s="185"/>
      <c r="P97" s="185"/>
      <c r="Q97" s="185"/>
      <c r="R97" s="185"/>
      <c r="S97" s="185"/>
      <c r="T97" s="185"/>
      <c r="U97" s="185"/>
      <c r="V97" s="185"/>
      <c r="W97" s="185"/>
      <c r="X97" s="185"/>
      <c r="Y97" s="185"/>
      <c r="Z97" s="185"/>
    </row>
    <row r="98" spans="1:26" ht="16" thickBot="1" x14ac:dyDescent="0.25">
      <c r="A98" s="185"/>
      <c r="B98" s="185"/>
      <c r="C98" s="185"/>
      <c r="D98" s="185"/>
      <c r="E98" s="185"/>
      <c r="F98" s="185"/>
      <c r="G98" s="185"/>
      <c r="H98" s="185"/>
      <c r="I98" s="185"/>
      <c r="J98" s="185"/>
      <c r="K98" s="185"/>
      <c r="L98" s="185"/>
      <c r="M98" s="185"/>
      <c r="N98" s="185"/>
      <c r="O98" s="185"/>
      <c r="P98" s="185"/>
      <c r="Q98" s="185"/>
      <c r="R98" s="185"/>
      <c r="S98" s="185"/>
      <c r="T98" s="185"/>
      <c r="U98" s="185"/>
      <c r="V98" s="185"/>
      <c r="W98" s="185"/>
      <c r="X98" s="185"/>
      <c r="Y98" s="185"/>
      <c r="Z98" s="185"/>
    </row>
    <row r="99" spans="1:26" ht="16" thickBot="1" x14ac:dyDescent="0.25">
      <c r="A99" s="490" t="s">
        <v>226</v>
      </c>
      <c r="B99" s="491"/>
      <c r="C99" s="491"/>
      <c r="D99" s="491"/>
      <c r="E99" s="491"/>
      <c r="F99" s="491"/>
      <c r="G99" s="491"/>
      <c r="H99" s="491"/>
      <c r="I99" s="491"/>
      <c r="J99" s="491"/>
      <c r="K99" s="491"/>
      <c r="L99" s="491"/>
      <c r="M99" s="491"/>
      <c r="N99" s="491"/>
      <c r="O99" s="491"/>
      <c r="P99" s="491"/>
      <c r="Q99" s="492"/>
      <c r="R99" s="185"/>
      <c r="S99" s="185"/>
      <c r="T99" s="185"/>
      <c r="U99" s="185"/>
      <c r="V99" s="185"/>
      <c r="W99" s="185"/>
      <c r="X99" s="185"/>
      <c r="Y99" s="185"/>
      <c r="Z99" s="185"/>
    </row>
    <row r="100" spans="1:26" ht="33" thickBot="1" x14ac:dyDescent="0.25">
      <c r="A100" s="196" t="s">
        <v>190</v>
      </c>
      <c r="B100" s="196" t="s">
        <v>191</v>
      </c>
      <c r="C100" s="196" t="s">
        <v>178</v>
      </c>
      <c r="D100" s="196" t="s">
        <v>192</v>
      </c>
      <c r="E100" s="196" t="s">
        <v>193</v>
      </c>
      <c r="F100" s="196" t="s">
        <v>194</v>
      </c>
      <c r="G100" s="196" t="s">
        <v>195</v>
      </c>
      <c r="H100" s="196" t="s">
        <v>196</v>
      </c>
      <c r="I100" s="196" t="s">
        <v>197</v>
      </c>
      <c r="J100" s="197" t="s">
        <v>4</v>
      </c>
      <c r="K100" s="196" t="s">
        <v>198</v>
      </c>
      <c r="L100" s="196" t="s">
        <v>181</v>
      </c>
      <c r="M100" s="196" t="s">
        <v>179</v>
      </c>
      <c r="N100" s="196" t="s">
        <v>199</v>
      </c>
      <c r="O100" s="196" t="s">
        <v>200</v>
      </c>
      <c r="P100" s="196" t="s">
        <v>201</v>
      </c>
      <c r="Q100" s="196" t="s">
        <v>202</v>
      </c>
      <c r="R100" s="185"/>
      <c r="S100" s="185"/>
      <c r="T100" s="185"/>
      <c r="U100" s="185"/>
      <c r="V100" s="185"/>
      <c r="W100" s="185"/>
      <c r="X100" s="185"/>
      <c r="Y100" s="185"/>
      <c r="Z100" s="185"/>
    </row>
    <row r="101" spans="1:26" ht="17" thickBot="1" x14ac:dyDescent="0.25">
      <c r="A101" s="198" t="s">
        <v>38</v>
      </c>
      <c r="B101" s="199">
        <v>18425</v>
      </c>
      <c r="C101" s="199">
        <v>11055</v>
      </c>
      <c r="D101" s="199">
        <v>5258</v>
      </c>
      <c r="E101" s="199">
        <v>0</v>
      </c>
      <c r="F101" s="199">
        <v>13635</v>
      </c>
      <c r="G101" s="199">
        <v>2000</v>
      </c>
      <c r="H101" s="199">
        <v>0</v>
      </c>
      <c r="I101" s="199">
        <v>0</v>
      </c>
      <c r="J101" s="199">
        <v>50373</v>
      </c>
      <c r="K101" s="199">
        <v>3750</v>
      </c>
      <c r="L101" s="199">
        <v>0</v>
      </c>
      <c r="M101" s="199">
        <v>2211</v>
      </c>
      <c r="N101" s="200">
        <v>48162</v>
      </c>
      <c r="O101" s="201"/>
      <c r="P101" s="201"/>
      <c r="Q101" s="201"/>
      <c r="R101" s="185"/>
      <c r="S101" s="185"/>
      <c r="T101" s="185"/>
      <c r="U101" s="185"/>
      <c r="V101" s="185"/>
      <c r="W101" s="185"/>
      <c r="X101" s="185"/>
      <c r="Y101" s="185"/>
      <c r="Z101" s="185"/>
    </row>
    <row r="102" spans="1:26" ht="17" thickBot="1" x14ac:dyDescent="0.25">
      <c r="A102" s="202" t="s">
        <v>39</v>
      </c>
      <c r="B102" s="199">
        <v>18425</v>
      </c>
      <c r="C102" s="199">
        <v>11055</v>
      </c>
      <c r="D102" s="199">
        <v>5258</v>
      </c>
      <c r="E102" s="199">
        <v>0</v>
      </c>
      <c r="F102" s="199">
        <v>13635</v>
      </c>
      <c r="G102" s="199">
        <v>2000</v>
      </c>
      <c r="H102" s="199">
        <v>0</v>
      </c>
      <c r="I102" s="199">
        <v>0</v>
      </c>
      <c r="J102" s="199">
        <v>50373</v>
      </c>
      <c r="K102" s="199">
        <v>3750</v>
      </c>
      <c r="L102" s="199">
        <v>0</v>
      </c>
      <c r="M102" s="199">
        <v>2211</v>
      </c>
      <c r="N102" s="200">
        <v>48162</v>
      </c>
      <c r="O102" s="185"/>
      <c r="P102" s="185"/>
      <c r="Q102" s="185"/>
      <c r="R102" s="185"/>
      <c r="S102" s="185"/>
      <c r="T102" s="185"/>
      <c r="U102" s="185"/>
      <c r="V102" s="185"/>
      <c r="W102" s="185"/>
      <c r="X102" s="185"/>
      <c r="Y102" s="185"/>
      <c r="Z102" s="185"/>
    </row>
    <row r="103" spans="1:26" ht="17" thickBot="1" x14ac:dyDescent="0.25">
      <c r="A103" s="198" t="s">
        <v>40</v>
      </c>
      <c r="B103" s="199">
        <v>18425</v>
      </c>
      <c r="C103" s="199">
        <v>11055</v>
      </c>
      <c r="D103" s="199">
        <v>5258</v>
      </c>
      <c r="E103" s="199">
        <v>0</v>
      </c>
      <c r="F103" s="199">
        <v>13635</v>
      </c>
      <c r="G103" s="199">
        <v>2000</v>
      </c>
      <c r="H103" s="199">
        <v>0</v>
      </c>
      <c r="I103" s="199">
        <v>0</v>
      </c>
      <c r="J103" s="199">
        <v>50373</v>
      </c>
      <c r="K103" s="199">
        <v>3750</v>
      </c>
      <c r="L103" s="199">
        <v>0</v>
      </c>
      <c r="M103" s="199">
        <v>2211</v>
      </c>
      <c r="N103" s="200">
        <v>48162</v>
      </c>
      <c r="O103" s="201"/>
      <c r="P103" s="201"/>
      <c r="Q103" s="201"/>
      <c r="R103" s="185"/>
      <c r="S103" s="185"/>
      <c r="T103" s="185"/>
      <c r="U103" s="185"/>
      <c r="V103" s="185"/>
      <c r="W103" s="185"/>
      <c r="X103" s="185"/>
      <c r="Y103" s="185"/>
      <c r="Z103" s="185"/>
    </row>
    <row r="104" spans="1:26" ht="17" thickBot="1" x14ac:dyDescent="0.25">
      <c r="A104" s="202" t="s">
        <v>41</v>
      </c>
      <c r="B104" s="199">
        <v>18425</v>
      </c>
      <c r="C104" s="199">
        <v>11055</v>
      </c>
      <c r="D104" s="199">
        <v>5258</v>
      </c>
      <c r="E104" s="199">
        <v>0</v>
      </c>
      <c r="F104" s="199">
        <v>13635</v>
      </c>
      <c r="G104" s="199">
        <v>2000</v>
      </c>
      <c r="H104" s="199">
        <v>0</v>
      </c>
      <c r="I104" s="199">
        <v>0</v>
      </c>
      <c r="J104" s="199">
        <v>50373</v>
      </c>
      <c r="K104" s="199">
        <v>3750</v>
      </c>
      <c r="L104" s="199">
        <v>0</v>
      </c>
      <c r="M104" s="199">
        <v>2211</v>
      </c>
      <c r="N104" s="200">
        <v>48162</v>
      </c>
      <c r="O104" s="185"/>
      <c r="P104" s="185"/>
      <c r="Q104" s="185"/>
      <c r="R104" s="185"/>
      <c r="S104" s="185"/>
      <c r="T104" s="185"/>
      <c r="U104" s="185"/>
      <c r="V104" s="185"/>
      <c r="W104" s="185"/>
      <c r="X104" s="185"/>
      <c r="Y104" s="185"/>
      <c r="Z104" s="185"/>
    </row>
    <row r="105" spans="1:26" ht="17" thickBot="1" x14ac:dyDescent="0.25">
      <c r="A105" s="198" t="s">
        <v>43</v>
      </c>
      <c r="B105" s="199">
        <v>18425</v>
      </c>
      <c r="C105" s="199">
        <v>11055</v>
      </c>
      <c r="D105" s="199">
        <v>5258</v>
      </c>
      <c r="E105" s="199">
        <v>0</v>
      </c>
      <c r="F105" s="199">
        <v>13635</v>
      </c>
      <c r="G105" s="199">
        <v>2000</v>
      </c>
      <c r="H105" s="199">
        <v>0</v>
      </c>
      <c r="I105" s="199">
        <v>0</v>
      </c>
      <c r="J105" s="199">
        <v>50373</v>
      </c>
      <c r="K105" s="199">
        <v>3750</v>
      </c>
      <c r="L105" s="199">
        <v>0</v>
      </c>
      <c r="M105" s="199">
        <v>2211</v>
      </c>
      <c r="N105" s="200">
        <v>48162</v>
      </c>
      <c r="O105" s="201"/>
      <c r="P105" s="201"/>
      <c r="Q105" s="201"/>
      <c r="R105" s="185"/>
      <c r="S105" s="185"/>
      <c r="T105" s="185"/>
      <c r="U105" s="185"/>
      <c r="V105" s="185"/>
      <c r="W105" s="185"/>
      <c r="X105" s="185"/>
      <c r="Y105" s="185"/>
      <c r="Z105" s="185"/>
    </row>
    <row r="106" spans="1:26" ht="17" thickBot="1" x14ac:dyDescent="0.25">
      <c r="A106" s="202" t="s">
        <v>44</v>
      </c>
      <c r="B106" s="199">
        <v>18425</v>
      </c>
      <c r="C106" s="199">
        <v>11055</v>
      </c>
      <c r="D106" s="199">
        <v>5258</v>
      </c>
      <c r="E106" s="199">
        <v>0</v>
      </c>
      <c r="F106" s="199">
        <v>13635</v>
      </c>
      <c r="G106" s="199">
        <v>2000</v>
      </c>
      <c r="H106" s="199">
        <v>0</v>
      </c>
      <c r="I106" s="199">
        <v>0</v>
      </c>
      <c r="J106" s="199">
        <v>50373</v>
      </c>
      <c r="K106" s="199">
        <v>3750</v>
      </c>
      <c r="L106" s="199">
        <v>0</v>
      </c>
      <c r="M106" s="199">
        <v>2211</v>
      </c>
      <c r="N106" s="200">
        <v>48162</v>
      </c>
      <c r="O106" s="185"/>
      <c r="P106" s="185"/>
      <c r="Q106" s="185"/>
      <c r="R106" s="185"/>
      <c r="S106" s="185"/>
      <c r="T106" s="185"/>
      <c r="U106" s="185"/>
      <c r="V106" s="185"/>
      <c r="W106" s="185"/>
      <c r="X106" s="185"/>
      <c r="Y106" s="185"/>
      <c r="Z106" s="185"/>
    </row>
    <row r="107" spans="1:26" ht="17" thickBot="1" x14ac:dyDescent="0.25">
      <c r="A107" s="198" t="s">
        <v>45</v>
      </c>
      <c r="B107" s="199">
        <v>18425</v>
      </c>
      <c r="C107" s="199">
        <v>11055</v>
      </c>
      <c r="D107" s="199">
        <v>5258</v>
      </c>
      <c r="E107" s="199">
        <v>0</v>
      </c>
      <c r="F107" s="199">
        <v>13635</v>
      </c>
      <c r="G107" s="199">
        <v>2000</v>
      </c>
      <c r="H107" s="199">
        <v>0</v>
      </c>
      <c r="I107" s="199">
        <v>0</v>
      </c>
      <c r="J107" s="199">
        <v>50373</v>
      </c>
      <c r="K107" s="199">
        <v>3750</v>
      </c>
      <c r="L107" s="199">
        <v>0</v>
      </c>
      <c r="M107" s="199">
        <v>2211</v>
      </c>
      <c r="N107" s="200">
        <v>48162</v>
      </c>
      <c r="O107" s="201"/>
      <c r="P107" s="201"/>
      <c r="Q107" s="201"/>
      <c r="R107" s="185"/>
      <c r="S107" s="185"/>
      <c r="T107" s="185"/>
      <c r="U107" s="185"/>
      <c r="V107" s="185"/>
      <c r="W107" s="185"/>
      <c r="X107" s="185"/>
      <c r="Y107" s="185"/>
      <c r="Z107" s="185"/>
    </row>
    <row r="108" spans="1:26" ht="17" thickBot="1" x14ac:dyDescent="0.25">
      <c r="A108" s="202" t="s">
        <v>46</v>
      </c>
      <c r="B108" s="199">
        <v>19400</v>
      </c>
      <c r="C108" s="199">
        <v>11640</v>
      </c>
      <c r="D108" s="199">
        <v>5540</v>
      </c>
      <c r="E108" s="199">
        <v>0</v>
      </c>
      <c r="F108" s="199">
        <v>14493</v>
      </c>
      <c r="G108" s="199">
        <v>2000</v>
      </c>
      <c r="H108" s="199">
        <v>0</v>
      </c>
      <c r="I108" s="199">
        <v>0</v>
      </c>
      <c r="J108" s="199">
        <v>53073</v>
      </c>
      <c r="K108" s="199">
        <v>3750</v>
      </c>
      <c r="L108" s="199">
        <v>0</v>
      </c>
      <c r="M108" s="199">
        <v>2328</v>
      </c>
      <c r="N108" s="200">
        <v>50745</v>
      </c>
      <c r="O108" s="185"/>
      <c r="P108" s="185"/>
      <c r="Q108" s="185"/>
      <c r="R108" s="185"/>
      <c r="S108" s="185"/>
      <c r="T108" s="185"/>
      <c r="U108" s="185"/>
      <c r="V108" s="185"/>
      <c r="W108" s="185"/>
      <c r="X108" s="185"/>
      <c r="Y108" s="185"/>
      <c r="Z108" s="185"/>
    </row>
    <row r="109" spans="1:26" ht="17" thickBot="1" x14ac:dyDescent="0.25">
      <c r="A109" s="198" t="s">
        <v>47</v>
      </c>
      <c r="B109" s="199">
        <v>19400</v>
      </c>
      <c r="C109" s="199">
        <v>11640</v>
      </c>
      <c r="D109" s="199">
        <v>5540</v>
      </c>
      <c r="E109" s="199">
        <v>0</v>
      </c>
      <c r="F109" s="199">
        <v>14493</v>
      </c>
      <c r="G109" s="199">
        <v>2000</v>
      </c>
      <c r="H109" s="199">
        <v>0</v>
      </c>
      <c r="I109" s="199">
        <v>0</v>
      </c>
      <c r="J109" s="199">
        <v>53073</v>
      </c>
      <c r="K109" s="199">
        <v>3750</v>
      </c>
      <c r="L109" s="199">
        <v>0</v>
      </c>
      <c r="M109" s="199">
        <v>2328</v>
      </c>
      <c r="N109" s="200">
        <v>50745</v>
      </c>
      <c r="O109" s="201"/>
      <c r="P109" s="201"/>
      <c r="Q109" s="201"/>
      <c r="R109" s="185"/>
      <c r="S109" s="185"/>
      <c r="T109" s="185"/>
      <c r="U109" s="185"/>
      <c r="V109" s="185"/>
      <c r="W109" s="185"/>
      <c r="X109" s="185"/>
      <c r="Y109" s="185"/>
      <c r="Z109" s="185"/>
    </row>
    <row r="110" spans="1:26" ht="17" thickBot="1" x14ac:dyDescent="0.25">
      <c r="A110" s="202" t="s">
        <v>34</v>
      </c>
      <c r="B110" s="199">
        <v>19400</v>
      </c>
      <c r="C110" s="199">
        <v>11640</v>
      </c>
      <c r="D110" s="199">
        <v>5540</v>
      </c>
      <c r="E110" s="199">
        <v>0</v>
      </c>
      <c r="F110" s="199">
        <v>14493</v>
      </c>
      <c r="G110" s="199">
        <v>2000</v>
      </c>
      <c r="H110" s="199">
        <v>0</v>
      </c>
      <c r="I110" s="199">
        <v>0</v>
      </c>
      <c r="J110" s="199">
        <v>53073</v>
      </c>
      <c r="K110" s="199">
        <v>3750</v>
      </c>
      <c r="L110" s="199">
        <v>0</v>
      </c>
      <c r="M110" s="199">
        <v>2328</v>
      </c>
      <c r="N110" s="200">
        <v>50745</v>
      </c>
      <c r="O110" s="185"/>
      <c r="P110" s="185"/>
      <c r="Q110" s="185"/>
      <c r="R110" s="185"/>
      <c r="S110" s="185"/>
      <c r="T110" s="185"/>
      <c r="U110" s="185"/>
      <c r="V110" s="185"/>
      <c r="W110" s="185"/>
      <c r="X110" s="185"/>
      <c r="Y110" s="185"/>
      <c r="Z110" s="185"/>
    </row>
    <row r="111" spans="1:26" ht="17" thickBot="1" x14ac:dyDescent="0.25">
      <c r="A111" s="198" t="s">
        <v>36</v>
      </c>
      <c r="B111" s="199">
        <v>19400</v>
      </c>
      <c r="C111" s="199">
        <v>11640</v>
      </c>
      <c r="D111" s="199">
        <v>5540</v>
      </c>
      <c r="E111" s="199">
        <v>0</v>
      </c>
      <c r="F111" s="199">
        <v>14493</v>
      </c>
      <c r="G111" s="199">
        <v>2000</v>
      </c>
      <c r="H111" s="199">
        <v>0</v>
      </c>
      <c r="I111" s="199">
        <v>0</v>
      </c>
      <c r="J111" s="199">
        <v>53073</v>
      </c>
      <c r="K111" s="199">
        <v>3750</v>
      </c>
      <c r="L111" s="199">
        <v>0</v>
      </c>
      <c r="M111" s="199">
        <v>2328</v>
      </c>
      <c r="N111" s="200">
        <v>50745</v>
      </c>
      <c r="O111" s="201"/>
      <c r="P111" s="201"/>
      <c r="Q111" s="201"/>
      <c r="R111" s="185"/>
      <c r="S111" s="185"/>
      <c r="T111" s="185"/>
      <c r="U111" s="185"/>
      <c r="V111" s="185"/>
      <c r="W111" s="185"/>
      <c r="X111" s="185"/>
      <c r="Y111" s="185"/>
      <c r="Z111" s="185"/>
    </row>
    <row r="112" spans="1:26" ht="17" thickBot="1" x14ac:dyDescent="0.25">
      <c r="A112" s="202" t="s">
        <v>37</v>
      </c>
      <c r="B112" s="199">
        <v>19400</v>
      </c>
      <c r="C112" s="199">
        <v>11640</v>
      </c>
      <c r="D112" s="199">
        <v>5540</v>
      </c>
      <c r="E112" s="199">
        <v>0</v>
      </c>
      <c r="F112" s="199">
        <v>14493</v>
      </c>
      <c r="G112" s="199">
        <v>2000</v>
      </c>
      <c r="H112" s="199">
        <v>45000</v>
      </c>
      <c r="I112" s="199">
        <v>0</v>
      </c>
      <c r="J112" s="199">
        <v>98073</v>
      </c>
      <c r="K112" s="199">
        <v>3750</v>
      </c>
      <c r="L112" s="199">
        <v>0</v>
      </c>
      <c r="M112" s="199">
        <v>2328</v>
      </c>
      <c r="N112" s="200">
        <v>95745</v>
      </c>
      <c r="O112" s="185"/>
      <c r="P112" s="185"/>
      <c r="Q112" s="185"/>
      <c r="R112" s="185"/>
      <c r="S112" s="185"/>
      <c r="T112" s="185"/>
      <c r="U112" s="185"/>
      <c r="V112" s="185"/>
      <c r="W112" s="185"/>
      <c r="X112" s="185"/>
      <c r="Y112" s="185"/>
      <c r="Z112" s="185"/>
    </row>
    <row r="113" spans="1:26" ht="17" thickBot="1" x14ac:dyDescent="0.25">
      <c r="A113" s="205" t="s">
        <v>227</v>
      </c>
      <c r="B113" s="209">
        <v>225975</v>
      </c>
      <c r="C113" s="209">
        <v>135585</v>
      </c>
      <c r="D113" s="209">
        <v>64506</v>
      </c>
      <c r="E113" s="209">
        <v>0</v>
      </c>
      <c r="F113" s="209">
        <v>167910</v>
      </c>
      <c r="G113" s="209">
        <v>24000</v>
      </c>
      <c r="H113" s="209">
        <v>45000</v>
      </c>
      <c r="I113" s="209">
        <v>0</v>
      </c>
      <c r="J113" s="208">
        <v>662976</v>
      </c>
      <c r="K113" s="208">
        <v>45000</v>
      </c>
      <c r="L113" s="209">
        <v>0</v>
      </c>
      <c r="M113" s="209">
        <v>27117</v>
      </c>
      <c r="N113" s="209">
        <v>635859</v>
      </c>
      <c r="O113" s="206"/>
      <c r="P113" s="206"/>
      <c r="Q113" s="206"/>
      <c r="R113" s="185"/>
      <c r="S113" s="185"/>
      <c r="T113" s="185"/>
      <c r="U113" s="185"/>
      <c r="V113" s="185"/>
      <c r="W113" s="185"/>
      <c r="X113" s="185"/>
      <c r="Y113" s="185"/>
      <c r="Z113" s="185"/>
    </row>
    <row r="114" spans="1:26" ht="16" thickBot="1" x14ac:dyDescent="0.25">
      <c r="A114" s="185"/>
      <c r="B114" s="185"/>
      <c r="C114" s="185"/>
      <c r="D114" s="185"/>
      <c r="E114" s="185"/>
      <c r="F114" s="185"/>
      <c r="G114" s="185" t="s">
        <v>204</v>
      </c>
      <c r="H114" s="361">
        <v>100</v>
      </c>
      <c r="I114" s="185"/>
      <c r="J114" s="185"/>
      <c r="K114" s="185"/>
      <c r="L114" s="185"/>
      <c r="M114" s="185"/>
      <c r="N114" s="185"/>
      <c r="O114" s="185"/>
      <c r="P114" s="185"/>
      <c r="Q114" s="185"/>
      <c r="R114" s="185"/>
      <c r="S114" s="185"/>
      <c r="T114" s="185"/>
      <c r="U114" s="185"/>
      <c r="V114" s="185"/>
      <c r="W114" s="185"/>
      <c r="X114" s="185"/>
      <c r="Y114" s="185"/>
      <c r="Z114" s="185"/>
    </row>
    <row r="115" spans="1:26" ht="16" thickBot="1" x14ac:dyDescent="0.25">
      <c r="A115" s="210"/>
      <c r="B115" s="210"/>
      <c r="C115" s="210"/>
      <c r="D115" s="210"/>
      <c r="E115" s="210"/>
      <c r="F115" s="210"/>
      <c r="G115" s="210"/>
      <c r="H115" s="210"/>
      <c r="I115" s="210"/>
      <c r="J115" s="210"/>
      <c r="K115" s="210"/>
      <c r="L115" s="210"/>
      <c r="M115" s="210"/>
      <c r="N115" s="210"/>
      <c r="O115" s="210"/>
      <c r="P115" s="210"/>
      <c r="Q115" s="210"/>
      <c r="R115" s="185"/>
      <c r="S115" s="185"/>
      <c r="T115" s="185"/>
      <c r="U115" s="185"/>
      <c r="V115" s="185"/>
      <c r="W115" s="185"/>
      <c r="X115" s="185"/>
      <c r="Y115" s="185"/>
      <c r="Z115" s="185"/>
    </row>
    <row r="116" spans="1:26" ht="33" thickBot="1" x14ac:dyDescent="0.25">
      <c r="A116" s="211" t="s">
        <v>200</v>
      </c>
      <c r="B116" s="212" t="s">
        <v>191</v>
      </c>
      <c r="C116" s="212" t="s">
        <v>178</v>
      </c>
      <c r="D116" s="212" t="s">
        <v>192</v>
      </c>
      <c r="E116" s="212" t="s">
        <v>193</v>
      </c>
      <c r="F116" s="212" t="s">
        <v>194</v>
      </c>
      <c r="G116" s="212" t="s">
        <v>195</v>
      </c>
      <c r="H116" s="212" t="s">
        <v>196</v>
      </c>
      <c r="I116" s="212" t="s">
        <v>197</v>
      </c>
      <c r="J116" s="212" t="s">
        <v>4</v>
      </c>
      <c r="K116" s="213" t="s">
        <v>198</v>
      </c>
      <c r="L116" s="213" t="s">
        <v>181</v>
      </c>
      <c r="M116" s="213" t="s">
        <v>179</v>
      </c>
      <c r="N116" s="228" t="s">
        <v>199</v>
      </c>
      <c r="O116" s="213" t="s">
        <v>205</v>
      </c>
      <c r="P116" s="213" t="s">
        <v>206</v>
      </c>
      <c r="Q116" s="213" t="s">
        <v>207</v>
      </c>
      <c r="R116" s="185"/>
      <c r="S116" s="185"/>
      <c r="T116" s="185"/>
      <c r="U116" s="185"/>
      <c r="V116" s="185"/>
      <c r="W116" s="185"/>
      <c r="X116" s="185"/>
      <c r="Y116" s="185"/>
      <c r="Z116" s="185"/>
    </row>
    <row r="117" spans="1:26" ht="17" thickBot="1" x14ac:dyDescent="0.25">
      <c r="A117" s="226" t="s">
        <v>223</v>
      </c>
      <c r="B117" s="215">
        <v>18425</v>
      </c>
      <c r="C117" s="215">
        <v>11055</v>
      </c>
      <c r="D117" s="215">
        <v>5258</v>
      </c>
      <c r="E117" s="215">
        <v>0</v>
      </c>
      <c r="F117" s="215">
        <v>13635</v>
      </c>
      <c r="G117" s="215">
        <v>2000</v>
      </c>
      <c r="H117" s="215">
        <v>0</v>
      </c>
      <c r="I117" s="215">
        <v>0</v>
      </c>
      <c r="J117" s="233">
        <v>50373</v>
      </c>
      <c r="K117" s="363">
        <v>3750</v>
      </c>
      <c r="L117" s="363">
        <v>0</v>
      </c>
      <c r="M117" s="363">
        <v>2211</v>
      </c>
      <c r="N117" s="229">
        <v>48162</v>
      </c>
      <c r="O117" s="217">
        <v>52584</v>
      </c>
      <c r="P117" s="363">
        <v>56334</v>
      </c>
      <c r="Q117" s="215">
        <v>676008</v>
      </c>
      <c r="R117" s="185"/>
      <c r="S117" s="185"/>
      <c r="T117" s="185"/>
      <c r="U117" s="185"/>
      <c r="V117" s="185"/>
      <c r="W117" s="185"/>
      <c r="X117" s="185"/>
      <c r="Y117" s="185"/>
      <c r="Z117" s="185"/>
    </row>
    <row r="118" spans="1:26" ht="17" thickBot="1" x14ac:dyDescent="0.25">
      <c r="A118" s="227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20"/>
      <c r="N118" s="220"/>
      <c r="O118" s="220"/>
      <c r="P118" s="366" t="s">
        <v>221</v>
      </c>
      <c r="Q118" s="365">
        <v>19500</v>
      </c>
      <c r="R118" s="185"/>
      <c r="S118" s="185"/>
      <c r="T118" s="185"/>
      <c r="U118" s="185"/>
      <c r="V118" s="185"/>
      <c r="W118" s="185"/>
      <c r="X118" s="185"/>
      <c r="Y118" s="185"/>
      <c r="Z118" s="185"/>
    </row>
    <row r="119" spans="1:26" ht="17" thickBot="1" x14ac:dyDescent="0.25">
      <c r="A119" s="367" t="s">
        <v>222</v>
      </c>
      <c r="B119" s="230">
        <v>221100</v>
      </c>
      <c r="C119" s="230">
        <v>132660</v>
      </c>
      <c r="D119" s="230">
        <v>63096</v>
      </c>
      <c r="E119" s="230">
        <v>0</v>
      </c>
      <c r="F119" s="230">
        <v>163620</v>
      </c>
      <c r="G119" s="230">
        <v>24000</v>
      </c>
      <c r="H119" s="230">
        <v>0</v>
      </c>
      <c r="I119" s="230">
        <v>0</v>
      </c>
      <c r="J119" s="230">
        <v>604476</v>
      </c>
      <c r="K119" s="230">
        <v>45000</v>
      </c>
      <c r="L119" s="230">
        <v>0</v>
      </c>
      <c r="M119" s="230">
        <v>26532</v>
      </c>
      <c r="N119" s="230">
        <v>577944</v>
      </c>
      <c r="O119" s="232">
        <v>631008</v>
      </c>
      <c r="P119" s="368">
        <v>676008</v>
      </c>
      <c r="Q119" s="363">
        <v>695508</v>
      </c>
      <c r="R119" s="185"/>
      <c r="S119" s="185"/>
      <c r="T119" s="185"/>
      <c r="U119" s="185"/>
      <c r="V119" s="185"/>
      <c r="W119" s="185"/>
      <c r="X119" s="185"/>
      <c r="Y119" s="185"/>
      <c r="Z119" s="185"/>
    </row>
    <row r="120" spans="1:26" ht="16" thickBot="1" x14ac:dyDescent="0.25">
      <c r="A120" s="210"/>
      <c r="B120" s="210"/>
      <c r="C120" s="210"/>
      <c r="D120" s="210"/>
      <c r="E120" s="210"/>
      <c r="F120" s="210"/>
      <c r="G120" s="210"/>
      <c r="H120" s="210"/>
      <c r="I120" s="210"/>
      <c r="J120" s="210"/>
      <c r="K120" s="210"/>
      <c r="L120" s="210"/>
      <c r="M120" s="210"/>
      <c r="N120" s="210"/>
      <c r="O120" s="210"/>
      <c r="P120" s="210"/>
      <c r="Q120" s="210"/>
      <c r="R120" s="185"/>
      <c r="S120" s="185"/>
      <c r="T120" s="185"/>
      <c r="U120" s="185"/>
      <c r="V120" s="185"/>
      <c r="W120" s="185"/>
      <c r="X120" s="185"/>
      <c r="Y120" s="185"/>
      <c r="Z120" s="185"/>
    </row>
    <row r="121" spans="1:26" ht="33" thickBot="1" x14ac:dyDescent="0.25">
      <c r="A121" s="211" t="s">
        <v>200</v>
      </c>
      <c r="B121" s="212" t="s">
        <v>191</v>
      </c>
      <c r="C121" s="212" t="s">
        <v>178</v>
      </c>
      <c r="D121" s="212" t="s">
        <v>192</v>
      </c>
      <c r="E121" s="212" t="s">
        <v>193</v>
      </c>
      <c r="F121" s="212" t="s">
        <v>194</v>
      </c>
      <c r="G121" s="212" t="s">
        <v>195</v>
      </c>
      <c r="H121" s="212" t="s">
        <v>196</v>
      </c>
      <c r="I121" s="212" t="s">
        <v>197</v>
      </c>
      <c r="J121" s="212" t="s">
        <v>4</v>
      </c>
      <c r="K121" s="213" t="s">
        <v>198</v>
      </c>
      <c r="L121" s="213" t="s">
        <v>181</v>
      </c>
      <c r="M121" s="213" t="s">
        <v>179</v>
      </c>
      <c r="N121" s="228" t="s">
        <v>199</v>
      </c>
      <c r="O121" s="213" t="s">
        <v>205</v>
      </c>
      <c r="P121" s="213" t="s">
        <v>206</v>
      </c>
      <c r="Q121" s="213" t="s">
        <v>207</v>
      </c>
      <c r="R121" s="185"/>
      <c r="S121" s="185"/>
      <c r="T121" s="185"/>
      <c r="U121" s="185"/>
      <c r="V121" s="185"/>
      <c r="W121" s="185"/>
      <c r="X121" s="185"/>
      <c r="Y121" s="185"/>
      <c r="Z121" s="185"/>
    </row>
    <row r="122" spans="1:26" ht="17" thickBot="1" x14ac:dyDescent="0.25">
      <c r="A122" s="226" t="s">
        <v>228</v>
      </c>
      <c r="B122" s="215">
        <v>19400</v>
      </c>
      <c r="C122" s="215">
        <v>11640</v>
      </c>
      <c r="D122" s="215">
        <v>5540</v>
      </c>
      <c r="E122" s="215">
        <v>0</v>
      </c>
      <c r="F122" s="215">
        <v>14493</v>
      </c>
      <c r="G122" s="215">
        <v>2000</v>
      </c>
      <c r="H122" s="215">
        <v>0</v>
      </c>
      <c r="I122" s="215">
        <v>0</v>
      </c>
      <c r="J122" s="233">
        <v>53073</v>
      </c>
      <c r="K122" s="363">
        <v>3750</v>
      </c>
      <c r="L122" s="363">
        <v>0</v>
      </c>
      <c r="M122" s="363">
        <v>2328</v>
      </c>
      <c r="N122" s="229">
        <v>50745</v>
      </c>
      <c r="O122" s="217">
        <v>55401</v>
      </c>
      <c r="P122" s="363">
        <v>59151</v>
      </c>
      <c r="Q122" s="215">
        <v>709812</v>
      </c>
      <c r="R122" s="225">
        <v>2583</v>
      </c>
      <c r="S122" s="185"/>
      <c r="T122" s="185"/>
      <c r="U122" s="185"/>
      <c r="V122" s="185"/>
      <c r="W122" s="185"/>
      <c r="X122" s="185"/>
      <c r="Y122" s="185"/>
      <c r="Z122" s="185"/>
    </row>
    <row r="123" spans="1:26" ht="17" thickBot="1" x14ac:dyDescent="0.25">
      <c r="A123" s="227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20"/>
      <c r="N123" s="220"/>
      <c r="O123" s="220"/>
      <c r="P123" s="366" t="s">
        <v>221</v>
      </c>
      <c r="Q123" s="365">
        <v>19500</v>
      </c>
      <c r="R123" s="225">
        <v>5.0005325379999999</v>
      </c>
      <c r="S123" s="185"/>
      <c r="T123" s="185"/>
      <c r="U123" s="185"/>
      <c r="V123" s="185"/>
      <c r="W123" s="185"/>
      <c r="X123" s="185"/>
      <c r="Y123" s="185"/>
      <c r="Z123" s="185"/>
    </row>
    <row r="124" spans="1:26" ht="17" thickBot="1" x14ac:dyDescent="0.25">
      <c r="A124" s="367" t="s">
        <v>229</v>
      </c>
      <c r="B124" s="230">
        <v>232800</v>
      </c>
      <c r="C124" s="230">
        <v>139680</v>
      </c>
      <c r="D124" s="230">
        <v>66480</v>
      </c>
      <c r="E124" s="230">
        <v>0</v>
      </c>
      <c r="F124" s="230">
        <v>173916</v>
      </c>
      <c r="G124" s="230">
        <v>24000</v>
      </c>
      <c r="H124" s="230">
        <v>0</v>
      </c>
      <c r="I124" s="230">
        <v>0</v>
      </c>
      <c r="J124" s="230">
        <v>636876</v>
      </c>
      <c r="K124" s="230">
        <v>45000</v>
      </c>
      <c r="L124" s="230">
        <v>0</v>
      </c>
      <c r="M124" s="230">
        <v>27936</v>
      </c>
      <c r="N124" s="230">
        <v>608940</v>
      </c>
      <c r="O124" s="232">
        <v>664812</v>
      </c>
      <c r="P124" s="368">
        <v>709812</v>
      </c>
      <c r="Q124" s="363">
        <v>729312</v>
      </c>
      <c r="R124" s="185"/>
      <c r="S124" s="185"/>
      <c r="T124" s="185"/>
      <c r="U124" s="185"/>
      <c r="V124" s="185"/>
      <c r="W124" s="185"/>
      <c r="X124" s="185"/>
      <c r="Y124" s="185"/>
      <c r="Z124" s="185"/>
    </row>
    <row r="125" spans="1:26" ht="16" thickBot="1" x14ac:dyDescent="0.25">
      <c r="A125" s="185"/>
      <c r="B125" s="185"/>
      <c r="C125" s="185"/>
      <c r="D125" s="185"/>
      <c r="E125" s="185"/>
      <c r="F125" s="185"/>
      <c r="G125" s="185"/>
      <c r="H125" s="185"/>
      <c r="I125" s="185"/>
      <c r="J125" s="185"/>
      <c r="K125" s="185"/>
      <c r="L125" s="185"/>
      <c r="M125" s="185"/>
      <c r="N125" s="185"/>
      <c r="O125" s="185"/>
      <c r="P125" s="185"/>
      <c r="Q125" s="185"/>
      <c r="R125" s="185"/>
      <c r="S125" s="185"/>
      <c r="T125" s="185"/>
      <c r="U125" s="185"/>
      <c r="V125" s="185"/>
      <c r="W125" s="185"/>
      <c r="X125" s="185"/>
      <c r="Y125" s="185"/>
      <c r="Z125" s="185"/>
    </row>
    <row r="126" spans="1:26" ht="16" thickBot="1" x14ac:dyDescent="0.25">
      <c r="A126" s="185"/>
      <c r="B126" s="185"/>
      <c r="C126" s="185"/>
      <c r="D126" s="185"/>
      <c r="E126" s="185"/>
      <c r="F126" s="185"/>
      <c r="G126" s="185"/>
      <c r="H126" s="185"/>
      <c r="I126" s="185"/>
      <c r="J126" s="185"/>
      <c r="K126" s="185"/>
      <c r="L126" s="185"/>
      <c r="M126" s="185"/>
      <c r="N126" s="185"/>
      <c r="O126" s="185"/>
      <c r="P126" s="185"/>
      <c r="Q126" s="185"/>
      <c r="R126" s="185"/>
      <c r="S126" s="185"/>
      <c r="T126" s="185"/>
      <c r="U126" s="185"/>
      <c r="V126" s="185"/>
      <c r="W126" s="185"/>
      <c r="X126" s="185"/>
      <c r="Y126" s="185"/>
      <c r="Z126" s="185"/>
    </row>
    <row r="127" spans="1:26" ht="16" thickBot="1" x14ac:dyDescent="0.25">
      <c r="A127" s="234"/>
      <c r="B127" s="234"/>
      <c r="C127" s="234"/>
      <c r="D127" s="234"/>
      <c r="E127" s="234"/>
      <c r="F127" s="234"/>
      <c r="G127" s="234"/>
      <c r="H127" s="234"/>
      <c r="I127" s="234"/>
      <c r="J127" s="234"/>
      <c r="K127" s="234"/>
      <c r="L127" s="234"/>
      <c r="M127" s="234"/>
      <c r="N127" s="234"/>
      <c r="O127" s="234"/>
      <c r="P127" s="234"/>
      <c r="Q127" s="234"/>
      <c r="R127" s="234"/>
      <c r="S127" s="234"/>
      <c r="T127" s="234"/>
      <c r="U127" s="234"/>
      <c r="V127" s="234"/>
      <c r="W127" s="234"/>
      <c r="X127" s="234"/>
      <c r="Y127" s="234"/>
      <c r="Z127" s="234"/>
    </row>
    <row r="128" spans="1:26" ht="16" thickBot="1" x14ac:dyDescent="0.25">
      <c r="A128" s="185"/>
      <c r="B128" s="185"/>
      <c r="C128" s="185"/>
      <c r="D128" s="185"/>
      <c r="E128" s="185"/>
      <c r="F128" s="185"/>
      <c r="G128" s="185"/>
      <c r="H128" s="185"/>
      <c r="I128" s="185"/>
      <c r="J128" s="185"/>
      <c r="K128" s="185"/>
      <c r="L128" s="185"/>
      <c r="M128" s="185"/>
      <c r="N128" s="185"/>
      <c r="O128" s="185"/>
      <c r="P128" s="185"/>
      <c r="Q128" s="185"/>
      <c r="R128" s="185"/>
      <c r="S128" s="185"/>
      <c r="T128" s="185"/>
      <c r="U128" s="185"/>
      <c r="V128" s="185"/>
      <c r="W128" s="185"/>
      <c r="X128" s="185"/>
      <c r="Y128" s="185"/>
      <c r="Z128" s="185"/>
    </row>
    <row r="129" spans="1:26" ht="16" thickBot="1" x14ac:dyDescent="0.25">
      <c r="A129" s="490" t="s">
        <v>230</v>
      </c>
      <c r="B129" s="491"/>
      <c r="C129" s="491"/>
      <c r="D129" s="491"/>
      <c r="E129" s="491"/>
      <c r="F129" s="491"/>
      <c r="G129" s="491"/>
      <c r="H129" s="491"/>
      <c r="I129" s="491"/>
      <c r="J129" s="491"/>
      <c r="K129" s="491"/>
      <c r="L129" s="491"/>
      <c r="M129" s="491"/>
      <c r="N129" s="491"/>
      <c r="O129" s="491"/>
      <c r="P129" s="491"/>
      <c r="Q129" s="492"/>
      <c r="R129" s="185"/>
      <c r="S129" s="185"/>
      <c r="T129" s="185"/>
      <c r="U129" s="185"/>
      <c r="V129" s="185"/>
      <c r="W129" s="185"/>
      <c r="X129" s="185"/>
      <c r="Y129" s="185"/>
      <c r="Z129" s="185"/>
    </row>
    <row r="130" spans="1:26" ht="33" thickBot="1" x14ac:dyDescent="0.25">
      <c r="A130" s="196" t="s">
        <v>190</v>
      </c>
      <c r="B130" s="196" t="s">
        <v>191</v>
      </c>
      <c r="C130" s="196" t="s">
        <v>178</v>
      </c>
      <c r="D130" s="196" t="s">
        <v>192</v>
      </c>
      <c r="E130" s="196" t="s">
        <v>193</v>
      </c>
      <c r="F130" s="196" t="s">
        <v>194</v>
      </c>
      <c r="G130" s="196" t="s">
        <v>195</v>
      </c>
      <c r="H130" s="196" t="s">
        <v>196</v>
      </c>
      <c r="I130" s="196" t="s">
        <v>197</v>
      </c>
      <c r="J130" s="197" t="s">
        <v>4</v>
      </c>
      <c r="K130" s="196" t="s">
        <v>198</v>
      </c>
      <c r="L130" s="196" t="s">
        <v>181</v>
      </c>
      <c r="M130" s="196" t="s">
        <v>179</v>
      </c>
      <c r="N130" s="196" t="s">
        <v>199</v>
      </c>
      <c r="O130" s="196" t="s">
        <v>200</v>
      </c>
      <c r="P130" s="196" t="s">
        <v>201</v>
      </c>
      <c r="Q130" s="196" t="s">
        <v>202</v>
      </c>
      <c r="R130" s="185"/>
      <c r="S130" s="185"/>
      <c r="T130" s="185"/>
      <c r="U130" s="185"/>
      <c r="V130" s="185"/>
      <c r="W130" s="185"/>
      <c r="X130" s="185"/>
      <c r="Y130" s="185"/>
      <c r="Z130" s="185"/>
    </row>
    <row r="131" spans="1:26" ht="17" thickBot="1" x14ac:dyDescent="0.25">
      <c r="A131" s="198" t="s">
        <v>38</v>
      </c>
      <c r="B131" s="199">
        <v>19400</v>
      </c>
      <c r="C131" s="199">
        <v>11640</v>
      </c>
      <c r="D131" s="199">
        <v>5540</v>
      </c>
      <c r="E131" s="199">
        <v>0</v>
      </c>
      <c r="F131" s="199">
        <v>14493</v>
      </c>
      <c r="G131" s="199">
        <v>2000</v>
      </c>
      <c r="H131" s="199">
        <v>0</v>
      </c>
      <c r="I131" s="199">
        <v>0</v>
      </c>
      <c r="J131" s="199">
        <v>53073</v>
      </c>
      <c r="K131" s="199">
        <v>3750</v>
      </c>
      <c r="L131" s="199">
        <v>0</v>
      </c>
      <c r="M131" s="199">
        <v>2328</v>
      </c>
      <c r="N131" s="200">
        <v>50745</v>
      </c>
      <c r="O131" s="201"/>
      <c r="P131" s="201"/>
      <c r="Q131" s="201"/>
      <c r="R131" s="185"/>
      <c r="S131" s="185"/>
      <c r="T131" s="185"/>
      <c r="U131" s="185"/>
      <c r="V131" s="185"/>
      <c r="W131" s="185"/>
      <c r="X131" s="185"/>
      <c r="Y131" s="185"/>
      <c r="Z131" s="185"/>
    </row>
    <row r="132" spans="1:26" ht="17" thickBot="1" x14ac:dyDescent="0.25">
      <c r="A132" s="202" t="s">
        <v>39</v>
      </c>
      <c r="B132" s="199">
        <v>19400</v>
      </c>
      <c r="C132" s="199">
        <v>11640</v>
      </c>
      <c r="D132" s="199">
        <v>5540</v>
      </c>
      <c r="E132" s="199">
        <v>0</v>
      </c>
      <c r="F132" s="199">
        <v>14493</v>
      </c>
      <c r="G132" s="199">
        <v>2000</v>
      </c>
      <c r="H132" s="199">
        <v>0</v>
      </c>
      <c r="I132" s="199">
        <v>0</v>
      </c>
      <c r="J132" s="199">
        <v>53073</v>
      </c>
      <c r="K132" s="199">
        <v>3750</v>
      </c>
      <c r="L132" s="199">
        <v>0</v>
      </c>
      <c r="M132" s="199">
        <v>2328</v>
      </c>
      <c r="N132" s="200">
        <v>50745</v>
      </c>
      <c r="O132" s="185"/>
      <c r="P132" s="185"/>
      <c r="Q132" s="185"/>
      <c r="R132" s="185"/>
      <c r="S132" s="185"/>
      <c r="T132" s="185"/>
      <c r="U132" s="185"/>
      <c r="V132" s="185"/>
      <c r="W132" s="185"/>
      <c r="X132" s="185"/>
      <c r="Y132" s="185"/>
      <c r="Z132" s="185"/>
    </row>
    <row r="133" spans="1:26" ht="17" thickBot="1" x14ac:dyDescent="0.25">
      <c r="A133" s="198" t="s">
        <v>40</v>
      </c>
      <c r="B133" s="201"/>
      <c r="C133" s="201"/>
      <c r="D133" s="201"/>
      <c r="E133" s="201"/>
      <c r="F133" s="201"/>
      <c r="G133" s="201"/>
      <c r="H133" s="199">
        <v>0</v>
      </c>
      <c r="I133" s="199">
        <v>0</v>
      </c>
      <c r="J133" s="199">
        <v>0</v>
      </c>
      <c r="K133" s="201"/>
      <c r="L133" s="201"/>
      <c r="M133" s="201"/>
      <c r="N133" s="200">
        <v>0</v>
      </c>
      <c r="O133" s="201"/>
      <c r="P133" s="201"/>
      <c r="Q133" s="201"/>
      <c r="R133" s="185"/>
      <c r="S133" s="185"/>
      <c r="T133" s="185"/>
      <c r="U133" s="185"/>
      <c r="V133" s="185"/>
      <c r="W133" s="185"/>
      <c r="X133" s="185"/>
      <c r="Y133" s="185"/>
      <c r="Z133" s="185"/>
    </row>
    <row r="134" spans="1:26" ht="17" thickBot="1" x14ac:dyDescent="0.25">
      <c r="A134" s="202" t="s">
        <v>41</v>
      </c>
      <c r="B134" s="201"/>
      <c r="C134" s="201"/>
      <c r="D134" s="201"/>
      <c r="E134" s="201"/>
      <c r="F134" s="201"/>
      <c r="G134" s="201"/>
      <c r="H134" s="199">
        <v>0</v>
      </c>
      <c r="I134" s="199">
        <v>0</v>
      </c>
      <c r="J134" s="199">
        <v>0</v>
      </c>
      <c r="K134" s="201"/>
      <c r="L134" s="201"/>
      <c r="M134" s="201"/>
      <c r="N134" s="200">
        <v>0</v>
      </c>
      <c r="O134" s="185"/>
      <c r="P134" s="185"/>
      <c r="Q134" s="185"/>
      <c r="R134" s="185"/>
      <c r="S134" s="185"/>
      <c r="T134" s="185"/>
      <c r="U134" s="185"/>
      <c r="V134" s="185"/>
      <c r="W134" s="185"/>
      <c r="X134" s="185"/>
      <c r="Y134" s="185"/>
      <c r="Z134" s="185"/>
    </row>
    <row r="135" spans="1:26" ht="17" thickBot="1" x14ac:dyDescent="0.25">
      <c r="A135" s="198" t="s">
        <v>43</v>
      </c>
      <c r="B135" s="201"/>
      <c r="C135" s="201"/>
      <c r="D135" s="201"/>
      <c r="E135" s="201"/>
      <c r="F135" s="201"/>
      <c r="G135" s="201"/>
      <c r="H135" s="199">
        <v>0</v>
      </c>
      <c r="I135" s="199">
        <v>0</v>
      </c>
      <c r="J135" s="199">
        <v>0</v>
      </c>
      <c r="K135" s="201"/>
      <c r="L135" s="201"/>
      <c r="M135" s="201"/>
      <c r="N135" s="200">
        <v>0</v>
      </c>
      <c r="O135" s="201"/>
      <c r="P135" s="201"/>
      <c r="Q135" s="201"/>
      <c r="R135" s="185"/>
      <c r="S135" s="185"/>
      <c r="T135" s="185"/>
      <c r="U135" s="185"/>
      <c r="V135" s="185"/>
      <c r="W135" s="185"/>
      <c r="X135" s="185"/>
      <c r="Y135" s="185"/>
      <c r="Z135" s="185"/>
    </row>
    <row r="136" spans="1:26" ht="17" thickBot="1" x14ac:dyDescent="0.25">
      <c r="A136" s="202" t="s">
        <v>44</v>
      </c>
      <c r="B136" s="201"/>
      <c r="C136" s="201"/>
      <c r="D136" s="201"/>
      <c r="E136" s="201"/>
      <c r="F136" s="201"/>
      <c r="G136" s="201"/>
      <c r="H136" s="199">
        <v>0</v>
      </c>
      <c r="I136" s="199">
        <v>0</v>
      </c>
      <c r="J136" s="199">
        <v>0</v>
      </c>
      <c r="K136" s="201"/>
      <c r="L136" s="201"/>
      <c r="M136" s="201"/>
      <c r="N136" s="200">
        <v>0</v>
      </c>
      <c r="O136" s="185"/>
      <c r="P136" s="185"/>
      <c r="Q136" s="185"/>
      <c r="R136" s="185"/>
      <c r="S136" s="185"/>
      <c r="T136" s="185"/>
      <c r="U136" s="185"/>
      <c r="V136" s="185"/>
      <c r="W136" s="185"/>
      <c r="X136" s="185"/>
      <c r="Y136" s="185"/>
      <c r="Z136" s="185"/>
    </row>
    <row r="137" spans="1:26" ht="17" thickBot="1" x14ac:dyDescent="0.25">
      <c r="A137" s="198" t="s">
        <v>45</v>
      </c>
      <c r="B137" s="201"/>
      <c r="C137" s="201"/>
      <c r="D137" s="201"/>
      <c r="E137" s="201"/>
      <c r="F137" s="201"/>
      <c r="G137" s="201"/>
      <c r="H137" s="199">
        <v>0</v>
      </c>
      <c r="I137" s="199">
        <v>0</v>
      </c>
      <c r="J137" s="199">
        <v>0</v>
      </c>
      <c r="K137" s="201"/>
      <c r="L137" s="201"/>
      <c r="M137" s="201"/>
      <c r="N137" s="200">
        <v>0</v>
      </c>
      <c r="O137" s="201"/>
      <c r="P137" s="201"/>
      <c r="Q137" s="201"/>
      <c r="R137" s="185"/>
      <c r="S137" s="185"/>
      <c r="T137" s="185"/>
      <c r="U137" s="185"/>
      <c r="V137" s="185"/>
      <c r="W137" s="185"/>
      <c r="X137" s="185"/>
      <c r="Y137" s="185"/>
      <c r="Z137" s="185"/>
    </row>
    <row r="138" spans="1:26" ht="17" thickBot="1" x14ac:dyDescent="0.25">
      <c r="A138" s="202" t="s">
        <v>46</v>
      </c>
      <c r="B138" s="201"/>
      <c r="C138" s="201"/>
      <c r="D138" s="201"/>
      <c r="E138" s="201"/>
      <c r="F138" s="201"/>
      <c r="G138" s="201"/>
      <c r="H138" s="199">
        <v>0</v>
      </c>
      <c r="I138" s="199">
        <v>0</v>
      </c>
      <c r="J138" s="199">
        <v>0</v>
      </c>
      <c r="K138" s="201"/>
      <c r="L138" s="201"/>
      <c r="M138" s="201"/>
      <c r="N138" s="200">
        <v>0</v>
      </c>
      <c r="O138" s="185"/>
      <c r="P138" s="185"/>
      <c r="Q138" s="185"/>
      <c r="R138" s="185"/>
      <c r="S138" s="185"/>
      <c r="T138" s="185"/>
      <c r="U138" s="185"/>
      <c r="V138" s="185"/>
      <c r="W138" s="185"/>
      <c r="X138" s="185"/>
      <c r="Y138" s="185"/>
      <c r="Z138" s="185"/>
    </row>
    <row r="139" spans="1:26" ht="17" thickBot="1" x14ac:dyDescent="0.25">
      <c r="A139" s="198" t="s">
        <v>47</v>
      </c>
      <c r="B139" s="201"/>
      <c r="C139" s="201"/>
      <c r="D139" s="201"/>
      <c r="E139" s="201"/>
      <c r="F139" s="201"/>
      <c r="G139" s="201"/>
      <c r="H139" s="199">
        <v>0</v>
      </c>
      <c r="I139" s="199">
        <v>0</v>
      </c>
      <c r="J139" s="199">
        <v>0</v>
      </c>
      <c r="K139" s="201"/>
      <c r="L139" s="201"/>
      <c r="M139" s="201"/>
      <c r="N139" s="200">
        <v>0</v>
      </c>
      <c r="O139" s="201"/>
      <c r="P139" s="201"/>
      <c r="Q139" s="201"/>
      <c r="R139" s="185"/>
      <c r="S139" s="185"/>
      <c r="T139" s="185"/>
      <c r="U139" s="185"/>
      <c r="V139" s="185"/>
      <c r="W139" s="185"/>
      <c r="X139" s="185"/>
      <c r="Y139" s="185"/>
      <c r="Z139" s="185"/>
    </row>
    <row r="140" spans="1:26" ht="17" thickBot="1" x14ac:dyDescent="0.25">
      <c r="A140" s="202" t="s">
        <v>34</v>
      </c>
      <c r="B140" s="201"/>
      <c r="C140" s="201"/>
      <c r="D140" s="201"/>
      <c r="E140" s="201"/>
      <c r="F140" s="201"/>
      <c r="G140" s="201"/>
      <c r="H140" s="199">
        <v>0</v>
      </c>
      <c r="I140" s="199">
        <v>0</v>
      </c>
      <c r="J140" s="199">
        <v>0</v>
      </c>
      <c r="K140" s="201"/>
      <c r="L140" s="201"/>
      <c r="M140" s="201"/>
      <c r="N140" s="200">
        <v>0</v>
      </c>
      <c r="O140" s="185"/>
      <c r="P140" s="185"/>
      <c r="Q140" s="185"/>
      <c r="R140" s="185"/>
      <c r="S140" s="185"/>
      <c r="T140" s="185"/>
      <c r="U140" s="185"/>
      <c r="V140" s="185"/>
      <c r="W140" s="185"/>
      <c r="X140" s="185"/>
      <c r="Y140" s="185"/>
      <c r="Z140" s="185"/>
    </row>
    <row r="141" spans="1:26" ht="17" thickBot="1" x14ac:dyDescent="0.25">
      <c r="A141" s="198" t="s">
        <v>36</v>
      </c>
      <c r="B141" s="201"/>
      <c r="C141" s="201"/>
      <c r="D141" s="201"/>
      <c r="E141" s="201"/>
      <c r="F141" s="201"/>
      <c r="G141" s="201"/>
      <c r="H141" s="199">
        <v>0</v>
      </c>
      <c r="I141" s="199">
        <v>0</v>
      </c>
      <c r="J141" s="199">
        <v>0</v>
      </c>
      <c r="K141" s="201"/>
      <c r="L141" s="201"/>
      <c r="M141" s="201"/>
      <c r="N141" s="200">
        <v>0</v>
      </c>
      <c r="O141" s="201"/>
      <c r="P141" s="201"/>
      <c r="Q141" s="201"/>
      <c r="R141" s="185"/>
      <c r="S141" s="185"/>
      <c r="T141" s="185"/>
      <c r="U141" s="185"/>
      <c r="V141" s="185"/>
      <c r="W141" s="185"/>
      <c r="X141" s="185"/>
      <c r="Y141" s="185"/>
      <c r="Z141" s="185"/>
    </row>
    <row r="142" spans="1:26" ht="17" thickBot="1" x14ac:dyDescent="0.25">
      <c r="A142" s="202" t="s">
        <v>37</v>
      </c>
      <c r="B142" s="201"/>
      <c r="C142" s="201"/>
      <c r="D142" s="201"/>
      <c r="E142" s="201"/>
      <c r="F142" s="201"/>
      <c r="G142" s="201"/>
      <c r="H142" s="199">
        <v>0</v>
      </c>
      <c r="I142" s="199">
        <v>0</v>
      </c>
      <c r="J142" s="199">
        <v>0</v>
      </c>
      <c r="K142" s="201"/>
      <c r="L142" s="201"/>
      <c r="M142" s="201"/>
      <c r="N142" s="200">
        <v>0</v>
      </c>
      <c r="O142" s="185"/>
      <c r="P142" s="185"/>
      <c r="Q142" s="185"/>
      <c r="R142" s="185"/>
      <c r="S142" s="185"/>
      <c r="T142" s="185"/>
      <c r="U142" s="185"/>
      <c r="V142" s="185"/>
      <c r="W142" s="185"/>
      <c r="X142" s="185"/>
      <c r="Y142" s="185"/>
      <c r="Z142" s="185"/>
    </row>
    <row r="143" spans="1:26" ht="17" thickBot="1" x14ac:dyDescent="0.25">
      <c r="A143" s="205" t="s">
        <v>231</v>
      </c>
      <c r="B143" s="209">
        <v>38800</v>
      </c>
      <c r="C143" s="209">
        <v>23280</v>
      </c>
      <c r="D143" s="209">
        <v>11080</v>
      </c>
      <c r="E143" s="209">
        <v>0</v>
      </c>
      <c r="F143" s="209">
        <v>28986</v>
      </c>
      <c r="G143" s="209">
        <v>4000</v>
      </c>
      <c r="H143" s="209">
        <v>0</v>
      </c>
      <c r="I143" s="209">
        <v>0</v>
      </c>
      <c r="J143" s="208">
        <v>106146</v>
      </c>
      <c r="K143" s="208">
        <v>7500</v>
      </c>
      <c r="L143" s="209">
        <v>0</v>
      </c>
      <c r="M143" s="209">
        <v>4656</v>
      </c>
      <c r="N143" s="209">
        <v>101490</v>
      </c>
      <c r="O143" s="206"/>
      <c r="P143" s="206"/>
      <c r="Q143" s="206"/>
      <c r="R143" s="185"/>
      <c r="S143" s="185"/>
      <c r="T143" s="185"/>
      <c r="U143" s="185"/>
      <c r="V143" s="185"/>
      <c r="W143" s="185"/>
      <c r="X143" s="185"/>
      <c r="Y143" s="185"/>
      <c r="Z143" s="185"/>
    </row>
    <row r="144" spans="1:26" ht="16" thickBot="1" x14ac:dyDescent="0.25">
      <c r="A144" s="185"/>
      <c r="B144" s="185"/>
      <c r="C144" s="185"/>
      <c r="D144" s="185"/>
      <c r="E144" s="185"/>
      <c r="F144" s="185"/>
      <c r="G144" s="185" t="s">
        <v>204</v>
      </c>
      <c r="H144" s="361">
        <v>0</v>
      </c>
      <c r="I144" s="185"/>
      <c r="J144" s="185"/>
      <c r="K144" s="185"/>
      <c r="L144" s="185"/>
      <c r="M144" s="185"/>
      <c r="N144" s="185"/>
      <c r="O144" s="185"/>
      <c r="P144" s="185"/>
      <c r="Q144" s="185"/>
      <c r="R144" s="185"/>
      <c r="S144" s="185"/>
      <c r="T144" s="185"/>
      <c r="U144" s="185"/>
      <c r="V144" s="185"/>
      <c r="W144" s="185"/>
      <c r="X144" s="185"/>
      <c r="Y144" s="185"/>
      <c r="Z144" s="185"/>
    </row>
    <row r="145" spans="1:26" ht="16" thickBot="1" x14ac:dyDescent="0.25">
      <c r="A145" s="185"/>
      <c r="B145" s="185"/>
      <c r="C145" s="185"/>
      <c r="D145" s="185"/>
      <c r="E145" s="185"/>
      <c r="F145" s="185"/>
      <c r="G145" s="185"/>
      <c r="H145" s="185"/>
      <c r="I145" s="185"/>
      <c r="J145" s="185"/>
      <c r="K145" s="185"/>
      <c r="L145" s="185"/>
      <c r="M145" s="185"/>
      <c r="N145" s="185"/>
      <c r="O145" s="185"/>
      <c r="P145" s="185"/>
      <c r="Q145" s="185"/>
      <c r="R145" s="185"/>
      <c r="S145" s="185"/>
      <c r="T145" s="185"/>
      <c r="U145" s="185"/>
      <c r="V145" s="185"/>
      <c r="W145" s="185"/>
      <c r="X145" s="185"/>
      <c r="Y145" s="185"/>
      <c r="Z145" s="185"/>
    </row>
    <row r="146" spans="1:26" ht="16" thickBot="1" x14ac:dyDescent="0.25">
      <c r="A146" s="185"/>
      <c r="B146" s="185"/>
      <c r="C146" s="185"/>
      <c r="D146" s="185"/>
      <c r="E146" s="185"/>
      <c r="F146" s="185"/>
      <c r="G146" s="185"/>
      <c r="H146" s="185"/>
      <c r="I146" s="185"/>
      <c r="J146" s="185"/>
      <c r="K146" s="185"/>
      <c r="L146" s="185"/>
      <c r="M146" s="185"/>
      <c r="N146" s="185"/>
      <c r="O146" s="185"/>
      <c r="P146" s="185"/>
      <c r="Q146" s="185"/>
      <c r="R146" s="185"/>
      <c r="S146" s="185"/>
      <c r="T146" s="185"/>
      <c r="U146" s="185"/>
      <c r="V146" s="185"/>
      <c r="W146" s="185"/>
      <c r="X146" s="185"/>
      <c r="Y146" s="185"/>
      <c r="Z146" s="185"/>
    </row>
    <row r="147" spans="1:26" ht="16" thickBot="1" x14ac:dyDescent="0.25">
      <c r="A147" s="185"/>
      <c r="B147" s="185"/>
      <c r="C147" s="185"/>
      <c r="D147" s="185"/>
      <c r="E147" s="185"/>
      <c r="F147" s="185"/>
      <c r="G147" s="185"/>
      <c r="H147" s="185"/>
      <c r="I147" s="185"/>
      <c r="J147" s="185"/>
      <c r="K147" s="185"/>
      <c r="L147" s="185"/>
      <c r="M147" s="185"/>
      <c r="N147" s="185"/>
      <c r="O147" s="185"/>
      <c r="P147" s="185"/>
      <c r="Q147" s="185"/>
      <c r="R147" s="185"/>
      <c r="S147" s="185"/>
      <c r="T147" s="185"/>
      <c r="U147" s="185"/>
      <c r="V147" s="185"/>
      <c r="W147" s="185"/>
      <c r="X147" s="185"/>
      <c r="Y147" s="185"/>
      <c r="Z147" s="185"/>
    </row>
    <row r="148" spans="1:26" ht="16" thickBot="1" x14ac:dyDescent="0.25">
      <c r="A148" s="185"/>
      <c r="B148" s="185"/>
      <c r="C148" s="185"/>
      <c r="D148" s="185"/>
      <c r="E148" s="185"/>
      <c r="F148" s="185"/>
      <c r="G148" s="185"/>
      <c r="H148" s="185"/>
      <c r="I148" s="185"/>
      <c r="J148" s="185"/>
      <c r="K148" s="185"/>
      <c r="L148" s="185"/>
      <c r="M148" s="185"/>
      <c r="N148" s="185"/>
      <c r="O148" s="185"/>
      <c r="P148" s="185"/>
      <c r="Q148" s="185"/>
      <c r="R148" s="185"/>
      <c r="S148" s="185"/>
      <c r="T148" s="185"/>
      <c r="U148" s="185"/>
      <c r="V148" s="185"/>
      <c r="W148" s="185"/>
      <c r="X148" s="185"/>
      <c r="Y148" s="185"/>
      <c r="Z148" s="185"/>
    </row>
    <row r="149" spans="1:26" ht="16" thickBot="1" x14ac:dyDescent="0.25">
      <c r="A149" s="185"/>
      <c r="B149" s="185"/>
      <c r="C149" s="185"/>
      <c r="D149" s="185"/>
      <c r="E149" s="185"/>
      <c r="F149" s="185"/>
      <c r="G149" s="185"/>
      <c r="H149" s="185"/>
      <c r="I149" s="185"/>
      <c r="J149" s="185"/>
      <c r="K149" s="185"/>
      <c r="L149" s="185"/>
      <c r="M149" s="185"/>
      <c r="N149" s="185"/>
      <c r="O149" s="185"/>
      <c r="P149" s="185"/>
      <c r="Q149" s="185"/>
      <c r="R149" s="185"/>
      <c r="S149" s="185"/>
      <c r="T149" s="185"/>
      <c r="U149" s="185"/>
      <c r="V149" s="185"/>
      <c r="W149" s="185"/>
      <c r="X149" s="185"/>
      <c r="Y149" s="185"/>
      <c r="Z149" s="185"/>
    </row>
    <row r="150" spans="1:26" ht="16" thickBot="1" x14ac:dyDescent="0.25">
      <c r="A150" s="185"/>
      <c r="B150" s="185"/>
      <c r="C150" s="185"/>
      <c r="D150" s="185"/>
      <c r="E150" s="185"/>
      <c r="F150" s="185"/>
      <c r="G150" s="185"/>
      <c r="H150" s="185"/>
      <c r="I150" s="185"/>
      <c r="J150" s="185"/>
      <c r="K150" s="185"/>
      <c r="L150" s="185"/>
      <c r="M150" s="185"/>
      <c r="N150" s="185"/>
      <c r="O150" s="185"/>
      <c r="P150" s="185"/>
      <c r="Q150" s="185"/>
      <c r="R150" s="185"/>
      <c r="S150" s="185"/>
      <c r="T150" s="185"/>
      <c r="U150" s="185"/>
      <c r="V150" s="185"/>
      <c r="W150" s="185"/>
      <c r="X150" s="185"/>
      <c r="Y150" s="185"/>
      <c r="Z150" s="185"/>
    </row>
    <row r="151" spans="1:26" ht="16" thickBot="1" x14ac:dyDescent="0.25">
      <c r="A151" s="185"/>
      <c r="B151" s="185"/>
      <c r="C151" s="185"/>
      <c r="D151" s="185"/>
      <c r="E151" s="185"/>
      <c r="F151" s="185"/>
      <c r="G151" s="185"/>
      <c r="H151" s="185"/>
      <c r="I151" s="185"/>
      <c r="J151" s="185"/>
      <c r="K151" s="185"/>
      <c r="L151" s="185"/>
      <c r="M151" s="185"/>
      <c r="N151" s="185"/>
      <c r="O151" s="185"/>
      <c r="P151" s="185"/>
      <c r="Q151" s="185"/>
      <c r="R151" s="185"/>
      <c r="S151" s="185"/>
      <c r="T151" s="185"/>
      <c r="U151" s="185"/>
      <c r="V151" s="185"/>
      <c r="W151" s="185"/>
      <c r="X151" s="185"/>
      <c r="Y151" s="185"/>
      <c r="Z151" s="185"/>
    </row>
    <row r="152" spans="1:26" ht="16" thickBot="1" x14ac:dyDescent="0.25">
      <c r="A152" s="185"/>
      <c r="B152" s="185"/>
      <c r="C152" s="185"/>
      <c r="D152" s="185"/>
      <c r="E152" s="185"/>
      <c r="F152" s="185"/>
      <c r="G152" s="185"/>
      <c r="H152" s="185"/>
      <c r="I152" s="185"/>
      <c r="J152" s="185"/>
      <c r="K152" s="185"/>
      <c r="L152" s="185"/>
      <c r="M152" s="185"/>
      <c r="N152" s="185"/>
      <c r="O152" s="185"/>
      <c r="P152" s="185"/>
      <c r="Q152" s="185"/>
      <c r="R152" s="185"/>
      <c r="S152" s="185"/>
      <c r="T152" s="185"/>
      <c r="U152" s="185"/>
      <c r="V152" s="185"/>
      <c r="W152" s="185"/>
      <c r="X152" s="185"/>
      <c r="Y152" s="185"/>
      <c r="Z152" s="185"/>
    </row>
    <row r="153" spans="1:26" ht="16" thickBot="1" x14ac:dyDescent="0.25">
      <c r="A153" s="185"/>
      <c r="B153" s="185"/>
      <c r="C153" s="185"/>
      <c r="D153" s="185"/>
      <c r="E153" s="185"/>
      <c r="F153" s="185"/>
      <c r="G153" s="185"/>
      <c r="H153" s="185"/>
      <c r="I153" s="185"/>
      <c r="J153" s="185"/>
      <c r="K153" s="185"/>
      <c r="L153" s="185"/>
      <c r="M153" s="185"/>
      <c r="N153" s="185"/>
      <c r="O153" s="185"/>
      <c r="P153" s="185"/>
      <c r="Q153" s="185"/>
      <c r="R153" s="185"/>
      <c r="S153" s="185"/>
      <c r="T153" s="185"/>
      <c r="U153" s="185"/>
      <c r="V153" s="185"/>
      <c r="W153" s="185"/>
      <c r="X153" s="185"/>
      <c r="Y153" s="185"/>
      <c r="Z153" s="185"/>
    </row>
    <row r="154" spans="1:26" ht="16" thickBot="1" x14ac:dyDescent="0.25">
      <c r="A154" s="185"/>
      <c r="B154" s="185"/>
      <c r="C154" s="185"/>
      <c r="D154" s="185"/>
      <c r="E154" s="185"/>
      <c r="F154" s="185"/>
      <c r="G154" s="185"/>
      <c r="H154" s="185"/>
      <c r="I154" s="185"/>
      <c r="J154" s="185"/>
      <c r="K154" s="185"/>
      <c r="L154" s="185"/>
      <c r="M154" s="185"/>
      <c r="N154" s="185"/>
      <c r="O154" s="185"/>
      <c r="P154" s="185"/>
      <c r="Q154" s="185"/>
      <c r="R154" s="185"/>
      <c r="S154" s="185"/>
      <c r="T154" s="185"/>
      <c r="U154" s="185"/>
      <c r="V154" s="185"/>
      <c r="W154" s="185"/>
      <c r="X154" s="185"/>
      <c r="Y154" s="185"/>
      <c r="Z154" s="185"/>
    </row>
    <row r="155" spans="1:26" ht="16" thickBot="1" x14ac:dyDescent="0.25">
      <c r="A155" s="185"/>
      <c r="B155" s="185"/>
      <c r="C155" s="185"/>
      <c r="D155" s="185"/>
      <c r="E155" s="185"/>
      <c r="F155" s="185"/>
      <c r="G155" s="185"/>
      <c r="H155" s="185"/>
      <c r="I155" s="185"/>
      <c r="J155" s="185"/>
      <c r="K155" s="185"/>
      <c r="L155" s="185"/>
      <c r="M155" s="185"/>
      <c r="N155" s="185"/>
      <c r="O155" s="185"/>
      <c r="P155" s="185"/>
      <c r="Q155" s="185"/>
      <c r="R155" s="185"/>
      <c r="S155" s="185"/>
      <c r="T155" s="185"/>
      <c r="U155" s="185"/>
      <c r="V155" s="185"/>
      <c r="W155" s="185"/>
      <c r="X155" s="185"/>
      <c r="Y155" s="185"/>
      <c r="Z155" s="185"/>
    </row>
    <row r="156" spans="1:26" ht="16" thickBot="1" x14ac:dyDescent="0.25">
      <c r="A156" s="185"/>
      <c r="B156" s="185"/>
      <c r="C156" s="185"/>
      <c r="D156" s="185"/>
      <c r="E156" s="185"/>
      <c r="F156" s="185"/>
      <c r="G156" s="185"/>
      <c r="H156" s="185"/>
      <c r="I156" s="185"/>
      <c r="J156" s="185"/>
      <c r="K156" s="185"/>
      <c r="L156" s="185"/>
      <c r="M156" s="185"/>
      <c r="N156" s="185"/>
      <c r="O156" s="185"/>
      <c r="P156" s="185"/>
      <c r="Q156" s="185"/>
      <c r="R156" s="185"/>
      <c r="S156" s="185"/>
      <c r="T156" s="185"/>
      <c r="U156" s="185"/>
      <c r="V156" s="185"/>
      <c r="W156" s="185"/>
      <c r="X156" s="185"/>
      <c r="Y156" s="185"/>
      <c r="Z156" s="185"/>
    </row>
    <row r="157" spans="1:26" ht="16" thickBot="1" x14ac:dyDescent="0.25">
      <c r="A157" s="185"/>
      <c r="B157" s="185"/>
      <c r="C157" s="185"/>
      <c r="D157" s="185"/>
      <c r="E157" s="185"/>
      <c r="F157" s="185"/>
      <c r="G157" s="185"/>
      <c r="H157" s="185"/>
      <c r="I157" s="185"/>
      <c r="J157" s="185"/>
      <c r="K157" s="185"/>
      <c r="L157" s="185"/>
      <c r="M157" s="185"/>
      <c r="N157" s="185"/>
      <c r="O157" s="185"/>
      <c r="P157" s="185"/>
      <c r="Q157" s="185"/>
      <c r="R157" s="185"/>
      <c r="S157" s="185"/>
      <c r="T157" s="185"/>
      <c r="U157" s="185"/>
      <c r="V157" s="185"/>
      <c r="W157" s="185"/>
      <c r="X157" s="185"/>
      <c r="Y157" s="185"/>
      <c r="Z157" s="185"/>
    </row>
    <row r="158" spans="1:26" ht="16" thickBot="1" x14ac:dyDescent="0.25">
      <c r="A158" s="185"/>
      <c r="B158" s="185"/>
      <c r="C158" s="185"/>
      <c r="D158" s="185"/>
      <c r="E158" s="185"/>
      <c r="F158" s="185"/>
      <c r="G158" s="185"/>
      <c r="H158" s="185"/>
      <c r="I158" s="185"/>
      <c r="J158" s="185"/>
      <c r="K158" s="185"/>
      <c r="L158" s="185"/>
      <c r="M158" s="185"/>
      <c r="N158" s="185"/>
      <c r="O158" s="185"/>
      <c r="P158" s="185"/>
      <c r="Q158" s="185"/>
      <c r="R158" s="185"/>
      <c r="S158" s="185"/>
      <c r="T158" s="185"/>
      <c r="U158" s="185"/>
      <c r="V158" s="185"/>
      <c r="W158" s="185"/>
      <c r="X158" s="185"/>
      <c r="Y158" s="185"/>
      <c r="Z158" s="185"/>
    </row>
    <row r="159" spans="1:26" ht="16" thickBot="1" x14ac:dyDescent="0.25">
      <c r="A159" s="185"/>
      <c r="B159" s="185"/>
      <c r="C159" s="185"/>
      <c r="D159" s="185"/>
      <c r="E159" s="185"/>
      <c r="F159" s="185"/>
      <c r="G159" s="185"/>
      <c r="H159" s="185"/>
      <c r="I159" s="185"/>
      <c r="J159" s="185"/>
      <c r="K159" s="185"/>
      <c r="L159" s="185"/>
      <c r="M159" s="185"/>
      <c r="N159" s="185"/>
      <c r="O159" s="185"/>
      <c r="P159" s="185"/>
      <c r="Q159" s="185"/>
      <c r="R159" s="185"/>
      <c r="S159" s="185"/>
      <c r="T159" s="185"/>
      <c r="U159" s="185"/>
      <c r="V159" s="185"/>
      <c r="W159" s="185"/>
      <c r="X159" s="185"/>
      <c r="Y159" s="185"/>
      <c r="Z159" s="185"/>
    </row>
    <row r="160" spans="1:26" ht="16" thickBot="1" x14ac:dyDescent="0.25">
      <c r="A160" s="185"/>
      <c r="B160" s="185"/>
      <c r="C160" s="185"/>
      <c r="D160" s="185"/>
      <c r="E160" s="185"/>
      <c r="F160" s="185"/>
      <c r="G160" s="185"/>
      <c r="H160" s="185"/>
      <c r="I160" s="185"/>
      <c r="J160" s="185"/>
      <c r="K160" s="185"/>
      <c r="L160" s="185"/>
      <c r="M160" s="185"/>
      <c r="N160" s="185"/>
      <c r="O160" s="185"/>
      <c r="P160" s="185"/>
      <c r="Q160" s="185"/>
      <c r="R160" s="185"/>
      <c r="S160" s="185"/>
      <c r="T160" s="185"/>
      <c r="U160" s="185"/>
      <c r="V160" s="185"/>
      <c r="W160" s="185"/>
      <c r="X160" s="185"/>
      <c r="Y160" s="185"/>
      <c r="Z160" s="185"/>
    </row>
    <row r="161" spans="1:26" ht="16" thickBot="1" x14ac:dyDescent="0.25">
      <c r="A161" s="185"/>
      <c r="B161" s="185"/>
      <c r="C161" s="185"/>
      <c r="D161" s="185"/>
      <c r="E161" s="185"/>
      <c r="F161" s="185"/>
      <c r="G161" s="185"/>
      <c r="H161" s="185"/>
      <c r="I161" s="185"/>
      <c r="J161" s="185"/>
      <c r="K161" s="185"/>
      <c r="L161" s="185"/>
      <c r="M161" s="185"/>
      <c r="N161" s="185"/>
      <c r="O161" s="185"/>
      <c r="P161" s="185"/>
      <c r="Q161" s="185"/>
      <c r="R161" s="185"/>
      <c r="S161" s="185"/>
      <c r="T161" s="185"/>
      <c r="U161" s="185"/>
      <c r="V161" s="185"/>
      <c r="W161" s="185"/>
      <c r="X161" s="185"/>
      <c r="Y161" s="185"/>
      <c r="Z161" s="185"/>
    </row>
    <row r="162" spans="1:26" ht="16" thickBot="1" x14ac:dyDescent="0.25">
      <c r="A162" s="185"/>
      <c r="B162" s="185"/>
      <c r="C162" s="185"/>
      <c r="D162" s="185"/>
      <c r="E162" s="185"/>
      <c r="F162" s="185"/>
      <c r="G162" s="185"/>
      <c r="H162" s="185"/>
      <c r="I162" s="185"/>
      <c r="J162" s="185"/>
      <c r="K162" s="185"/>
      <c r="L162" s="185"/>
      <c r="M162" s="185"/>
      <c r="N162" s="185"/>
      <c r="O162" s="185"/>
      <c r="P162" s="185"/>
      <c r="Q162" s="185"/>
      <c r="R162" s="185"/>
      <c r="S162" s="185"/>
      <c r="T162" s="185"/>
      <c r="U162" s="185"/>
      <c r="V162" s="185"/>
      <c r="W162" s="185"/>
      <c r="X162" s="185"/>
      <c r="Y162" s="185"/>
      <c r="Z162" s="185"/>
    </row>
    <row r="163" spans="1:26" ht="16" thickBot="1" x14ac:dyDescent="0.25">
      <c r="A163" s="185"/>
      <c r="B163" s="185"/>
      <c r="C163" s="185"/>
      <c r="D163" s="185"/>
      <c r="E163" s="185"/>
      <c r="F163" s="185"/>
      <c r="G163" s="185"/>
      <c r="H163" s="185"/>
      <c r="I163" s="185"/>
      <c r="J163" s="185"/>
      <c r="K163" s="185"/>
      <c r="L163" s="185"/>
      <c r="M163" s="185"/>
      <c r="N163" s="185"/>
      <c r="O163" s="185"/>
      <c r="P163" s="185"/>
      <c r="Q163" s="185"/>
      <c r="R163" s="185"/>
      <c r="S163" s="185"/>
      <c r="T163" s="185"/>
      <c r="U163" s="185"/>
      <c r="V163" s="185"/>
      <c r="W163" s="185"/>
      <c r="X163" s="185"/>
      <c r="Y163" s="185"/>
      <c r="Z163" s="185"/>
    </row>
    <row r="164" spans="1:26" ht="16" thickBot="1" x14ac:dyDescent="0.25">
      <c r="A164" s="185"/>
      <c r="B164" s="185"/>
      <c r="C164" s="185"/>
      <c r="D164" s="185"/>
      <c r="E164" s="185"/>
      <c r="F164" s="185"/>
      <c r="G164" s="185"/>
      <c r="H164" s="185"/>
      <c r="I164" s="185"/>
      <c r="J164" s="185"/>
      <c r="K164" s="185"/>
      <c r="L164" s="185"/>
      <c r="M164" s="185"/>
      <c r="N164" s="185"/>
      <c r="O164" s="185"/>
      <c r="P164" s="185"/>
      <c r="Q164" s="185"/>
      <c r="R164" s="185"/>
      <c r="S164" s="185"/>
      <c r="T164" s="185"/>
      <c r="U164" s="185"/>
      <c r="V164" s="185"/>
      <c r="W164" s="185"/>
      <c r="X164" s="185"/>
      <c r="Y164" s="185"/>
      <c r="Z164" s="185"/>
    </row>
    <row r="165" spans="1:26" ht="16" thickBot="1" x14ac:dyDescent="0.25">
      <c r="A165" s="185"/>
      <c r="B165" s="185"/>
      <c r="C165" s="185"/>
      <c r="D165" s="185"/>
      <c r="E165" s="185"/>
      <c r="F165" s="185"/>
      <c r="G165" s="185"/>
      <c r="H165" s="185"/>
      <c r="I165" s="185"/>
      <c r="J165" s="185"/>
      <c r="K165" s="185"/>
      <c r="L165" s="185"/>
      <c r="M165" s="185"/>
      <c r="N165" s="185"/>
      <c r="O165" s="185"/>
      <c r="P165" s="185"/>
      <c r="Q165" s="185"/>
      <c r="R165" s="185"/>
      <c r="S165" s="185"/>
      <c r="T165" s="185"/>
      <c r="U165" s="185"/>
      <c r="V165" s="185"/>
      <c r="W165" s="185"/>
      <c r="X165" s="185"/>
      <c r="Y165" s="185"/>
      <c r="Z165" s="185"/>
    </row>
    <row r="166" spans="1:26" ht="16" thickBot="1" x14ac:dyDescent="0.25">
      <c r="A166" s="185"/>
      <c r="B166" s="185"/>
      <c r="C166" s="185"/>
      <c r="D166" s="185"/>
      <c r="E166" s="185"/>
      <c r="F166" s="185"/>
      <c r="G166" s="185"/>
      <c r="H166" s="185"/>
      <c r="I166" s="185"/>
      <c r="J166" s="185"/>
      <c r="K166" s="185"/>
      <c r="L166" s="185"/>
      <c r="M166" s="185"/>
      <c r="N166" s="185"/>
      <c r="O166" s="185"/>
      <c r="P166" s="185"/>
      <c r="Q166" s="185"/>
      <c r="R166" s="185"/>
      <c r="S166" s="185"/>
      <c r="T166" s="185"/>
      <c r="U166" s="185"/>
      <c r="V166" s="185"/>
      <c r="W166" s="185"/>
      <c r="X166" s="185"/>
      <c r="Y166" s="185"/>
      <c r="Z166" s="185"/>
    </row>
    <row r="167" spans="1:26" ht="16" thickBot="1" x14ac:dyDescent="0.25">
      <c r="A167" s="185"/>
      <c r="B167" s="185"/>
      <c r="C167" s="185"/>
      <c r="D167" s="185"/>
      <c r="E167" s="185"/>
      <c r="F167" s="185"/>
      <c r="G167" s="185"/>
      <c r="H167" s="185"/>
      <c r="I167" s="185"/>
      <c r="J167" s="185"/>
      <c r="K167" s="185"/>
      <c r="L167" s="185"/>
      <c r="M167" s="185"/>
      <c r="N167" s="185"/>
      <c r="O167" s="185"/>
      <c r="P167" s="185"/>
      <c r="Q167" s="185"/>
      <c r="R167" s="185"/>
      <c r="S167" s="185"/>
      <c r="T167" s="185"/>
      <c r="U167" s="185"/>
      <c r="V167" s="185"/>
      <c r="W167" s="185"/>
      <c r="X167" s="185"/>
      <c r="Y167" s="185"/>
      <c r="Z167" s="185"/>
    </row>
    <row r="168" spans="1:26" ht="16" thickBot="1" x14ac:dyDescent="0.25">
      <c r="A168" s="185"/>
      <c r="B168" s="185"/>
      <c r="C168" s="185"/>
      <c r="D168" s="185"/>
      <c r="E168" s="185"/>
      <c r="F168" s="185"/>
      <c r="G168" s="185"/>
      <c r="H168" s="185"/>
      <c r="I168" s="185"/>
      <c r="J168" s="185"/>
      <c r="K168" s="185"/>
      <c r="L168" s="185"/>
      <c r="M168" s="185"/>
      <c r="N168" s="185"/>
      <c r="O168" s="185"/>
      <c r="P168" s="185"/>
      <c r="Q168" s="185"/>
      <c r="R168" s="185"/>
      <c r="S168" s="185"/>
      <c r="T168" s="185"/>
      <c r="U168" s="185"/>
      <c r="V168" s="185"/>
      <c r="W168" s="185"/>
      <c r="X168" s="185"/>
      <c r="Y168" s="185"/>
      <c r="Z168" s="185"/>
    </row>
    <row r="169" spans="1:26" ht="16" thickBot="1" x14ac:dyDescent="0.25">
      <c r="A169" s="185"/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5"/>
      <c r="O169" s="185"/>
      <c r="P169" s="185"/>
      <c r="Q169" s="185"/>
      <c r="R169" s="185"/>
      <c r="S169" s="185"/>
      <c r="T169" s="185"/>
      <c r="U169" s="185"/>
      <c r="V169" s="185"/>
      <c r="W169" s="185"/>
      <c r="X169" s="185"/>
      <c r="Y169" s="185"/>
      <c r="Z169" s="185"/>
    </row>
    <row r="170" spans="1:26" ht="16" thickBot="1" x14ac:dyDescent="0.25">
      <c r="A170" s="185"/>
      <c r="B170" s="185"/>
      <c r="C170" s="185"/>
      <c r="D170" s="185"/>
      <c r="E170" s="185"/>
      <c r="F170" s="185"/>
      <c r="G170" s="185"/>
      <c r="H170" s="185"/>
      <c r="I170" s="185"/>
      <c r="J170" s="185"/>
      <c r="K170" s="185"/>
      <c r="L170" s="185"/>
      <c r="M170" s="185"/>
      <c r="N170" s="185"/>
      <c r="O170" s="185"/>
      <c r="P170" s="185"/>
      <c r="Q170" s="185"/>
      <c r="R170" s="185"/>
      <c r="S170" s="185"/>
      <c r="T170" s="185"/>
      <c r="U170" s="185"/>
      <c r="V170" s="185"/>
      <c r="W170" s="185"/>
      <c r="X170" s="185"/>
      <c r="Y170" s="185"/>
      <c r="Z170" s="185"/>
    </row>
    <row r="171" spans="1:26" ht="16" thickBot="1" x14ac:dyDescent="0.25">
      <c r="A171" s="185"/>
      <c r="B171" s="185"/>
      <c r="C171" s="185"/>
      <c r="D171" s="185"/>
      <c r="E171" s="185"/>
      <c r="F171" s="185"/>
      <c r="G171" s="185"/>
      <c r="H171" s="185"/>
      <c r="I171" s="185"/>
      <c r="J171" s="185"/>
      <c r="K171" s="185"/>
      <c r="L171" s="185"/>
      <c r="M171" s="185"/>
      <c r="N171" s="185"/>
      <c r="O171" s="185"/>
      <c r="P171" s="185"/>
      <c r="Q171" s="185"/>
      <c r="R171" s="185"/>
      <c r="S171" s="185"/>
      <c r="T171" s="185"/>
      <c r="U171" s="185"/>
      <c r="V171" s="185"/>
      <c r="W171" s="185"/>
      <c r="X171" s="185"/>
      <c r="Y171" s="185"/>
      <c r="Z171" s="185"/>
    </row>
    <row r="172" spans="1:26" ht="16" thickBot="1" x14ac:dyDescent="0.25">
      <c r="A172" s="185"/>
      <c r="B172" s="185"/>
      <c r="C172" s="185"/>
      <c r="D172" s="185"/>
      <c r="E172" s="185"/>
      <c r="F172" s="185"/>
      <c r="G172" s="185"/>
      <c r="H172" s="185"/>
      <c r="I172" s="185"/>
      <c r="J172" s="185"/>
      <c r="K172" s="185"/>
      <c r="L172" s="185"/>
      <c r="M172" s="185"/>
      <c r="N172" s="185"/>
      <c r="O172" s="185"/>
      <c r="P172" s="185"/>
      <c r="Q172" s="185"/>
      <c r="R172" s="185"/>
      <c r="S172" s="185"/>
      <c r="T172" s="185"/>
      <c r="U172" s="185"/>
      <c r="V172" s="185"/>
      <c r="W172" s="185"/>
      <c r="X172" s="185"/>
      <c r="Y172" s="185"/>
      <c r="Z172" s="185"/>
    </row>
    <row r="173" spans="1:26" ht="16" thickBot="1" x14ac:dyDescent="0.25">
      <c r="A173" s="185"/>
      <c r="B173" s="185"/>
      <c r="C173" s="185"/>
      <c r="D173" s="185"/>
      <c r="E173" s="185"/>
      <c r="F173" s="185"/>
      <c r="G173" s="185"/>
      <c r="H173" s="185"/>
      <c r="I173" s="185"/>
      <c r="J173" s="185"/>
      <c r="K173" s="185"/>
      <c r="L173" s="185"/>
      <c r="M173" s="185"/>
      <c r="N173" s="185"/>
      <c r="O173" s="185"/>
      <c r="P173" s="185"/>
      <c r="Q173" s="185"/>
      <c r="R173" s="185"/>
      <c r="S173" s="185"/>
      <c r="T173" s="185"/>
      <c r="U173" s="185"/>
      <c r="V173" s="185"/>
      <c r="W173" s="185"/>
      <c r="X173" s="185"/>
      <c r="Y173" s="185"/>
      <c r="Z173" s="185"/>
    </row>
    <row r="174" spans="1:26" ht="16" thickBot="1" x14ac:dyDescent="0.25">
      <c r="A174" s="185"/>
      <c r="B174" s="185"/>
      <c r="C174" s="185"/>
      <c r="D174" s="185"/>
      <c r="E174" s="185"/>
      <c r="F174" s="185"/>
      <c r="G174" s="185"/>
      <c r="H174" s="185"/>
      <c r="I174" s="185"/>
      <c r="J174" s="185"/>
      <c r="K174" s="185"/>
      <c r="L174" s="185"/>
      <c r="M174" s="185"/>
      <c r="N174" s="185"/>
      <c r="O174" s="185"/>
      <c r="P174" s="185"/>
      <c r="Q174" s="185"/>
      <c r="R174" s="185"/>
      <c r="S174" s="185"/>
      <c r="T174" s="185"/>
      <c r="U174" s="185"/>
      <c r="V174" s="185"/>
      <c r="W174" s="185"/>
      <c r="X174" s="185"/>
      <c r="Y174" s="185"/>
      <c r="Z174" s="185"/>
    </row>
    <row r="175" spans="1:26" ht="16" thickBot="1" x14ac:dyDescent="0.25">
      <c r="A175" s="185"/>
      <c r="B175" s="185"/>
      <c r="C175" s="185"/>
      <c r="D175" s="185"/>
      <c r="E175" s="185"/>
      <c r="F175" s="185"/>
      <c r="G175" s="185"/>
      <c r="H175" s="185"/>
      <c r="I175" s="185"/>
      <c r="J175" s="185"/>
      <c r="K175" s="185"/>
      <c r="L175" s="185"/>
      <c r="M175" s="185"/>
      <c r="N175" s="185"/>
      <c r="O175" s="185"/>
      <c r="P175" s="185"/>
      <c r="Q175" s="185"/>
      <c r="R175" s="185"/>
      <c r="S175" s="185"/>
      <c r="T175" s="185"/>
      <c r="U175" s="185"/>
      <c r="V175" s="185"/>
      <c r="W175" s="185"/>
      <c r="X175" s="185"/>
      <c r="Y175" s="185"/>
      <c r="Z175" s="185"/>
    </row>
    <row r="176" spans="1:26" ht="16" thickBot="1" x14ac:dyDescent="0.25">
      <c r="A176" s="185"/>
      <c r="B176" s="185"/>
      <c r="C176" s="185"/>
      <c r="D176" s="185"/>
      <c r="E176" s="185"/>
      <c r="F176" s="185"/>
      <c r="G176" s="185"/>
      <c r="H176" s="185"/>
      <c r="I176" s="185"/>
      <c r="J176" s="185"/>
      <c r="K176" s="185"/>
      <c r="L176" s="185"/>
      <c r="M176" s="185"/>
      <c r="N176" s="185"/>
      <c r="O176" s="185"/>
      <c r="P176" s="185"/>
      <c r="Q176" s="185"/>
      <c r="R176" s="185"/>
      <c r="S176" s="185"/>
      <c r="T176" s="185"/>
      <c r="U176" s="185"/>
      <c r="V176" s="185"/>
      <c r="W176" s="185"/>
      <c r="X176" s="185"/>
      <c r="Y176" s="185"/>
      <c r="Z176" s="185"/>
    </row>
    <row r="177" spans="1:26" ht="16" thickBot="1" x14ac:dyDescent="0.25">
      <c r="A177" s="185"/>
      <c r="B177" s="185"/>
      <c r="C177" s="185"/>
      <c r="D177" s="185"/>
      <c r="E177" s="185"/>
      <c r="F177" s="185"/>
      <c r="G177" s="185"/>
      <c r="H177" s="185"/>
      <c r="I177" s="185"/>
      <c r="J177" s="185"/>
      <c r="K177" s="185"/>
      <c r="L177" s="185"/>
      <c r="M177" s="185"/>
      <c r="N177" s="185"/>
      <c r="O177" s="185"/>
      <c r="P177" s="185"/>
      <c r="Q177" s="185"/>
      <c r="R177" s="185"/>
      <c r="S177" s="185"/>
      <c r="T177" s="185"/>
      <c r="U177" s="185"/>
      <c r="V177" s="185"/>
      <c r="W177" s="185"/>
      <c r="X177" s="185"/>
      <c r="Y177" s="185"/>
      <c r="Z177" s="185"/>
    </row>
    <row r="178" spans="1:26" ht="16" thickBot="1" x14ac:dyDescent="0.25">
      <c r="A178" s="185"/>
      <c r="B178" s="185"/>
      <c r="C178" s="185"/>
      <c r="D178" s="185"/>
      <c r="E178" s="185"/>
      <c r="F178" s="185"/>
      <c r="G178" s="185"/>
      <c r="H178" s="185"/>
      <c r="I178" s="185"/>
      <c r="J178" s="185"/>
      <c r="K178" s="185"/>
      <c r="L178" s="185"/>
      <c r="M178" s="185"/>
      <c r="N178" s="185"/>
      <c r="O178" s="185"/>
      <c r="P178" s="185"/>
      <c r="Q178" s="185"/>
      <c r="R178" s="185"/>
      <c r="S178" s="185"/>
      <c r="T178" s="185"/>
      <c r="U178" s="185"/>
      <c r="V178" s="185"/>
      <c r="W178" s="185"/>
      <c r="X178" s="185"/>
      <c r="Y178" s="185"/>
      <c r="Z178" s="185"/>
    </row>
    <row r="179" spans="1:26" ht="16" thickBot="1" x14ac:dyDescent="0.25">
      <c r="A179" s="185"/>
      <c r="B179" s="185"/>
      <c r="C179" s="185"/>
      <c r="D179" s="185"/>
      <c r="E179" s="185"/>
      <c r="F179" s="185"/>
      <c r="G179" s="185"/>
      <c r="H179" s="185"/>
      <c r="I179" s="185"/>
      <c r="J179" s="185"/>
      <c r="K179" s="185"/>
      <c r="L179" s="185"/>
      <c r="M179" s="185"/>
      <c r="N179" s="185"/>
      <c r="O179" s="185"/>
      <c r="P179" s="185"/>
      <c r="Q179" s="185"/>
      <c r="R179" s="185"/>
      <c r="S179" s="185"/>
      <c r="T179" s="185"/>
      <c r="U179" s="185"/>
      <c r="V179" s="185"/>
      <c r="W179" s="185"/>
      <c r="X179" s="185"/>
      <c r="Y179" s="185"/>
      <c r="Z179" s="185"/>
    </row>
    <row r="180" spans="1:26" ht="16" thickBot="1" x14ac:dyDescent="0.25">
      <c r="A180" s="185"/>
      <c r="B180" s="185"/>
      <c r="C180" s="185"/>
      <c r="D180" s="185"/>
      <c r="E180" s="185"/>
      <c r="F180" s="185"/>
      <c r="G180" s="185"/>
      <c r="H180" s="185"/>
      <c r="I180" s="185"/>
      <c r="J180" s="185"/>
      <c r="K180" s="185"/>
      <c r="L180" s="185"/>
      <c r="M180" s="185"/>
      <c r="N180" s="185"/>
      <c r="O180" s="185"/>
      <c r="P180" s="185"/>
      <c r="Q180" s="185"/>
      <c r="R180" s="185"/>
      <c r="S180" s="185"/>
      <c r="T180" s="185"/>
      <c r="U180" s="185"/>
      <c r="V180" s="185"/>
      <c r="W180" s="185"/>
      <c r="X180" s="185"/>
      <c r="Y180" s="185"/>
      <c r="Z180" s="185"/>
    </row>
    <row r="181" spans="1:26" ht="16" thickBot="1" x14ac:dyDescent="0.25">
      <c r="A181" s="185"/>
      <c r="B181" s="185"/>
      <c r="C181" s="185"/>
      <c r="D181" s="185"/>
      <c r="E181" s="185"/>
      <c r="F181" s="185"/>
      <c r="G181" s="185"/>
      <c r="H181" s="185"/>
      <c r="I181" s="185"/>
      <c r="J181" s="185"/>
      <c r="K181" s="185"/>
      <c r="L181" s="185"/>
      <c r="M181" s="185"/>
      <c r="N181" s="185"/>
      <c r="O181" s="185"/>
      <c r="P181" s="185"/>
      <c r="Q181" s="185"/>
      <c r="R181" s="185"/>
      <c r="S181" s="185"/>
      <c r="T181" s="185"/>
      <c r="U181" s="185"/>
      <c r="V181" s="185"/>
      <c r="W181" s="185"/>
      <c r="X181" s="185"/>
      <c r="Y181" s="185"/>
      <c r="Z181" s="185"/>
    </row>
    <row r="182" spans="1:26" ht="16" thickBot="1" x14ac:dyDescent="0.25">
      <c r="A182" s="185"/>
      <c r="B182" s="185"/>
      <c r="C182" s="185"/>
      <c r="D182" s="185"/>
      <c r="E182" s="185"/>
      <c r="F182" s="185"/>
      <c r="G182" s="185"/>
      <c r="H182" s="185"/>
      <c r="I182" s="185"/>
      <c r="J182" s="185"/>
      <c r="K182" s="185"/>
      <c r="L182" s="185"/>
      <c r="M182" s="185"/>
      <c r="N182" s="185"/>
      <c r="O182" s="185"/>
      <c r="P182" s="185"/>
      <c r="Q182" s="185"/>
      <c r="R182" s="185"/>
      <c r="S182" s="185"/>
      <c r="T182" s="185"/>
      <c r="U182" s="185"/>
      <c r="V182" s="185"/>
      <c r="W182" s="185"/>
      <c r="X182" s="185"/>
      <c r="Y182" s="185"/>
      <c r="Z182" s="185"/>
    </row>
    <row r="183" spans="1:26" ht="16" thickBot="1" x14ac:dyDescent="0.25">
      <c r="A183" s="185"/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5"/>
      <c r="O183" s="185"/>
      <c r="P183" s="185"/>
      <c r="Q183" s="185"/>
      <c r="R183" s="185"/>
      <c r="S183" s="185"/>
      <c r="T183" s="185"/>
      <c r="U183" s="185"/>
      <c r="V183" s="185"/>
      <c r="W183" s="185"/>
      <c r="X183" s="185"/>
      <c r="Y183" s="185"/>
      <c r="Z183" s="185"/>
    </row>
    <row r="184" spans="1:26" ht="16" thickBot="1" x14ac:dyDescent="0.25">
      <c r="A184" s="185"/>
      <c r="B184" s="185"/>
      <c r="C184" s="185"/>
      <c r="D184" s="185"/>
      <c r="E184" s="185"/>
      <c r="F184" s="185"/>
      <c r="G184" s="185"/>
      <c r="H184" s="185"/>
      <c r="I184" s="185"/>
      <c r="J184" s="185"/>
      <c r="K184" s="185"/>
      <c r="L184" s="185"/>
      <c r="M184" s="185"/>
      <c r="N184" s="185"/>
      <c r="O184" s="185"/>
      <c r="P184" s="185"/>
      <c r="Q184" s="185"/>
      <c r="R184" s="185"/>
      <c r="S184" s="185"/>
      <c r="T184" s="185"/>
      <c r="U184" s="185"/>
      <c r="V184" s="185"/>
      <c r="W184" s="185"/>
      <c r="X184" s="185"/>
      <c r="Y184" s="185"/>
      <c r="Z184" s="185"/>
    </row>
    <row r="185" spans="1:26" ht="16" thickBot="1" x14ac:dyDescent="0.25">
      <c r="A185" s="185"/>
      <c r="B185" s="185"/>
      <c r="C185" s="185"/>
      <c r="D185" s="185"/>
      <c r="E185" s="185"/>
      <c r="F185" s="185"/>
      <c r="G185" s="185"/>
      <c r="H185" s="185"/>
      <c r="I185" s="185"/>
      <c r="J185" s="185"/>
      <c r="K185" s="185"/>
      <c r="L185" s="185"/>
      <c r="M185" s="185"/>
      <c r="N185" s="185"/>
      <c r="O185" s="185"/>
      <c r="P185" s="185"/>
      <c r="Q185" s="185"/>
      <c r="R185" s="185"/>
      <c r="S185" s="185"/>
      <c r="T185" s="185"/>
      <c r="U185" s="185"/>
      <c r="V185" s="185"/>
      <c r="W185" s="185"/>
      <c r="X185" s="185"/>
      <c r="Y185" s="185"/>
      <c r="Z185" s="185"/>
    </row>
    <row r="186" spans="1:26" ht="16" thickBot="1" x14ac:dyDescent="0.25">
      <c r="A186" s="185"/>
      <c r="B186" s="185"/>
      <c r="C186" s="185"/>
      <c r="D186" s="185"/>
      <c r="E186" s="185"/>
      <c r="F186" s="185"/>
      <c r="G186" s="185"/>
      <c r="H186" s="185"/>
      <c r="I186" s="185"/>
      <c r="J186" s="185"/>
      <c r="K186" s="185"/>
      <c r="L186" s="185"/>
      <c r="M186" s="185"/>
      <c r="N186" s="185"/>
      <c r="O186" s="185"/>
      <c r="P186" s="185"/>
      <c r="Q186" s="185"/>
      <c r="R186" s="185"/>
      <c r="S186" s="185"/>
      <c r="T186" s="185"/>
      <c r="U186" s="185"/>
      <c r="V186" s="185"/>
      <c r="W186" s="185"/>
      <c r="X186" s="185"/>
      <c r="Y186" s="185"/>
      <c r="Z186" s="185"/>
    </row>
    <row r="187" spans="1:26" ht="16" thickBot="1" x14ac:dyDescent="0.25">
      <c r="A187" s="185"/>
      <c r="B187" s="185"/>
      <c r="C187" s="185"/>
      <c r="D187" s="185"/>
      <c r="E187" s="185"/>
      <c r="F187" s="185"/>
      <c r="G187" s="185"/>
      <c r="H187" s="185"/>
      <c r="I187" s="185"/>
      <c r="J187" s="185"/>
      <c r="K187" s="185"/>
      <c r="L187" s="185"/>
      <c r="M187" s="185"/>
      <c r="N187" s="185"/>
      <c r="O187" s="185"/>
      <c r="P187" s="185"/>
      <c r="Q187" s="185"/>
      <c r="R187" s="185"/>
      <c r="S187" s="185"/>
      <c r="T187" s="185"/>
      <c r="U187" s="185"/>
      <c r="V187" s="185"/>
      <c r="W187" s="185"/>
      <c r="X187" s="185"/>
      <c r="Y187" s="185"/>
      <c r="Z187" s="185"/>
    </row>
    <row r="188" spans="1:26" ht="16" thickBot="1" x14ac:dyDescent="0.25">
      <c r="A188" s="185"/>
      <c r="B188" s="185"/>
      <c r="C188" s="185"/>
      <c r="D188" s="185"/>
      <c r="E188" s="185"/>
      <c r="F188" s="185"/>
      <c r="G188" s="185"/>
      <c r="H188" s="185"/>
      <c r="I188" s="185"/>
      <c r="J188" s="185"/>
      <c r="K188" s="185"/>
      <c r="L188" s="185"/>
      <c r="M188" s="185"/>
      <c r="N188" s="185"/>
      <c r="O188" s="185"/>
      <c r="P188" s="185"/>
      <c r="Q188" s="185"/>
      <c r="R188" s="185"/>
      <c r="S188" s="185"/>
      <c r="T188" s="185"/>
      <c r="U188" s="185"/>
      <c r="V188" s="185"/>
      <c r="W188" s="185"/>
      <c r="X188" s="185"/>
      <c r="Y188" s="185"/>
      <c r="Z188" s="185"/>
    </row>
    <row r="189" spans="1:26" ht="16" thickBot="1" x14ac:dyDescent="0.25">
      <c r="A189" s="185"/>
      <c r="B189" s="185"/>
      <c r="C189" s="185"/>
      <c r="D189" s="185"/>
      <c r="E189" s="185"/>
      <c r="F189" s="185"/>
      <c r="G189" s="185"/>
      <c r="H189" s="185"/>
      <c r="I189" s="185"/>
      <c r="J189" s="185"/>
      <c r="K189" s="185"/>
      <c r="L189" s="185"/>
      <c r="M189" s="185"/>
      <c r="N189" s="185"/>
      <c r="O189" s="185"/>
      <c r="P189" s="185"/>
      <c r="Q189" s="185"/>
      <c r="R189" s="185"/>
      <c r="S189" s="185"/>
      <c r="T189" s="185"/>
      <c r="U189" s="185"/>
      <c r="V189" s="185"/>
      <c r="W189" s="185"/>
      <c r="X189" s="185"/>
      <c r="Y189" s="185"/>
      <c r="Z189" s="185"/>
    </row>
    <row r="190" spans="1:26" ht="16" thickBot="1" x14ac:dyDescent="0.25">
      <c r="A190" s="185"/>
      <c r="B190" s="185"/>
      <c r="C190" s="185"/>
      <c r="D190" s="185"/>
      <c r="E190" s="185"/>
      <c r="F190" s="185"/>
      <c r="G190" s="185"/>
      <c r="H190" s="185"/>
      <c r="I190" s="185"/>
      <c r="J190" s="185"/>
      <c r="K190" s="185"/>
      <c r="L190" s="185"/>
      <c r="M190" s="185"/>
      <c r="N190" s="185"/>
      <c r="O190" s="185"/>
      <c r="P190" s="185"/>
      <c r="Q190" s="185"/>
      <c r="R190" s="185"/>
      <c r="S190" s="185"/>
      <c r="T190" s="185"/>
      <c r="U190" s="185"/>
      <c r="V190" s="185"/>
      <c r="W190" s="185"/>
      <c r="X190" s="185"/>
      <c r="Y190" s="185"/>
      <c r="Z190" s="185"/>
    </row>
    <row r="191" spans="1:26" ht="16" thickBot="1" x14ac:dyDescent="0.25">
      <c r="A191" s="185"/>
      <c r="B191" s="185"/>
      <c r="C191" s="185"/>
      <c r="D191" s="185"/>
      <c r="E191" s="185"/>
      <c r="F191" s="185"/>
      <c r="G191" s="185"/>
      <c r="H191" s="185"/>
      <c r="I191" s="185"/>
      <c r="J191" s="185"/>
      <c r="K191" s="185"/>
      <c r="L191" s="185"/>
      <c r="M191" s="185"/>
      <c r="N191" s="185"/>
      <c r="O191" s="185"/>
      <c r="P191" s="185"/>
      <c r="Q191" s="185"/>
      <c r="R191" s="185"/>
      <c r="S191" s="185"/>
      <c r="T191" s="185"/>
      <c r="U191" s="185"/>
      <c r="V191" s="185"/>
      <c r="W191" s="185"/>
      <c r="X191" s="185"/>
      <c r="Y191" s="185"/>
      <c r="Z191" s="185"/>
    </row>
    <row r="192" spans="1:26" ht="16" thickBot="1" x14ac:dyDescent="0.25">
      <c r="A192" s="185"/>
      <c r="B192" s="185"/>
      <c r="C192" s="185"/>
      <c r="D192" s="185"/>
      <c r="E192" s="185"/>
      <c r="F192" s="185"/>
      <c r="G192" s="185"/>
      <c r="H192" s="185"/>
      <c r="I192" s="185"/>
      <c r="J192" s="185"/>
      <c r="K192" s="185"/>
      <c r="L192" s="185"/>
      <c r="M192" s="185"/>
      <c r="N192" s="185"/>
      <c r="O192" s="185"/>
      <c r="P192" s="185"/>
      <c r="Q192" s="185"/>
      <c r="R192" s="185"/>
      <c r="S192" s="185"/>
      <c r="T192" s="185"/>
      <c r="U192" s="185"/>
      <c r="V192" s="185"/>
      <c r="W192" s="185"/>
      <c r="X192" s="185"/>
      <c r="Y192" s="185"/>
      <c r="Z192" s="185"/>
    </row>
    <row r="193" spans="1:26" ht="16" thickBot="1" x14ac:dyDescent="0.25">
      <c r="A193" s="185"/>
      <c r="B193" s="185"/>
      <c r="C193" s="185"/>
      <c r="D193" s="185"/>
      <c r="E193" s="185"/>
      <c r="F193" s="185"/>
      <c r="G193" s="185"/>
      <c r="H193" s="185"/>
      <c r="I193" s="185"/>
      <c r="J193" s="185"/>
      <c r="K193" s="185"/>
      <c r="L193" s="185"/>
      <c r="M193" s="185"/>
      <c r="N193" s="185"/>
      <c r="O193" s="185"/>
      <c r="P193" s="185"/>
      <c r="Q193" s="185"/>
      <c r="R193" s="185"/>
      <c r="S193" s="185"/>
      <c r="T193" s="185"/>
      <c r="U193" s="185"/>
      <c r="V193" s="185"/>
      <c r="W193" s="185"/>
      <c r="X193" s="185"/>
      <c r="Y193" s="185"/>
      <c r="Z193" s="185"/>
    </row>
    <row r="194" spans="1:26" ht="16" thickBot="1" x14ac:dyDescent="0.25">
      <c r="A194" s="185"/>
      <c r="B194" s="185"/>
      <c r="C194" s="185"/>
      <c r="D194" s="185"/>
      <c r="E194" s="185"/>
      <c r="F194" s="185"/>
      <c r="G194" s="185"/>
      <c r="H194" s="185"/>
      <c r="I194" s="185"/>
      <c r="J194" s="185"/>
      <c r="K194" s="185"/>
      <c r="L194" s="185"/>
      <c r="M194" s="185"/>
      <c r="N194" s="185"/>
      <c r="O194" s="185"/>
      <c r="P194" s="185"/>
      <c r="Q194" s="185"/>
      <c r="R194" s="185"/>
      <c r="S194" s="185"/>
      <c r="T194" s="185"/>
      <c r="U194" s="185"/>
      <c r="V194" s="185"/>
      <c r="W194" s="185"/>
      <c r="X194" s="185"/>
      <c r="Y194" s="185"/>
      <c r="Z194" s="185"/>
    </row>
    <row r="195" spans="1:26" ht="16" thickBot="1" x14ac:dyDescent="0.25">
      <c r="A195" s="185"/>
      <c r="B195" s="185"/>
      <c r="C195" s="185"/>
      <c r="D195" s="185"/>
      <c r="E195" s="185"/>
      <c r="F195" s="185"/>
      <c r="G195" s="185"/>
      <c r="H195" s="185"/>
      <c r="I195" s="185"/>
      <c r="J195" s="185"/>
      <c r="K195" s="185"/>
      <c r="L195" s="185"/>
      <c r="M195" s="185"/>
      <c r="N195" s="185"/>
      <c r="O195" s="185"/>
      <c r="P195" s="185"/>
      <c r="Q195" s="185"/>
      <c r="R195" s="185"/>
      <c r="S195" s="185"/>
      <c r="T195" s="185"/>
      <c r="U195" s="185"/>
      <c r="V195" s="185"/>
      <c r="W195" s="185"/>
      <c r="X195" s="185"/>
      <c r="Y195" s="185"/>
      <c r="Z195" s="185"/>
    </row>
    <row r="196" spans="1:26" ht="16" thickBot="1" x14ac:dyDescent="0.25">
      <c r="A196" s="185"/>
      <c r="B196" s="185"/>
      <c r="C196" s="185"/>
      <c r="D196" s="185"/>
      <c r="E196" s="185"/>
      <c r="F196" s="185"/>
      <c r="G196" s="185"/>
      <c r="H196" s="185"/>
      <c r="I196" s="185"/>
      <c r="J196" s="185"/>
      <c r="K196" s="185"/>
      <c r="L196" s="185"/>
      <c r="M196" s="185"/>
      <c r="N196" s="185"/>
      <c r="O196" s="185"/>
      <c r="P196" s="185"/>
      <c r="Q196" s="185"/>
      <c r="R196" s="185"/>
      <c r="S196" s="185"/>
      <c r="T196" s="185"/>
      <c r="U196" s="185"/>
      <c r="V196" s="185"/>
      <c r="W196" s="185"/>
      <c r="X196" s="185"/>
      <c r="Y196" s="185"/>
      <c r="Z196" s="185"/>
    </row>
    <row r="197" spans="1:26" ht="16" thickBot="1" x14ac:dyDescent="0.25">
      <c r="A197" s="185"/>
      <c r="B197" s="185"/>
      <c r="C197" s="185"/>
      <c r="D197" s="185"/>
      <c r="E197" s="185"/>
      <c r="F197" s="185"/>
      <c r="G197" s="185"/>
      <c r="H197" s="185"/>
      <c r="I197" s="185"/>
      <c r="J197" s="185"/>
      <c r="K197" s="185"/>
      <c r="L197" s="185"/>
      <c r="M197" s="185"/>
      <c r="N197" s="185"/>
      <c r="O197" s="185"/>
      <c r="P197" s="185"/>
      <c r="Q197" s="185"/>
      <c r="R197" s="185"/>
      <c r="S197" s="185"/>
      <c r="T197" s="185"/>
      <c r="U197" s="185"/>
      <c r="V197" s="185"/>
      <c r="W197" s="185"/>
      <c r="X197" s="185"/>
      <c r="Y197" s="185"/>
      <c r="Z197" s="185"/>
    </row>
    <row r="198" spans="1:26" ht="16" thickBot="1" x14ac:dyDescent="0.25">
      <c r="A198" s="185"/>
      <c r="B198" s="185"/>
      <c r="C198" s="185"/>
      <c r="D198" s="185"/>
      <c r="E198" s="185"/>
      <c r="F198" s="185"/>
      <c r="G198" s="185"/>
      <c r="H198" s="185"/>
      <c r="I198" s="185"/>
      <c r="J198" s="185"/>
      <c r="K198" s="185"/>
      <c r="L198" s="185"/>
      <c r="M198" s="185"/>
      <c r="N198" s="185"/>
      <c r="O198" s="185"/>
      <c r="P198" s="185"/>
      <c r="Q198" s="185"/>
      <c r="R198" s="185"/>
      <c r="S198" s="185"/>
      <c r="T198" s="185"/>
      <c r="U198" s="185"/>
      <c r="V198" s="185"/>
      <c r="W198" s="185"/>
      <c r="X198" s="185"/>
      <c r="Y198" s="185"/>
      <c r="Z198" s="185"/>
    </row>
    <row r="199" spans="1:26" ht="16" thickBot="1" x14ac:dyDescent="0.25">
      <c r="A199" s="185"/>
      <c r="B199" s="185"/>
      <c r="C199" s="185"/>
      <c r="D199" s="185"/>
      <c r="E199" s="185"/>
      <c r="F199" s="185"/>
      <c r="G199" s="185"/>
      <c r="H199" s="185"/>
      <c r="I199" s="185"/>
      <c r="J199" s="185"/>
      <c r="K199" s="185"/>
      <c r="L199" s="185"/>
      <c r="M199" s="185"/>
      <c r="N199" s="185"/>
      <c r="O199" s="185"/>
      <c r="P199" s="185"/>
      <c r="Q199" s="185"/>
      <c r="R199" s="185"/>
      <c r="S199" s="185"/>
      <c r="T199" s="185"/>
      <c r="U199" s="185"/>
      <c r="V199" s="185"/>
      <c r="W199" s="185"/>
      <c r="X199" s="185"/>
      <c r="Y199" s="185"/>
      <c r="Z199" s="185"/>
    </row>
    <row r="200" spans="1:26" ht="16" thickBot="1" x14ac:dyDescent="0.25">
      <c r="A200" s="185"/>
      <c r="B200" s="185"/>
      <c r="C200" s="185"/>
      <c r="D200" s="185"/>
      <c r="E200" s="185"/>
      <c r="F200" s="185"/>
      <c r="G200" s="185"/>
      <c r="H200" s="185"/>
      <c r="I200" s="185"/>
      <c r="J200" s="185"/>
      <c r="K200" s="185"/>
      <c r="L200" s="185"/>
      <c r="M200" s="185"/>
      <c r="N200" s="185"/>
      <c r="O200" s="185"/>
      <c r="P200" s="185"/>
      <c r="Q200" s="185"/>
      <c r="R200" s="185"/>
      <c r="S200" s="185"/>
      <c r="T200" s="185"/>
      <c r="U200" s="185"/>
      <c r="V200" s="185"/>
      <c r="W200" s="185"/>
      <c r="X200" s="185"/>
      <c r="Y200" s="185"/>
      <c r="Z200" s="185"/>
    </row>
    <row r="201" spans="1:26" ht="16" thickBot="1" x14ac:dyDescent="0.25">
      <c r="A201" s="185"/>
      <c r="B201" s="185"/>
      <c r="C201" s="185"/>
      <c r="D201" s="185"/>
      <c r="E201" s="185"/>
      <c r="F201" s="185"/>
      <c r="G201" s="185"/>
      <c r="H201" s="185"/>
      <c r="I201" s="185"/>
      <c r="J201" s="185"/>
      <c r="K201" s="185"/>
      <c r="L201" s="185"/>
      <c r="M201" s="185"/>
      <c r="N201" s="185"/>
      <c r="O201" s="185"/>
      <c r="P201" s="185"/>
      <c r="Q201" s="185"/>
      <c r="R201" s="185"/>
      <c r="S201" s="185"/>
      <c r="T201" s="185"/>
      <c r="U201" s="185"/>
      <c r="V201" s="185"/>
      <c r="W201" s="185"/>
      <c r="X201" s="185"/>
      <c r="Y201" s="185"/>
      <c r="Z201" s="185"/>
    </row>
    <row r="202" spans="1:26" ht="16" thickBot="1" x14ac:dyDescent="0.25">
      <c r="A202" s="185"/>
      <c r="B202" s="185"/>
      <c r="C202" s="185"/>
      <c r="D202" s="185"/>
      <c r="E202" s="185"/>
      <c r="F202" s="185"/>
      <c r="G202" s="185"/>
      <c r="H202" s="185"/>
      <c r="I202" s="185"/>
      <c r="J202" s="185"/>
      <c r="K202" s="185"/>
      <c r="L202" s="185"/>
      <c r="M202" s="185"/>
      <c r="N202" s="185"/>
      <c r="O202" s="185"/>
      <c r="P202" s="185"/>
      <c r="Q202" s="185"/>
      <c r="R202" s="185"/>
      <c r="S202" s="185"/>
      <c r="T202" s="185"/>
      <c r="U202" s="185"/>
      <c r="V202" s="185"/>
      <c r="W202" s="185"/>
      <c r="X202" s="185"/>
      <c r="Y202" s="185"/>
      <c r="Z202" s="185"/>
    </row>
    <row r="203" spans="1:26" ht="16" thickBot="1" x14ac:dyDescent="0.25">
      <c r="A203" s="185"/>
      <c r="B203" s="185"/>
      <c r="C203" s="185"/>
      <c r="D203" s="185"/>
      <c r="E203" s="185"/>
      <c r="F203" s="185"/>
      <c r="G203" s="185"/>
      <c r="H203" s="185"/>
      <c r="I203" s="185"/>
      <c r="J203" s="185"/>
      <c r="K203" s="185"/>
      <c r="L203" s="185"/>
      <c r="M203" s="185"/>
      <c r="N203" s="185"/>
      <c r="O203" s="185"/>
      <c r="P203" s="185"/>
      <c r="Q203" s="185"/>
      <c r="R203" s="185"/>
      <c r="S203" s="185"/>
      <c r="T203" s="185"/>
      <c r="U203" s="185"/>
      <c r="V203" s="185"/>
      <c r="W203" s="185"/>
      <c r="X203" s="185"/>
      <c r="Y203" s="185"/>
      <c r="Z203" s="185"/>
    </row>
    <row r="204" spans="1:26" ht="16" thickBot="1" x14ac:dyDescent="0.25">
      <c r="A204" s="185"/>
      <c r="B204" s="185"/>
      <c r="C204" s="185"/>
      <c r="D204" s="185"/>
      <c r="E204" s="185"/>
      <c r="F204" s="185"/>
      <c r="G204" s="185"/>
      <c r="H204" s="185"/>
      <c r="I204" s="185"/>
      <c r="J204" s="185"/>
      <c r="K204" s="185"/>
      <c r="L204" s="185"/>
      <c r="M204" s="185"/>
      <c r="N204" s="185"/>
      <c r="O204" s="185"/>
      <c r="P204" s="185"/>
      <c r="Q204" s="185"/>
      <c r="R204" s="185"/>
      <c r="S204" s="185"/>
      <c r="T204" s="185"/>
      <c r="U204" s="185"/>
      <c r="V204" s="185"/>
      <c r="W204" s="185"/>
      <c r="X204" s="185"/>
      <c r="Y204" s="185"/>
      <c r="Z204" s="185"/>
    </row>
    <row r="205" spans="1:26" ht="16" thickBot="1" x14ac:dyDescent="0.25">
      <c r="A205" s="185"/>
      <c r="B205" s="185"/>
      <c r="C205" s="185"/>
      <c r="D205" s="185"/>
      <c r="E205" s="185"/>
      <c r="F205" s="185"/>
      <c r="G205" s="185"/>
      <c r="H205" s="185"/>
      <c r="I205" s="185"/>
      <c r="J205" s="185"/>
      <c r="K205" s="185"/>
      <c r="L205" s="185"/>
      <c r="M205" s="185"/>
      <c r="N205" s="185"/>
      <c r="O205" s="185"/>
      <c r="P205" s="185"/>
      <c r="Q205" s="185"/>
      <c r="R205" s="185"/>
      <c r="S205" s="185"/>
      <c r="T205" s="185"/>
      <c r="U205" s="185"/>
      <c r="V205" s="185"/>
      <c r="W205" s="185"/>
      <c r="X205" s="185"/>
      <c r="Y205" s="185"/>
      <c r="Z205" s="185"/>
    </row>
    <row r="206" spans="1:26" ht="16" thickBot="1" x14ac:dyDescent="0.25">
      <c r="A206" s="185"/>
      <c r="B206" s="185"/>
      <c r="C206" s="185"/>
      <c r="D206" s="185"/>
      <c r="E206" s="185"/>
      <c r="F206" s="185"/>
      <c r="G206" s="185"/>
      <c r="H206" s="185"/>
      <c r="I206" s="185"/>
      <c r="J206" s="185"/>
      <c r="K206" s="185"/>
      <c r="L206" s="185"/>
      <c r="M206" s="185"/>
      <c r="N206" s="185"/>
      <c r="O206" s="185"/>
      <c r="P206" s="185"/>
      <c r="Q206" s="185"/>
      <c r="R206" s="185"/>
      <c r="S206" s="185"/>
      <c r="T206" s="185"/>
      <c r="U206" s="185"/>
      <c r="V206" s="185"/>
      <c r="W206" s="185"/>
      <c r="X206" s="185"/>
      <c r="Y206" s="185"/>
      <c r="Z206" s="185"/>
    </row>
    <row r="207" spans="1:26" ht="16" thickBot="1" x14ac:dyDescent="0.25">
      <c r="A207" s="185"/>
      <c r="B207" s="185"/>
      <c r="C207" s="185"/>
      <c r="D207" s="185"/>
      <c r="E207" s="185"/>
      <c r="F207" s="185"/>
      <c r="G207" s="185"/>
      <c r="H207" s="185"/>
      <c r="I207" s="185"/>
      <c r="J207" s="185"/>
      <c r="K207" s="185"/>
      <c r="L207" s="185"/>
      <c r="M207" s="185"/>
      <c r="N207" s="185"/>
      <c r="O207" s="185"/>
      <c r="P207" s="185"/>
      <c r="Q207" s="185"/>
      <c r="R207" s="185"/>
      <c r="S207" s="185"/>
      <c r="T207" s="185"/>
      <c r="U207" s="185"/>
      <c r="V207" s="185"/>
      <c r="W207" s="185"/>
      <c r="X207" s="185"/>
      <c r="Y207" s="185"/>
      <c r="Z207" s="185"/>
    </row>
    <row r="208" spans="1:26" ht="16" thickBot="1" x14ac:dyDescent="0.25">
      <c r="A208" s="185"/>
      <c r="B208" s="185"/>
      <c r="C208" s="185"/>
      <c r="D208" s="185"/>
      <c r="E208" s="185"/>
      <c r="F208" s="185"/>
      <c r="G208" s="185"/>
      <c r="H208" s="185"/>
      <c r="I208" s="185"/>
      <c r="J208" s="185"/>
      <c r="K208" s="185"/>
      <c r="L208" s="185"/>
      <c r="M208" s="185"/>
      <c r="N208" s="185"/>
      <c r="O208" s="185"/>
      <c r="P208" s="185"/>
      <c r="Q208" s="185"/>
      <c r="R208" s="185"/>
      <c r="S208" s="185"/>
      <c r="T208" s="185"/>
      <c r="U208" s="185"/>
      <c r="V208" s="185"/>
      <c r="W208" s="185"/>
      <c r="X208" s="185"/>
      <c r="Y208" s="185"/>
      <c r="Z208" s="185"/>
    </row>
    <row r="209" spans="1:26" ht="16" thickBot="1" x14ac:dyDescent="0.25">
      <c r="A209" s="185"/>
      <c r="B209" s="185"/>
      <c r="C209" s="185"/>
      <c r="D209" s="185"/>
      <c r="E209" s="185"/>
      <c r="F209" s="185"/>
      <c r="G209" s="185"/>
      <c r="H209" s="185"/>
      <c r="I209" s="185"/>
      <c r="J209" s="185"/>
      <c r="K209" s="185"/>
      <c r="L209" s="185"/>
      <c r="M209" s="185"/>
      <c r="N209" s="185"/>
      <c r="O209" s="185"/>
      <c r="P209" s="185"/>
      <c r="Q209" s="185"/>
      <c r="R209" s="185"/>
      <c r="S209" s="185"/>
      <c r="T209" s="185"/>
      <c r="U209" s="185"/>
      <c r="V209" s="185"/>
      <c r="W209" s="185"/>
      <c r="X209" s="185"/>
      <c r="Y209" s="185"/>
      <c r="Z209" s="185"/>
    </row>
    <row r="210" spans="1:26" ht="16" thickBot="1" x14ac:dyDescent="0.25">
      <c r="A210" s="185"/>
      <c r="B210" s="185"/>
      <c r="C210" s="185"/>
      <c r="D210" s="185"/>
      <c r="E210" s="185"/>
      <c r="F210" s="185"/>
      <c r="G210" s="185"/>
      <c r="H210" s="185"/>
      <c r="I210" s="185"/>
      <c r="J210" s="185"/>
      <c r="K210" s="185"/>
      <c r="L210" s="185"/>
      <c r="M210" s="185"/>
      <c r="N210" s="185"/>
      <c r="O210" s="185"/>
      <c r="P210" s="185"/>
      <c r="Q210" s="185"/>
      <c r="R210" s="185"/>
      <c r="S210" s="185"/>
      <c r="T210" s="185"/>
      <c r="U210" s="185"/>
      <c r="V210" s="185"/>
      <c r="W210" s="185"/>
      <c r="X210" s="185"/>
      <c r="Y210" s="185"/>
      <c r="Z210" s="185"/>
    </row>
    <row r="211" spans="1:26" ht="16" thickBot="1" x14ac:dyDescent="0.25">
      <c r="A211" s="185"/>
      <c r="B211" s="185"/>
      <c r="C211" s="185"/>
      <c r="D211" s="185"/>
      <c r="E211" s="185"/>
      <c r="F211" s="185"/>
      <c r="G211" s="185"/>
      <c r="H211" s="185"/>
      <c r="I211" s="185"/>
      <c r="J211" s="185"/>
      <c r="K211" s="185"/>
      <c r="L211" s="185"/>
      <c r="M211" s="185"/>
      <c r="N211" s="185"/>
      <c r="O211" s="185"/>
      <c r="P211" s="185"/>
      <c r="Q211" s="185"/>
      <c r="R211" s="185"/>
      <c r="S211" s="185"/>
      <c r="T211" s="185"/>
      <c r="U211" s="185"/>
      <c r="V211" s="185"/>
      <c r="W211" s="185"/>
      <c r="X211" s="185"/>
      <c r="Y211" s="185"/>
      <c r="Z211" s="185"/>
    </row>
    <row r="212" spans="1:26" ht="16" thickBot="1" x14ac:dyDescent="0.25">
      <c r="A212" s="185"/>
      <c r="B212" s="185"/>
      <c r="C212" s="185"/>
      <c r="D212" s="185"/>
      <c r="E212" s="185"/>
      <c r="F212" s="185"/>
      <c r="G212" s="185"/>
      <c r="H212" s="185"/>
      <c r="I212" s="185"/>
      <c r="J212" s="185"/>
      <c r="K212" s="185"/>
      <c r="L212" s="185"/>
      <c r="M212" s="185"/>
      <c r="N212" s="185"/>
      <c r="O212" s="185"/>
      <c r="P212" s="185"/>
      <c r="Q212" s="185"/>
      <c r="R212" s="185"/>
      <c r="S212" s="185"/>
      <c r="T212" s="185"/>
      <c r="U212" s="185"/>
      <c r="V212" s="185"/>
      <c r="W212" s="185"/>
      <c r="X212" s="185"/>
      <c r="Y212" s="185"/>
      <c r="Z212" s="185"/>
    </row>
    <row r="213" spans="1:26" ht="16" thickBot="1" x14ac:dyDescent="0.25">
      <c r="A213" s="185"/>
      <c r="B213" s="185"/>
      <c r="C213" s="185"/>
      <c r="D213" s="185"/>
      <c r="E213" s="185"/>
      <c r="F213" s="185"/>
      <c r="G213" s="185"/>
      <c r="H213" s="185"/>
      <c r="I213" s="185"/>
      <c r="J213" s="185"/>
      <c r="K213" s="185"/>
      <c r="L213" s="185"/>
      <c r="M213" s="185"/>
      <c r="N213" s="185"/>
      <c r="O213" s="185"/>
      <c r="P213" s="185"/>
      <c r="Q213" s="185"/>
      <c r="R213" s="185"/>
      <c r="S213" s="185"/>
      <c r="T213" s="185"/>
      <c r="U213" s="185"/>
      <c r="V213" s="185"/>
      <c r="W213" s="185"/>
      <c r="X213" s="185"/>
      <c r="Y213" s="185"/>
      <c r="Z213" s="185"/>
    </row>
    <row r="214" spans="1:26" ht="16" thickBot="1" x14ac:dyDescent="0.25">
      <c r="A214" s="185"/>
      <c r="B214" s="185"/>
      <c r="C214" s="185"/>
      <c r="D214" s="185"/>
      <c r="E214" s="185"/>
      <c r="F214" s="185"/>
      <c r="G214" s="185"/>
      <c r="H214" s="185"/>
      <c r="I214" s="185"/>
      <c r="J214" s="185"/>
      <c r="K214" s="185"/>
      <c r="L214" s="185"/>
      <c r="M214" s="185"/>
      <c r="N214" s="185"/>
      <c r="O214" s="185"/>
      <c r="P214" s="185"/>
      <c r="Q214" s="185"/>
      <c r="R214" s="185"/>
      <c r="S214" s="185"/>
      <c r="T214" s="185"/>
      <c r="U214" s="185"/>
      <c r="V214" s="185"/>
      <c r="W214" s="185"/>
      <c r="X214" s="185"/>
      <c r="Y214" s="185"/>
      <c r="Z214" s="185"/>
    </row>
    <row r="215" spans="1:26" ht="16" thickBot="1" x14ac:dyDescent="0.25">
      <c r="A215" s="185"/>
      <c r="B215" s="185"/>
      <c r="C215" s="185"/>
      <c r="D215" s="185"/>
      <c r="E215" s="185"/>
      <c r="F215" s="185"/>
      <c r="G215" s="185"/>
      <c r="H215" s="185"/>
      <c r="I215" s="185"/>
      <c r="J215" s="185"/>
      <c r="K215" s="185"/>
      <c r="L215" s="185"/>
      <c r="M215" s="185"/>
      <c r="N215" s="185"/>
      <c r="O215" s="185"/>
      <c r="P215" s="185"/>
      <c r="Q215" s="185"/>
      <c r="R215" s="185"/>
      <c r="S215" s="185"/>
      <c r="T215" s="185"/>
      <c r="U215" s="185"/>
      <c r="V215" s="185"/>
      <c r="W215" s="185"/>
      <c r="X215" s="185"/>
      <c r="Y215" s="185"/>
      <c r="Z215" s="185"/>
    </row>
    <row r="216" spans="1:26" ht="16" thickBot="1" x14ac:dyDescent="0.25">
      <c r="A216" s="185"/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5"/>
      <c r="O216" s="185"/>
      <c r="P216" s="185"/>
      <c r="Q216" s="185"/>
      <c r="R216" s="185"/>
      <c r="S216" s="185"/>
      <c r="T216" s="185"/>
      <c r="U216" s="185"/>
      <c r="V216" s="185"/>
      <c r="W216" s="185"/>
      <c r="X216" s="185"/>
      <c r="Y216" s="185"/>
      <c r="Z216" s="185"/>
    </row>
    <row r="217" spans="1:26" ht="16" thickBot="1" x14ac:dyDescent="0.25">
      <c r="A217" s="185"/>
      <c r="B217" s="185"/>
      <c r="C217" s="185"/>
      <c r="D217" s="185"/>
      <c r="E217" s="185"/>
      <c r="F217" s="185"/>
      <c r="G217" s="185"/>
      <c r="H217" s="185"/>
      <c r="I217" s="185"/>
      <c r="J217" s="185"/>
      <c r="K217" s="185"/>
      <c r="L217" s="185"/>
      <c r="M217" s="185"/>
      <c r="N217" s="185"/>
      <c r="O217" s="185"/>
      <c r="P217" s="185"/>
      <c r="Q217" s="185"/>
      <c r="R217" s="185"/>
      <c r="S217" s="185"/>
      <c r="T217" s="185"/>
      <c r="U217" s="185"/>
      <c r="V217" s="185"/>
      <c r="W217" s="185"/>
      <c r="X217" s="185"/>
      <c r="Y217" s="185"/>
      <c r="Z217" s="185"/>
    </row>
    <row r="218" spans="1:26" ht="16" thickBot="1" x14ac:dyDescent="0.25">
      <c r="A218" s="185"/>
      <c r="B218" s="185"/>
      <c r="C218" s="185"/>
      <c r="D218" s="185"/>
      <c r="E218" s="185"/>
      <c r="F218" s="185"/>
      <c r="G218" s="185"/>
      <c r="H218" s="185"/>
      <c r="I218" s="185"/>
      <c r="J218" s="185"/>
      <c r="K218" s="185"/>
      <c r="L218" s="185"/>
      <c r="M218" s="185"/>
      <c r="N218" s="185"/>
      <c r="O218" s="185"/>
      <c r="P218" s="185"/>
      <c r="Q218" s="185"/>
      <c r="R218" s="185"/>
      <c r="S218" s="185"/>
      <c r="T218" s="185"/>
      <c r="U218" s="185"/>
      <c r="V218" s="185"/>
      <c r="W218" s="185"/>
      <c r="X218" s="185"/>
      <c r="Y218" s="185"/>
      <c r="Z218" s="185"/>
    </row>
    <row r="219" spans="1:26" ht="16" thickBot="1" x14ac:dyDescent="0.25">
      <c r="A219" s="185"/>
      <c r="B219" s="185"/>
      <c r="C219" s="185"/>
      <c r="D219" s="185"/>
      <c r="E219" s="185"/>
      <c r="F219" s="185"/>
      <c r="G219" s="185"/>
      <c r="H219" s="185"/>
      <c r="I219" s="185"/>
      <c r="J219" s="185"/>
      <c r="K219" s="185"/>
      <c r="L219" s="185"/>
      <c r="M219" s="185"/>
      <c r="N219" s="185"/>
      <c r="O219" s="185"/>
      <c r="P219" s="185"/>
      <c r="Q219" s="185"/>
      <c r="R219" s="185"/>
      <c r="S219" s="185"/>
      <c r="T219" s="185"/>
      <c r="U219" s="185"/>
      <c r="V219" s="185"/>
      <c r="W219" s="185"/>
      <c r="X219" s="185"/>
      <c r="Y219" s="185"/>
      <c r="Z219" s="185"/>
    </row>
    <row r="220" spans="1:26" ht="16" thickBot="1" x14ac:dyDescent="0.25">
      <c r="A220" s="185"/>
      <c r="B220" s="185"/>
      <c r="C220" s="185"/>
      <c r="D220" s="185"/>
      <c r="E220" s="185"/>
      <c r="F220" s="185"/>
      <c r="G220" s="185"/>
      <c r="H220" s="185"/>
      <c r="I220" s="185"/>
      <c r="J220" s="185"/>
      <c r="K220" s="185"/>
      <c r="L220" s="185"/>
      <c r="M220" s="185"/>
      <c r="N220" s="185"/>
      <c r="O220" s="185"/>
      <c r="P220" s="185"/>
      <c r="Q220" s="185"/>
      <c r="R220" s="185"/>
      <c r="S220" s="185"/>
      <c r="T220" s="185"/>
      <c r="U220" s="185"/>
      <c r="V220" s="185"/>
      <c r="W220" s="185"/>
      <c r="X220" s="185"/>
      <c r="Y220" s="185"/>
      <c r="Z220" s="185"/>
    </row>
    <row r="221" spans="1:26" ht="16" thickBot="1" x14ac:dyDescent="0.25">
      <c r="A221" s="185"/>
      <c r="B221" s="185"/>
      <c r="C221" s="185"/>
      <c r="D221" s="185"/>
      <c r="E221" s="185"/>
      <c r="F221" s="185"/>
      <c r="G221" s="185"/>
      <c r="H221" s="185"/>
      <c r="I221" s="185"/>
      <c r="J221" s="185"/>
      <c r="K221" s="185"/>
      <c r="L221" s="185"/>
      <c r="M221" s="185"/>
      <c r="N221" s="185"/>
      <c r="O221" s="185"/>
      <c r="P221" s="185"/>
      <c r="Q221" s="185"/>
      <c r="R221" s="185"/>
      <c r="S221" s="185"/>
      <c r="T221" s="185"/>
      <c r="U221" s="185"/>
      <c r="V221" s="185"/>
      <c r="W221" s="185"/>
      <c r="X221" s="185"/>
      <c r="Y221" s="185"/>
      <c r="Z221" s="185"/>
    </row>
    <row r="222" spans="1:26" ht="16" thickBot="1" x14ac:dyDescent="0.25">
      <c r="A222" s="185"/>
      <c r="B222" s="185"/>
      <c r="C222" s="185"/>
      <c r="D222" s="185"/>
      <c r="E222" s="185"/>
      <c r="F222" s="185"/>
      <c r="G222" s="185"/>
      <c r="H222" s="185"/>
      <c r="I222" s="185"/>
      <c r="J222" s="185"/>
      <c r="K222" s="185"/>
      <c r="L222" s="185"/>
      <c r="M222" s="185"/>
      <c r="N222" s="185"/>
      <c r="O222" s="185"/>
      <c r="P222" s="185"/>
      <c r="Q222" s="185"/>
      <c r="R222" s="185"/>
      <c r="S222" s="185"/>
      <c r="T222" s="185"/>
      <c r="U222" s="185"/>
      <c r="V222" s="185"/>
      <c r="W222" s="185"/>
      <c r="X222" s="185"/>
      <c r="Y222" s="185"/>
      <c r="Z222" s="185"/>
    </row>
    <row r="223" spans="1:26" ht="16" thickBot="1" x14ac:dyDescent="0.25">
      <c r="A223" s="185"/>
      <c r="B223" s="185"/>
      <c r="C223" s="185"/>
      <c r="D223" s="185"/>
      <c r="E223" s="185"/>
      <c r="F223" s="185"/>
      <c r="G223" s="185"/>
      <c r="H223" s="185"/>
      <c r="I223" s="185"/>
      <c r="J223" s="185"/>
      <c r="K223" s="185"/>
      <c r="L223" s="185"/>
      <c r="M223" s="185"/>
      <c r="N223" s="185"/>
      <c r="O223" s="185"/>
      <c r="P223" s="185"/>
      <c r="Q223" s="185"/>
      <c r="R223" s="185"/>
      <c r="S223" s="185"/>
      <c r="T223" s="185"/>
      <c r="U223" s="185"/>
      <c r="V223" s="185"/>
      <c r="W223" s="185"/>
      <c r="X223" s="185"/>
      <c r="Y223" s="185"/>
      <c r="Z223" s="185"/>
    </row>
    <row r="224" spans="1:26" ht="16" thickBot="1" x14ac:dyDescent="0.25">
      <c r="A224" s="185"/>
      <c r="B224" s="185"/>
      <c r="C224" s="185"/>
      <c r="D224" s="185"/>
      <c r="E224" s="185"/>
      <c r="F224" s="185"/>
      <c r="G224" s="185"/>
      <c r="H224" s="185"/>
      <c r="I224" s="185"/>
      <c r="J224" s="185"/>
      <c r="K224" s="185"/>
      <c r="L224" s="185"/>
      <c r="M224" s="185"/>
      <c r="N224" s="185"/>
      <c r="O224" s="185"/>
      <c r="P224" s="185"/>
      <c r="Q224" s="185"/>
      <c r="R224" s="185"/>
      <c r="S224" s="185"/>
      <c r="T224" s="185"/>
      <c r="U224" s="185"/>
      <c r="V224" s="185"/>
      <c r="W224" s="185"/>
      <c r="X224" s="185"/>
      <c r="Y224" s="185"/>
      <c r="Z224" s="185"/>
    </row>
    <row r="225" spans="1:26" ht="16" thickBot="1" x14ac:dyDescent="0.25">
      <c r="A225" s="185"/>
      <c r="B225" s="185"/>
      <c r="C225" s="185"/>
      <c r="D225" s="185"/>
      <c r="E225" s="185"/>
      <c r="F225" s="185"/>
      <c r="G225" s="185"/>
      <c r="H225" s="185"/>
      <c r="I225" s="185"/>
      <c r="J225" s="185"/>
      <c r="K225" s="185"/>
      <c r="L225" s="185"/>
      <c r="M225" s="185"/>
      <c r="N225" s="185"/>
      <c r="O225" s="185"/>
      <c r="P225" s="185"/>
      <c r="Q225" s="185"/>
      <c r="R225" s="185"/>
      <c r="S225" s="185"/>
      <c r="T225" s="185"/>
      <c r="U225" s="185"/>
      <c r="V225" s="185"/>
      <c r="W225" s="185"/>
      <c r="X225" s="185"/>
      <c r="Y225" s="185"/>
      <c r="Z225" s="185"/>
    </row>
    <row r="226" spans="1:26" ht="16" thickBot="1" x14ac:dyDescent="0.25">
      <c r="A226" s="185"/>
      <c r="B226" s="185"/>
      <c r="C226" s="185"/>
      <c r="D226" s="185"/>
      <c r="E226" s="185"/>
      <c r="F226" s="185"/>
      <c r="G226" s="185"/>
      <c r="H226" s="185"/>
      <c r="I226" s="185"/>
      <c r="J226" s="185"/>
      <c r="K226" s="185"/>
      <c r="L226" s="185"/>
      <c r="M226" s="185"/>
      <c r="N226" s="185"/>
      <c r="O226" s="185"/>
      <c r="P226" s="185"/>
      <c r="Q226" s="185"/>
      <c r="R226" s="185"/>
      <c r="S226" s="185"/>
      <c r="T226" s="185"/>
      <c r="U226" s="185"/>
      <c r="V226" s="185"/>
      <c r="W226" s="185"/>
      <c r="X226" s="185"/>
      <c r="Y226" s="185"/>
      <c r="Z226" s="185"/>
    </row>
    <row r="227" spans="1:26" ht="16" thickBot="1" x14ac:dyDescent="0.25">
      <c r="A227" s="185"/>
      <c r="B227" s="185"/>
      <c r="C227" s="185"/>
      <c r="D227" s="185"/>
      <c r="E227" s="185"/>
      <c r="F227" s="185"/>
      <c r="G227" s="185"/>
      <c r="H227" s="185"/>
      <c r="I227" s="185"/>
      <c r="J227" s="185"/>
      <c r="K227" s="185"/>
      <c r="L227" s="185"/>
      <c r="M227" s="185"/>
      <c r="N227" s="185"/>
      <c r="O227" s="185"/>
      <c r="P227" s="185"/>
      <c r="Q227" s="185"/>
      <c r="R227" s="185"/>
      <c r="S227" s="185"/>
      <c r="T227" s="185"/>
      <c r="U227" s="185"/>
      <c r="V227" s="185"/>
      <c r="W227" s="185"/>
      <c r="X227" s="185"/>
      <c r="Y227" s="185"/>
      <c r="Z227" s="185"/>
    </row>
    <row r="228" spans="1:26" ht="16" thickBot="1" x14ac:dyDescent="0.25">
      <c r="A228" s="185"/>
      <c r="B228" s="185"/>
      <c r="C228" s="185"/>
      <c r="D228" s="185"/>
      <c r="E228" s="185"/>
      <c r="F228" s="185"/>
      <c r="G228" s="185"/>
      <c r="H228" s="185"/>
      <c r="I228" s="185"/>
      <c r="J228" s="185"/>
      <c r="K228" s="185"/>
      <c r="L228" s="185"/>
      <c r="M228" s="185"/>
      <c r="N228" s="185"/>
      <c r="O228" s="185"/>
      <c r="P228" s="185"/>
      <c r="Q228" s="185"/>
      <c r="R228" s="185"/>
      <c r="S228" s="185"/>
      <c r="T228" s="185"/>
      <c r="U228" s="185"/>
      <c r="V228" s="185"/>
      <c r="W228" s="185"/>
      <c r="X228" s="185"/>
      <c r="Y228" s="185"/>
      <c r="Z228" s="185"/>
    </row>
    <row r="229" spans="1:26" ht="16" thickBot="1" x14ac:dyDescent="0.25">
      <c r="A229" s="185"/>
      <c r="B229" s="185"/>
      <c r="C229" s="185"/>
      <c r="D229" s="185"/>
      <c r="E229" s="185"/>
      <c r="F229" s="185"/>
      <c r="G229" s="185"/>
      <c r="H229" s="185"/>
      <c r="I229" s="185"/>
      <c r="J229" s="185"/>
      <c r="K229" s="185"/>
      <c r="L229" s="185"/>
      <c r="M229" s="185"/>
      <c r="N229" s="185"/>
      <c r="O229" s="185"/>
      <c r="P229" s="185"/>
      <c r="Q229" s="185"/>
      <c r="R229" s="185"/>
      <c r="S229" s="185"/>
      <c r="T229" s="185"/>
      <c r="U229" s="185"/>
      <c r="V229" s="185"/>
      <c r="W229" s="185"/>
      <c r="X229" s="185"/>
      <c r="Y229" s="185"/>
      <c r="Z229" s="185"/>
    </row>
    <row r="230" spans="1:26" ht="16" thickBot="1" x14ac:dyDescent="0.25">
      <c r="A230" s="185"/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5"/>
      <c r="O230" s="185"/>
      <c r="P230" s="185"/>
      <c r="Q230" s="185"/>
      <c r="R230" s="185"/>
      <c r="S230" s="185"/>
      <c r="T230" s="185"/>
      <c r="U230" s="185"/>
      <c r="V230" s="185"/>
      <c r="W230" s="185"/>
      <c r="X230" s="185"/>
      <c r="Y230" s="185"/>
      <c r="Z230" s="185"/>
    </row>
    <row r="231" spans="1:26" ht="16" thickBot="1" x14ac:dyDescent="0.25">
      <c r="A231" s="185"/>
      <c r="B231" s="185"/>
      <c r="C231" s="185"/>
      <c r="D231" s="185"/>
      <c r="E231" s="185"/>
      <c r="F231" s="185"/>
      <c r="G231" s="185"/>
      <c r="H231" s="185"/>
      <c r="I231" s="185"/>
      <c r="J231" s="185"/>
      <c r="K231" s="185"/>
      <c r="L231" s="185"/>
      <c r="M231" s="185"/>
      <c r="N231" s="185"/>
      <c r="O231" s="185"/>
      <c r="P231" s="185"/>
      <c r="Q231" s="185"/>
      <c r="R231" s="185"/>
      <c r="S231" s="185"/>
      <c r="T231" s="185"/>
      <c r="U231" s="185"/>
      <c r="V231" s="185"/>
      <c r="W231" s="185"/>
      <c r="X231" s="185"/>
      <c r="Y231" s="185"/>
      <c r="Z231" s="185"/>
    </row>
    <row r="232" spans="1:26" ht="16" thickBot="1" x14ac:dyDescent="0.25">
      <c r="A232" s="185"/>
      <c r="B232" s="185"/>
      <c r="C232" s="185"/>
      <c r="D232" s="185"/>
      <c r="E232" s="185"/>
      <c r="F232" s="185"/>
      <c r="G232" s="185"/>
      <c r="H232" s="185"/>
      <c r="I232" s="185"/>
      <c r="J232" s="185"/>
      <c r="K232" s="185"/>
      <c r="L232" s="185"/>
      <c r="M232" s="185"/>
      <c r="N232" s="185"/>
      <c r="O232" s="185"/>
      <c r="P232" s="185"/>
      <c r="Q232" s="185"/>
      <c r="R232" s="185"/>
      <c r="S232" s="185"/>
      <c r="T232" s="185"/>
      <c r="U232" s="185"/>
      <c r="V232" s="185"/>
      <c r="W232" s="185"/>
      <c r="X232" s="185"/>
      <c r="Y232" s="185"/>
      <c r="Z232" s="185"/>
    </row>
    <row r="233" spans="1:26" ht="16" thickBot="1" x14ac:dyDescent="0.25">
      <c r="A233" s="185"/>
      <c r="B233" s="185"/>
      <c r="C233" s="185"/>
      <c r="D233" s="185"/>
      <c r="E233" s="185"/>
      <c r="F233" s="185"/>
      <c r="G233" s="185"/>
      <c r="H233" s="185"/>
      <c r="I233" s="185"/>
      <c r="J233" s="185"/>
      <c r="K233" s="185"/>
      <c r="L233" s="185"/>
      <c r="M233" s="185"/>
      <c r="N233" s="185"/>
      <c r="O233" s="185"/>
      <c r="P233" s="185"/>
      <c r="Q233" s="185"/>
      <c r="R233" s="185"/>
      <c r="S233" s="185"/>
      <c r="T233" s="185"/>
      <c r="U233" s="185"/>
      <c r="V233" s="185"/>
      <c r="W233" s="185"/>
      <c r="X233" s="185"/>
      <c r="Y233" s="185"/>
      <c r="Z233" s="185"/>
    </row>
    <row r="234" spans="1:26" ht="16" thickBot="1" x14ac:dyDescent="0.25">
      <c r="A234" s="185"/>
      <c r="B234" s="185"/>
      <c r="C234" s="185"/>
      <c r="D234" s="185"/>
      <c r="E234" s="185"/>
      <c r="F234" s="185"/>
      <c r="G234" s="185"/>
      <c r="H234" s="185"/>
      <c r="I234" s="185"/>
      <c r="J234" s="185"/>
      <c r="K234" s="185"/>
      <c r="L234" s="185"/>
      <c r="M234" s="185"/>
      <c r="N234" s="185"/>
      <c r="O234" s="185"/>
      <c r="P234" s="185"/>
      <c r="Q234" s="185"/>
      <c r="R234" s="185"/>
      <c r="S234" s="185"/>
      <c r="T234" s="185"/>
      <c r="U234" s="185"/>
      <c r="V234" s="185"/>
      <c r="W234" s="185"/>
      <c r="X234" s="185"/>
      <c r="Y234" s="185"/>
      <c r="Z234" s="185"/>
    </row>
    <row r="235" spans="1:26" ht="16" thickBot="1" x14ac:dyDescent="0.25">
      <c r="A235" s="185"/>
      <c r="B235" s="185"/>
      <c r="C235" s="185"/>
      <c r="D235" s="185"/>
      <c r="E235" s="185"/>
      <c r="F235" s="185"/>
      <c r="G235" s="185"/>
      <c r="H235" s="185"/>
      <c r="I235" s="185"/>
      <c r="J235" s="185"/>
      <c r="K235" s="185"/>
      <c r="L235" s="185"/>
      <c r="M235" s="185"/>
      <c r="N235" s="185"/>
      <c r="O235" s="185"/>
      <c r="P235" s="185"/>
      <c r="Q235" s="185"/>
      <c r="R235" s="185"/>
      <c r="S235" s="185"/>
      <c r="T235" s="185"/>
      <c r="U235" s="185"/>
      <c r="V235" s="185"/>
      <c r="W235" s="185"/>
      <c r="X235" s="185"/>
      <c r="Y235" s="185"/>
      <c r="Z235" s="185"/>
    </row>
    <row r="236" spans="1:26" ht="16" thickBot="1" x14ac:dyDescent="0.25">
      <c r="A236" s="185"/>
      <c r="B236" s="185"/>
      <c r="C236" s="185"/>
      <c r="D236" s="185"/>
      <c r="E236" s="185"/>
      <c r="F236" s="185"/>
      <c r="G236" s="185"/>
      <c r="H236" s="185"/>
      <c r="I236" s="185"/>
      <c r="J236" s="185"/>
      <c r="K236" s="185"/>
      <c r="L236" s="185"/>
      <c r="M236" s="185"/>
      <c r="N236" s="185"/>
      <c r="O236" s="185"/>
      <c r="P236" s="185"/>
      <c r="Q236" s="185"/>
      <c r="R236" s="185"/>
      <c r="S236" s="185"/>
      <c r="T236" s="185"/>
      <c r="U236" s="185"/>
      <c r="V236" s="185"/>
      <c r="W236" s="185"/>
      <c r="X236" s="185"/>
      <c r="Y236" s="185"/>
      <c r="Z236" s="185"/>
    </row>
    <row r="237" spans="1:26" ht="16" thickBot="1" x14ac:dyDescent="0.25">
      <c r="A237" s="185"/>
      <c r="B237" s="185"/>
      <c r="C237" s="185"/>
      <c r="D237" s="185"/>
      <c r="E237" s="185"/>
      <c r="F237" s="185"/>
      <c r="G237" s="185"/>
      <c r="H237" s="185"/>
      <c r="I237" s="185"/>
      <c r="J237" s="185"/>
      <c r="K237" s="185"/>
      <c r="L237" s="185"/>
      <c r="M237" s="185"/>
      <c r="N237" s="185"/>
      <c r="O237" s="185"/>
      <c r="P237" s="185"/>
      <c r="Q237" s="185"/>
      <c r="R237" s="185"/>
      <c r="S237" s="185"/>
      <c r="T237" s="185"/>
      <c r="U237" s="185"/>
      <c r="V237" s="185"/>
      <c r="W237" s="185"/>
      <c r="X237" s="185"/>
      <c r="Y237" s="185"/>
      <c r="Z237" s="185"/>
    </row>
    <row r="238" spans="1:26" ht="16" thickBot="1" x14ac:dyDescent="0.25">
      <c r="A238" s="185"/>
      <c r="B238" s="185"/>
      <c r="C238" s="185"/>
      <c r="D238" s="185"/>
      <c r="E238" s="185"/>
      <c r="F238" s="185"/>
      <c r="G238" s="185"/>
      <c r="H238" s="185"/>
      <c r="I238" s="185"/>
      <c r="J238" s="185"/>
      <c r="K238" s="185"/>
      <c r="L238" s="185"/>
      <c r="M238" s="185"/>
      <c r="N238" s="185"/>
      <c r="O238" s="185"/>
      <c r="P238" s="185"/>
      <c r="Q238" s="185"/>
      <c r="R238" s="185"/>
      <c r="S238" s="185"/>
      <c r="T238" s="185"/>
      <c r="U238" s="185"/>
      <c r="V238" s="185"/>
      <c r="W238" s="185"/>
      <c r="X238" s="185"/>
      <c r="Y238" s="185"/>
      <c r="Z238" s="185"/>
    </row>
    <row r="239" spans="1:26" ht="16" thickBot="1" x14ac:dyDescent="0.25">
      <c r="A239" s="185"/>
      <c r="B239" s="185"/>
      <c r="C239" s="185"/>
      <c r="D239" s="185"/>
      <c r="E239" s="185"/>
      <c r="F239" s="185"/>
      <c r="G239" s="185"/>
      <c r="H239" s="185"/>
      <c r="I239" s="185"/>
      <c r="J239" s="185"/>
      <c r="K239" s="185"/>
      <c r="L239" s="185"/>
      <c r="M239" s="185"/>
      <c r="N239" s="185"/>
      <c r="O239" s="185"/>
      <c r="P239" s="185"/>
      <c r="Q239" s="185"/>
      <c r="R239" s="185"/>
      <c r="S239" s="185"/>
      <c r="T239" s="185"/>
      <c r="U239" s="185"/>
      <c r="V239" s="185"/>
      <c r="W239" s="185"/>
      <c r="X239" s="185"/>
      <c r="Y239" s="185"/>
      <c r="Z239" s="185"/>
    </row>
    <row r="240" spans="1:26" ht="16" thickBot="1" x14ac:dyDescent="0.25">
      <c r="A240" s="185"/>
      <c r="B240" s="185"/>
      <c r="C240" s="185"/>
      <c r="D240" s="185"/>
      <c r="E240" s="185"/>
      <c r="F240" s="185"/>
      <c r="G240" s="185"/>
      <c r="H240" s="185"/>
      <c r="I240" s="185"/>
      <c r="J240" s="185"/>
      <c r="K240" s="185"/>
      <c r="L240" s="185"/>
      <c r="M240" s="185"/>
      <c r="N240" s="185"/>
      <c r="O240" s="185"/>
      <c r="P240" s="185"/>
      <c r="Q240" s="185"/>
      <c r="R240" s="185"/>
      <c r="S240" s="185"/>
      <c r="T240" s="185"/>
      <c r="U240" s="185"/>
      <c r="V240" s="185"/>
      <c r="W240" s="185"/>
      <c r="X240" s="185"/>
      <c r="Y240" s="185"/>
      <c r="Z240" s="185"/>
    </row>
    <row r="241" spans="1:26" ht="16" thickBot="1" x14ac:dyDescent="0.25">
      <c r="A241" s="185"/>
      <c r="B241" s="185"/>
      <c r="C241" s="185"/>
      <c r="D241" s="185"/>
      <c r="E241" s="185"/>
      <c r="F241" s="185"/>
      <c r="G241" s="185"/>
      <c r="H241" s="185"/>
      <c r="I241" s="185"/>
      <c r="J241" s="185"/>
      <c r="K241" s="185"/>
      <c r="L241" s="185"/>
      <c r="M241" s="185"/>
      <c r="N241" s="185"/>
      <c r="O241" s="185"/>
      <c r="P241" s="185"/>
      <c r="Q241" s="185"/>
      <c r="R241" s="185"/>
      <c r="S241" s="185"/>
      <c r="T241" s="185"/>
      <c r="U241" s="185"/>
      <c r="V241" s="185"/>
      <c r="W241" s="185"/>
      <c r="X241" s="185"/>
      <c r="Y241" s="185"/>
      <c r="Z241" s="185"/>
    </row>
    <row r="242" spans="1:26" ht="16" thickBot="1" x14ac:dyDescent="0.25">
      <c r="A242" s="185"/>
      <c r="B242" s="185"/>
      <c r="C242" s="185"/>
      <c r="D242" s="185"/>
      <c r="E242" s="185"/>
      <c r="F242" s="185"/>
      <c r="G242" s="185"/>
      <c r="H242" s="185"/>
      <c r="I242" s="185"/>
      <c r="J242" s="185"/>
      <c r="K242" s="185"/>
      <c r="L242" s="185"/>
      <c r="M242" s="185"/>
      <c r="N242" s="185"/>
      <c r="O242" s="185"/>
      <c r="P242" s="185"/>
      <c r="Q242" s="185"/>
      <c r="R242" s="185"/>
      <c r="S242" s="185"/>
      <c r="T242" s="185"/>
      <c r="U242" s="185"/>
      <c r="V242" s="185"/>
      <c r="W242" s="185"/>
      <c r="X242" s="185"/>
      <c r="Y242" s="185"/>
      <c r="Z242" s="185"/>
    </row>
    <row r="243" spans="1:26" ht="16" thickBot="1" x14ac:dyDescent="0.25">
      <c r="A243" s="185"/>
      <c r="B243" s="185"/>
      <c r="C243" s="185"/>
      <c r="D243" s="185"/>
      <c r="E243" s="185"/>
      <c r="F243" s="185"/>
      <c r="G243" s="185"/>
      <c r="H243" s="185"/>
      <c r="I243" s="185"/>
      <c r="J243" s="185"/>
      <c r="K243" s="185"/>
      <c r="L243" s="185"/>
      <c r="M243" s="185"/>
      <c r="N243" s="185"/>
      <c r="O243" s="185"/>
      <c r="P243" s="185"/>
      <c r="Q243" s="185"/>
      <c r="R243" s="185"/>
      <c r="S243" s="185"/>
      <c r="T243" s="185"/>
      <c r="U243" s="185"/>
      <c r="V243" s="185"/>
      <c r="W243" s="185"/>
      <c r="X243" s="185"/>
      <c r="Y243" s="185"/>
      <c r="Z243" s="185"/>
    </row>
    <row r="244" spans="1:26" ht="16" thickBot="1" x14ac:dyDescent="0.25">
      <c r="A244" s="185"/>
      <c r="B244" s="185"/>
      <c r="C244" s="185"/>
      <c r="D244" s="185"/>
      <c r="E244" s="185"/>
      <c r="F244" s="185"/>
      <c r="G244" s="185"/>
      <c r="H244" s="185"/>
      <c r="I244" s="185"/>
      <c r="J244" s="185"/>
      <c r="K244" s="185"/>
      <c r="L244" s="185"/>
      <c r="M244" s="185"/>
      <c r="N244" s="185"/>
      <c r="O244" s="185"/>
      <c r="P244" s="185"/>
      <c r="Q244" s="185"/>
      <c r="R244" s="185"/>
      <c r="S244" s="185"/>
      <c r="T244" s="185"/>
      <c r="U244" s="185"/>
      <c r="V244" s="185"/>
      <c r="W244" s="185"/>
      <c r="X244" s="185"/>
      <c r="Y244" s="185"/>
      <c r="Z244" s="185"/>
    </row>
    <row r="245" spans="1:26" ht="16" thickBot="1" x14ac:dyDescent="0.25">
      <c r="A245" s="185"/>
      <c r="B245" s="185"/>
      <c r="C245" s="185"/>
      <c r="D245" s="185"/>
      <c r="E245" s="185"/>
      <c r="F245" s="185"/>
      <c r="G245" s="185"/>
      <c r="H245" s="185"/>
      <c r="I245" s="185"/>
      <c r="J245" s="185"/>
      <c r="K245" s="185"/>
      <c r="L245" s="185"/>
      <c r="M245" s="185"/>
      <c r="N245" s="185"/>
      <c r="O245" s="185"/>
      <c r="P245" s="185"/>
      <c r="Q245" s="185"/>
      <c r="R245" s="185"/>
      <c r="S245" s="185"/>
      <c r="T245" s="185"/>
      <c r="U245" s="185"/>
      <c r="V245" s="185"/>
      <c r="W245" s="185"/>
      <c r="X245" s="185"/>
      <c r="Y245" s="185"/>
      <c r="Z245" s="185"/>
    </row>
    <row r="246" spans="1:26" ht="16" thickBot="1" x14ac:dyDescent="0.25">
      <c r="A246" s="185"/>
      <c r="B246" s="185"/>
      <c r="C246" s="185"/>
      <c r="D246" s="185"/>
      <c r="E246" s="185"/>
      <c r="F246" s="185"/>
      <c r="G246" s="185"/>
      <c r="H246" s="185"/>
      <c r="I246" s="185"/>
      <c r="J246" s="185"/>
      <c r="K246" s="185"/>
      <c r="L246" s="185"/>
      <c r="M246" s="185"/>
      <c r="N246" s="185"/>
      <c r="O246" s="185"/>
      <c r="P246" s="185"/>
      <c r="Q246" s="185"/>
      <c r="R246" s="185"/>
      <c r="S246" s="185"/>
      <c r="T246" s="185"/>
      <c r="U246" s="185"/>
      <c r="V246" s="185"/>
      <c r="W246" s="185"/>
      <c r="X246" s="185"/>
      <c r="Y246" s="185"/>
      <c r="Z246" s="185"/>
    </row>
    <row r="247" spans="1:26" ht="16" thickBot="1" x14ac:dyDescent="0.25">
      <c r="A247" s="185"/>
      <c r="B247" s="185"/>
      <c r="C247" s="185"/>
      <c r="D247" s="185"/>
      <c r="E247" s="185"/>
      <c r="F247" s="185"/>
      <c r="G247" s="185"/>
      <c r="H247" s="185"/>
      <c r="I247" s="185"/>
      <c r="J247" s="185"/>
      <c r="K247" s="185"/>
      <c r="L247" s="185"/>
      <c r="M247" s="185"/>
      <c r="N247" s="185"/>
      <c r="O247" s="185"/>
      <c r="P247" s="185"/>
      <c r="Q247" s="185"/>
      <c r="R247" s="185"/>
      <c r="S247" s="185"/>
      <c r="T247" s="185"/>
      <c r="U247" s="185"/>
      <c r="V247" s="185"/>
      <c r="W247" s="185"/>
      <c r="X247" s="185"/>
      <c r="Y247" s="185"/>
      <c r="Z247" s="185"/>
    </row>
    <row r="248" spans="1:26" ht="16" thickBot="1" x14ac:dyDescent="0.25">
      <c r="A248" s="185"/>
      <c r="B248" s="185"/>
      <c r="C248" s="185"/>
      <c r="D248" s="185"/>
      <c r="E248" s="185"/>
      <c r="F248" s="185"/>
      <c r="G248" s="185"/>
      <c r="H248" s="185"/>
      <c r="I248" s="185"/>
      <c r="J248" s="185"/>
      <c r="K248" s="185"/>
      <c r="L248" s="185"/>
      <c r="M248" s="185"/>
      <c r="N248" s="185"/>
      <c r="O248" s="185"/>
      <c r="P248" s="185"/>
      <c r="Q248" s="185"/>
      <c r="R248" s="185"/>
      <c r="S248" s="185"/>
      <c r="T248" s="185"/>
      <c r="U248" s="185"/>
      <c r="V248" s="185"/>
      <c r="W248" s="185"/>
      <c r="X248" s="185"/>
      <c r="Y248" s="185"/>
      <c r="Z248" s="185"/>
    </row>
    <row r="249" spans="1:26" ht="16" thickBot="1" x14ac:dyDescent="0.25">
      <c r="A249" s="185"/>
      <c r="B249" s="185"/>
      <c r="C249" s="185"/>
      <c r="D249" s="185"/>
      <c r="E249" s="185"/>
      <c r="F249" s="185"/>
      <c r="G249" s="185"/>
      <c r="H249" s="185"/>
      <c r="I249" s="185"/>
      <c r="J249" s="185"/>
      <c r="K249" s="185"/>
      <c r="L249" s="185"/>
      <c r="M249" s="185"/>
      <c r="N249" s="185"/>
      <c r="O249" s="185"/>
      <c r="P249" s="185"/>
      <c r="Q249" s="185"/>
      <c r="R249" s="185"/>
      <c r="S249" s="185"/>
      <c r="T249" s="185"/>
      <c r="U249" s="185"/>
      <c r="V249" s="185"/>
      <c r="W249" s="185"/>
      <c r="X249" s="185"/>
      <c r="Y249" s="185"/>
      <c r="Z249" s="185"/>
    </row>
    <row r="250" spans="1:26" ht="16" thickBot="1" x14ac:dyDescent="0.25">
      <c r="A250" s="185"/>
      <c r="B250" s="185"/>
      <c r="C250" s="185"/>
      <c r="D250" s="185"/>
      <c r="E250" s="185"/>
      <c r="F250" s="185"/>
      <c r="G250" s="185"/>
      <c r="H250" s="185"/>
      <c r="I250" s="185"/>
      <c r="J250" s="185"/>
      <c r="K250" s="185"/>
      <c r="L250" s="185"/>
      <c r="M250" s="185"/>
      <c r="N250" s="185"/>
      <c r="O250" s="185"/>
      <c r="P250" s="185"/>
      <c r="Q250" s="185"/>
      <c r="R250" s="185"/>
      <c r="S250" s="185"/>
      <c r="T250" s="185"/>
      <c r="U250" s="185"/>
      <c r="V250" s="185"/>
      <c r="W250" s="185"/>
      <c r="X250" s="185"/>
      <c r="Y250" s="185"/>
      <c r="Z250" s="185"/>
    </row>
    <row r="251" spans="1:26" ht="16" thickBot="1" x14ac:dyDescent="0.25">
      <c r="A251" s="185"/>
      <c r="B251" s="185"/>
      <c r="C251" s="185"/>
      <c r="D251" s="185"/>
      <c r="E251" s="185"/>
      <c r="F251" s="185"/>
      <c r="G251" s="185"/>
      <c r="H251" s="185"/>
      <c r="I251" s="185"/>
      <c r="J251" s="185"/>
      <c r="K251" s="185"/>
      <c r="L251" s="185"/>
      <c r="M251" s="185"/>
      <c r="N251" s="185"/>
      <c r="O251" s="185"/>
      <c r="P251" s="185"/>
      <c r="Q251" s="185"/>
      <c r="R251" s="185"/>
      <c r="S251" s="185"/>
      <c r="T251" s="185"/>
      <c r="U251" s="185"/>
      <c r="V251" s="185"/>
      <c r="W251" s="185"/>
      <c r="X251" s="185"/>
      <c r="Y251" s="185"/>
      <c r="Z251" s="185"/>
    </row>
    <row r="252" spans="1:26" ht="16" thickBot="1" x14ac:dyDescent="0.25">
      <c r="A252" s="185"/>
      <c r="B252" s="185"/>
      <c r="C252" s="185"/>
      <c r="D252" s="185"/>
      <c r="E252" s="185"/>
      <c r="F252" s="185"/>
      <c r="G252" s="185"/>
      <c r="H252" s="185"/>
      <c r="I252" s="185"/>
      <c r="J252" s="185"/>
      <c r="K252" s="185"/>
      <c r="L252" s="185"/>
      <c r="M252" s="185"/>
      <c r="N252" s="185"/>
      <c r="O252" s="185"/>
      <c r="P252" s="185"/>
      <c r="Q252" s="185"/>
      <c r="R252" s="185"/>
      <c r="S252" s="185"/>
      <c r="T252" s="185"/>
      <c r="U252" s="185"/>
      <c r="V252" s="185"/>
      <c r="W252" s="185"/>
      <c r="X252" s="185"/>
      <c r="Y252" s="185"/>
      <c r="Z252" s="185"/>
    </row>
    <row r="253" spans="1:26" ht="16" thickBot="1" x14ac:dyDescent="0.25">
      <c r="A253" s="185"/>
      <c r="B253" s="185"/>
      <c r="C253" s="185"/>
      <c r="D253" s="185"/>
      <c r="E253" s="185"/>
      <c r="F253" s="185"/>
      <c r="G253" s="185"/>
      <c r="H253" s="185"/>
      <c r="I253" s="185"/>
      <c r="J253" s="185"/>
      <c r="K253" s="185"/>
      <c r="L253" s="185"/>
      <c r="M253" s="185"/>
      <c r="N253" s="185"/>
      <c r="O253" s="185"/>
      <c r="P253" s="185"/>
      <c r="Q253" s="185"/>
      <c r="R253" s="185"/>
      <c r="S253" s="185"/>
      <c r="T253" s="185"/>
      <c r="U253" s="185"/>
      <c r="V253" s="185"/>
      <c r="W253" s="185"/>
      <c r="X253" s="185"/>
      <c r="Y253" s="185"/>
      <c r="Z253" s="185"/>
    </row>
    <row r="254" spans="1:26" ht="16" thickBot="1" x14ac:dyDescent="0.25">
      <c r="A254" s="185"/>
      <c r="B254" s="185"/>
      <c r="C254" s="185"/>
      <c r="D254" s="185"/>
      <c r="E254" s="185"/>
      <c r="F254" s="185"/>
      <c r="G254" s="185"/>
      <c r="H254" s="185"/>
      <c r="I254" s="185"/>
      <c r="J254" s="185"/>
      <c r="K254" s="185"/>
      <c r="L254" s="185"/>
      <c r="M254" s="185"/>
      <c r="N254" s="185"/>
      <c r="O254" s="185"/>
      <c r="P254" s="185"/>
      <c r="Q254" s="185"/>
      <c r="R254" s="185"/>
      <c r="S254" s="185"/>
      <c r="T254" s="185"/>
      <c r="U254" s="185"/>
      <c r="V254" s="185"/>
      <c r="W254" s="185"/>
      <c r="X254" s="185"/>
      <c r="Y254" s="185"/>
      <c r="Z254" s="185"/>
    </row>
    <row r="255" spans="1:26" ht="16" thickBot="1" x14ac:dyDescent="0.25">
      <c r="A255" s="185"/>
      <c r="B255" s="185"/>
      <c r="C255" s="185"/>
      <c r="D255" s="185"/>
      <c r="E255" s="185"/>
      <c r="F255" s="185"/>
      <c r="G255" s="185"/>
      <c r="H255" s="185"/>
      <c r="I255" s="185"/>
      <c r="J255" s="185"/>
      <c r="K255" s="185"/>
      <c r="L255" s="185"/>
      <c r="M255" s="185"/>
      <c r="N255" s="185"/>
      <c r="O255" s="185"/>
      <c r="P255" s="185"/>
      <c r="Q255" s="185"/>
      <c r="R255" s="185"/>
      <c r="S255" s="185"/>
      <c r="T255" s="185"/>
      <c r="U255" s="185"/>
      <c r="V255" s="185"/>
      <c r="W255" s="185"/>
      <c r="X255" s="185"/>
      <c r="Y255" s="185"/>
      <c r="Z255" s="185"/>
    </row>
    <row r="256" spans="1:26" ht="16" thickBot="1" x14ac:dyDescent="0.25">
      <c r="A256" s="185"/>
      <c r="B256" s="185"/>
      <c r="C256" s="185"/>
      <c r="D256" s="185"/>
      <c r="E256" s="185"/>
      <c r="F256" s="185"/>
      <c r="G256" s="185"/>
      <c r="H256" s="185"/>
      <c r="I256" s="185"/>
      <c r="J256" s="185"/>
      <c r="K256" s="185"/>
      <c r="L256" s="185"/>
      <c r="M256" s="185"/>
      <c r="N256" s="185"/>
      <c r="O256" s="185"/>
      <c r="P256" s="185"/>
      <c r="Q256" s="185"/>
      <c r="R256" s="185"/>
      <c r="S256" s="185"/>
      <c r="T256" s="185"/>
      <c r="U256" s="185"/>
      <c r="V256" s="185"/>
      <c r="W256" s="185"/>
      <c r="X256" s="185"/>
      <c r="Y256" s="185"/>
      <c r="Z256" s="185"/>
    </row>
    <row r="257" spans="1:26" ht="16" thickBot="1" x14ac:dyDescent="0.25">
      <c r="A257" s="185"/>
      <c r="B257" s="185"/>
      <c r="C257" s="185"/>
      <c r="D257" s="185"/>
      <c r="E257" s="185"/>
      <c r="F257" s="185"/>
      <c r="G257" s="185"/>
      <c r="H257" s="185"/>
      <c r="I257" s="185"/>
      <c r="J257" s="185"/>
      <c r="K257" s="185"/>
      <c r="L257" s="185"/>
      <c r="M257" s="185"/>
      <c r="N257" s="185"/>
      <c r="O257" s="185"/>
      <c r="P257" s="185"/>
      <c r="Q257" s="185"/>
      <c r="R257" s="185"/>
      <c r="S257" s="185"/>
      <c r="T257" s="185"/>
      <c r="U257" s="185"/>
      <c r="V257" s="185"/>
      <c r="W257" s="185"/>
      <c r="X257" s="185"/>
      <c r="Y257" s="185"/>
      <c r="Z257" s="185"/>
    </row>
    <row r="258" spans="1:26" ht="16" thickBot="1" x14ac:dyDescent="0.25">
      <c r="A258" s="185"/>
      <c r="B258" s="185"/>
      <c r="C258" s="185"/>
      <c r="D258" s="185"/>
      <c r="E258" s="185"/>
      <c r="F258" s="185"/>
      <c r="G258" s="185"/>
      <c r="H258" s="185"/>
      <c r="I258" s="185"/>
      <c r="J258" s="185"/>
      <c r="K258" s="185"/>
      <c r="L258" s="185"/>
      <c r="M258" s="185"/>
      <c r="N258" s="185"/>
      <c r="O258" s="185"/>
      <c r="P258" s="185"/>
      <c r="Q258" s="185"/>
      <c r="R258" s="185"/>
      <c r="S258" s="185"/>
      <c r="T258" s="185"/>
      <c r="U258" s="185"/>
      <c r="V258" s="185"/>
      <c r="W258" s="185"/>
      <c r="X258" s="185"/>
      <c r="Y258" s="185"/>
      <c r="Z258" s="185"/>
    </row>
    <row r="259" spans="1:26" ht="16" thickBot="1" x14ac:dyDescent="0.25">
      <c r="A259" s="185"/>
      <c r="B259" s="185"/>
      <c r="C259" s="185"/>
      <c r="D259" s="185"/>
      <c r="E259" s="185"/>
      <c r="F259" s="185"/>
      <c r="G259" s="185"/>
      <c r="H259" s="185"/>
      <c r="I259" s="185"/>
      <c r="J259" s="185"/>
      <c r="K259" s="185"/>
      <c r="L259" s="185"/>
      <c r="M259" s="185"/>
      <c r="N259" s="185"/>
      <c r="O259" s="185"/>
      <c r="P259" s="185"/>
      <c r="Q259" s="185"/>
      <c r="R259" s="185"/>
      <c r="S259" s="185"/>
      <c r="T259" s="185"/>
      <c r="U259" s="185"/>
      <c r="V259" s="185"/>
      <c r="W259" s="185"/>
      <c r="X259" s="185"/>
      <c r="Y259" s="185"/>
      <c r="Z259" s="185"/>
    </row>
    <row r="260" spans="1:26" ht="16" thickBot="1" x14ac:dyDescent="0.25">
      <c r="A260" s="185"/>
      <c r="B260" s="185"/>
      <c r="C260" s="185"/>
      <c r="D260" s="185"/>
      <c r="E260" s="185"/>
      <c r="F260" s="185"/>
      <c r="G260" s="185"/>
      <c r="H260" s="185"/>
      <c r="I260" s="185"/>
      <c r="J260" s="185"/>
      <c r="K260" s="185"/>
      <c r="L260" s="185"/>
      <c r="M260" s="185"/>
      <c r="N260" s="185"/>
      <c r="O260" s="185"/>
      <c r="P260" s="185"/>
      <c r="Q260" s="185"/>
      <c r="R260" s="185"/>
      <c r="S260" s="185"/>
      <c r="T260" s="185"/>
      <c r="U260" s="185"/>
      <c r="V260" s="185"/>
      <c r="W260" s="185"/>
      <c r="X260" s="185"/>
      <c r="Y260" s="185"/>
      <c r="Z260" s="185"/>
    </row>
    <row r="261" spans="1:26" ht="16" thickBot="1" x14ac:dyDescent="0.25">
      <c r="A261" s="185"/>
      <c r="B261" s="185"/>
      <c r="C261" s="185"/>
      <c r="D261" s="185"/>
      <c r="E261" s="185"/>
      <c r="F261" s="185"/>
      <c r="G261" s="185"/>
      <c r="H261" s="185"/>
      <c r="I261" s="185"/>
      <c r="J261" s="185"/>
      <c r="K261" s="185"/>
      <c r="L261" s="185"/>
      <c r="M261" s="185"/>
      <c r="N261" s="185"/>
      <c r="O261" s="185"/>
      <c r="P261" s="185"/>
      <c r="Q261" s="185"/>
      <c r="R261" s="185"/>
      <c r="S261" s="185"/>
      <c r="T261" s="185"/>
      <c r="U261" s="185"/>
      <c r="V261" s="185"/>
      <c r="W261" s="185"/>
      <c r="X261" s="185"/>
      <c r="Y261" s="185"/>
      <c r="Z261" s="185"/>
    </row>
    <row r="262" spans="1:26" ht="16" thickBot="1" x14ac:dyDescent="0.25">
      <c r="A262" s="185"/>
      <c r="B262" s="185"/>
      <c r="C262" s="185"/>
      <c r="D262" s="185"/>
      <c r="E262" s="185"/>
      <c r="F262" s="185"/>
      <c r="G262" s="185"/>
      <c r="H262" s="185"/>
      <c r="I262" s="185"/>
      <c r="J262" s="185"/>
      <c r="K262" s="185"/>
      <c r="L262" s="185"/>
      <c r="M262" s="185"/>
      <c r="N262" s="185"/>
      <c r="O262" s="185"/>
      <c r="P262" s="185"/>
      <c r="Q262" s="185"/>
      <c r="R262" s="185"/>
      <c r="S262" s="185"/>
      <c r="T262" s="185"/>
      <c r="U262" s="185"/>
      <c r="V262" s="185"/>
      <c r="W262" s="185"/>
      <c r="X262" s="185"/>
      <c r="Y262" s="185"/>
      <c r="Z262" s="185"/>
    </row>
    <row r="263" spans="1:26" ht="16" thickBot="1" x14ac:dyDescent="0.25">
      <c r="A263" s="185"/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5"/>
      <c r="O263" s="185"/>
      <c r="P263" s="185"/>
      <c r="Q263" s="185"/>
      <c r="R263" s="185"/>
      <c r="S263" s="185"/>
      <c r="T263" s="185"/>
      <c r="U263" s="185"/>
      <c r="V263" s="185"/>
      <c r="W263" s="185"/>
      <c r="X263" s="185"/>
      <c r="Y263" s="185"/>
      <c r="Z263" s="185"/>
    </row>
    <row r="264" spans="1:26" ht="16" thickBot="1" x14ac:dyDescent="0.25">
      <c r="A264" s="185"/>
      <c r="B264" s="185"/>
      <c r="C264" s="185"/>
      <c r="D264" s="185"/>
      <c r="E264" s="185"/>
      <c r="F264" s="185"/>
      <c r="G264" s="185"/>
      <c r="H264" s="185"/>
      <c r="I264" s="185"/>
      <c r="J264" s="185"/>
      <c r="K264" s="185"/>
      <c r="L264" s="185"/>
      <c r="M264" s="185"/>
      <c r="N264" s="185"/>
      <c r="O264" s="185"/>
      <c r="P264" s="185"/>
      <c r="Q264" s="185"/>
      <c r="R264" s="185"/>
      <c r="S264" s="185"/>
      <c r="T264" s="185"/>
      <c r="U264" s="185"/>
      <c r="V264" s="185"/>
      <c r="W264" s="185"/>
      <c r="X264" s="185"/>
      <c r="Y264" s="185"/>
      <c r="Z264" s="185"/>
    </row>
    <row r="265" spans="1:26" ht="16" thickBot="1" x14ac:dyDescent="0.25">
      <c r="A265" s="185"/>
      <c r="B265" s="185"/>
      <c r="C265" s="185"/>
      <c r="D265" s="185"/>
      <c r="E265" s="185"/>
      <c r="F265" s="185"/>
      <c r="G265" s="185"/>
      <c r="H265" s="185"/>
      <c r="I265" s="185"/>
      <c r="J265" s="185"/>
      <c r="K265" s="185"/>
      <c r="L265" s="185"/>
      <c r="M265" s="185"/>
      <c r="N265" s="185"/>
      <c r="O265" s="185"/>
      <c r="P265" s="185"/>
      <c r="Q265" s="185"/>
      <c r="R265" s="185"/>
      <c r="S265" s="185"/>
      <c r="T265" s="185"/>
      <c r="U265" s="185"/>
      <c r="V265" s="185"/>
      <c r="W265" s="185"/>
      <c r="X265" s="185"/>
      <c r="Y265" s="185"/>
      <c r="Z265" s="185"/>
    </row>
    <row r="266" spans="1:26" ht="16" thickBot="1" x14ac:dyDescent="0.25">
      <c r="A266" s="185"/>
      <c r="B266" s="185"/>
      <c r="C266" s="185"/>
      <c r="D266" s="185"/>
      <c r="E266" s="185"/>
      <c r="F266" s="185"/>
      <c r="G266" s="185"/>
      <c r="H266" s="185"/>
      <c r="I266" s="185"/>
      <c r="J266" s="185"/>
      <c r="K266" s="185"/>
      <c r="L266" s="185"/>
      <c r="M266" s="185"/>
      <c r="N266" s="185"/>
      <c r="O266" s="185"/>
      <c r="P266" s="185"/>
      <c r="Q266" s="185"/>
      <c r="R266" s="185"/>
      <c r="S266" s="185"/>
      <c r="T266" s="185"/>
      <c r="U266" s="185"/>
      <c r="V266" s="185"/>
      <c r="W266" s="185"/>
      <c r="X266" s="185"/>
      <c r="Y266" s="185"/>
      <c r="Z266" s="185"/>
    </row>
    <row r="267" spans="1:26" ht="16" thickBot="1" x14ac:dyDescent="0.25">
      <c r="A267" s="185"/>
      <c r="B267" s="185"/>
      <c r="C267" s="185"/>
      <c r="D267" s="185"/>
      <c r="E267" s="185"/>
      <c r="F267" s="185"/>
      <c r="G267" s="185"/>
      <c r="H267" s="185"/>
      <c r="I267" s="185"/>
      <c r="J267" s="185"/>
      <c r="K267" s="185"/>
      <c r="L267" s="185"/>
      <c r="M267" s="185"/>
      <c r="N267" s="185"/>
      <c r="O267" s="185"/>
      <c r="P267" s="185"/>
      <c r="Q267" s="185"/>
      <c r="R267" s="185"/>
      <c r="S267" s="185"/>
      <c r="T267" s="185"/>
      <c r="U267" s="185"/>
      <c r="V267" s="185"/>
      <c r="W267" s="185"/>
      <c r="X267" s="185"/>
      <c r="Y267" s="185"/>
      <c r="Z267" s="185"/>
    </row>
    <row r="268" spans="1:26" ht="16" thickBot="1" x14ac:dyDescent="0.25">
      <c r="A268" s="185"/>
      <c r="B268" s="185"/>
      <c r="C268" s="185"/>
      <c r="D268" s="185"/>
      <c r="E268" s="185"/>
      <c r="F268" s="185"/>
      <c r="G268" s="185"/>
      <c r="H268" s="185"/>
      <c r="I268" s="185"/>
      <c r="J268" s="185"/>
      <c r="K268" s="185"/>
      <c r="L268" s="185"/>
      <c r="M268" s="185"/>
      <c r="N268" s="185"/>
      <c r="O268" s="185"/>
      <c r="P268" s="185"/>
      <c r="Q268" s="185"/>
      <c r="R268" s="185"/>
      <c r="S268" s="185"/>
      <c r="T268" s="185"/>
      <c r="U268" s="185"/>
      <c r="V268" s="185"/>
      <c r="W268" s="185"/>
      <c r="X268" s="185"/>
      <c r="Y268" s="185"/>
      <c r="Z268" s="185"/>
    </row>
    <row r="269" spans="1:26" ht="16" thickBot="1" x14ac:dyDescent="0.25">
      <c r="A269" s="185"/>
      <c r="B269" s="185"/>
      <c r="C269" s="185"/>
      <c r="D269" s="185"/>
      <c r="E269" s="185"/>
      <c r="F269" s="185"/>
      <c r="G269" s="185"/>
      <c r="H269" s="185"/>
      <c r="I269" s="185"/>
      <c r="J269" s="185"/>
      <c r="K269" s="185"/>
      <c r="L269" s="185"/>
      <c r="M269" s="185"/>
      <c r="N269" s="185"/>
      <c r="O269" s="185"/>
      <c r="P269" s="185"/>
      <c r="Q269" s="185"/>
      <c r="R269" s="185"/>
      <c r="S269" s="185"/>
      <c r="T269" s="185"/>
      <c r="U269" s="185"/>
      <c r="V269" s="185"/>
      <c r="W269" s="185"/>
      <c r="X269" s="185"/>
      <c r="Y269" s="185"/>
      <c r="Z269" s="185"/>
    </row>
    <row r="270" spans="1:26" ht="16" thickBot="1" x14ac:dyDescent="0.25">
      <c r="A270" s="185"/>
      <c r="B270" s="185"/>
      <c r="C270" s="185"/>
      <c r="D270" s="185"/>
      <c r="E270" s="185"/>
      <c r="F270" s="185"/>
      <c r="G270" s="185"/>
      <c r="H270" s="185"/>
      <c r="I270" s="185"/>
      <c r="J270" s="185"/>
      <c r="K270" s="185"/>
      <c r="L270" s="185"/>
      <c r="M270" s="185"/>
      <c r="N270" s="185"/>
      <c r="O270" s="185"/>
      <c r="P270" s="185"/>
      <c r="Q270" s="185"/>
      <c r="R270" s="185"/>
      <c r="S270" s="185"/>
      <c r="T270" s="185"/>
      <c r="U270" s="185"/>
      <c r="V270" s="185"/>
      <c r="W270" s="185"/>
      <c r="X270" s="185"/>
      <c r="Y270" s="185"/>
      <c r="Z270" s="185"/>
    </row>
    <row r="271" spans="1:26" ht="16" thickBot="1" x14ac:dyDescent="0.25">
      <c r="A271" s="185"/>
      <c r="B271" s="185"/>
      <c r="C271" s="185"/>
      <c r="D271" s="185"/>
      <c r="E271" s="185"/>
      <c r="F271" s="185"/>
      <c r="G271" s="185"/>
      <c r="H271" s="185"/>
      <c r="I271" s="185"/>
      <c r="J271" s="185"/>
      <c r="K271" s="185"/>
      <c r="L271" s="185"/>
      <c r="M271" s="185"/>
      <c r="N271" s="185"/>
      <c r="O271" s="185"/>
      <c r="P271" s="185"/>
      <c r="Q271" s="185"/>
      <c r="R271" s="185"/>
      <c r="S271" s="185"/>
      <c r="T271" s="185"/>
      <c r="U271" s="185"/>
      <c r="V271" s="185"/>
      <c r="W271" s="185"/>
      <c r="X271" s="185"/>
      <c r="Y271" s="185"/>
      <c r="Z271" s="185"/>
    </row>
    <row r="272" spans="1:26" ht="16" thickBot="1" x14ac:dyDescent="0.25">
      <c r="A272" s="185"/>
      <c r="B272" s="185"/>
      <c r="C272" s="185"/>
      <c r="D272" s="185"/>
      <c r="E272" s="185"/>
      <c r="F272" s="185"/>
      <c r="G272" s="185"/>
      <c r="H272" s="185"/>
      <c r="I272" s="185"/>
      <c r="J272" s="185"/>
      <c r="K272" s="185"/>
      <c r="L272" s="185"/>
      <c r="M272" s="185"/>
      <c r="N272" s="185"/>
      <c r="O272" s="185"/>
      <c r="P272" s="185"/>
      <c r="Q272" s="185"/>
      <c r="R272" s="185"/>
      <c r="S272" s="185"/>
      <c r="T272" s="185"/>
      <c r="U272" s="185"/>
      <c r="V272" s="185"/>
      <c r="W272" s="185"/>
      <c r="X272" s="185"/>
      <c r="Y272" s="185"/>
      <c r="Z272" s="185"/>
    </row>
    <row r="273" spans="1:26" ht="16" thickBot="1" x14ac:dyDescent="0.25">
      <c r="A273" s="185"/>
      <c r="B273" s="185"/>
      <c r="C273" s="185"/>
      <c r="D273" s="185"/>
      <c r="E273" s="185"/>
      <c r="F273" s="185"/>
      <c r="G273" s="185"/>
      <c r="H273" s="185"/>
      <c r="I273" s="185"/>
      <c r="J273" s="185"/>
      <c r="K273" s="185"/>
      <c r="L273" s="185"/>
      <c r="M273" s="185"/>
      <c r="N273" s="185"/>
      <c r="O273" s="185"/>
      <c r="P273" s="185"/>
      <c r="Q273" s="185"/>
      <c r="R273" s="185"/>
      <c r="S273" s="185"/>
      <c r="T273" s="185"/>
      <c r="U273" s="185"/>
      <c r="V273" s="185"/>
      <c r="W273" s="185"/>
      <c r="X273" s="185"/>
      <c r="Y273" s="185"/>
      <c r="Z273" s="185"/>
    </row>
    <row r="274" spans="1:26" ht="16" thickBot="1" x14ac:dyDescent="0.25">
      <c r="A274" s="185"/>
      <c r="B274" s="185"/>
      <c r="C274" s="185"/>
      <c r="D274" s="185"/>
      <c r="E274" s="185"/>
      <c r="F274" s="185"/>
      <c r="G274" s="185"/>
      <c r="H274" s="185"/>
      <c r="I274" s="185"/>
      <c r="J274" s="185"/>
      <c r="K274" s="185"/>
      <c r="L274" s="185"/>
      <c r="M274" s="185"/>
      <c r="N274" s="185"/>
      <c r="O274" s="185"/>
      <c r="P274" s="185"/>
      <c r="Q274" s="185"/>
      <c r="R274" s="185"/>
      <c r="S274" s="185"/>
      <c r="T274" s="185"/>
      <c r="U274" s="185"/>
      <c r="V274" s="185"/>
      <c r="W274" s="185"/>
      <c r="X274" s="185"/>
      <c r="Y274" s="185"/>
      <c r="Z274" s="185"/>
    </row>
    <row r="275" spans="1:26" ht="16" thickBot="1" x14ac:dyDescent="0.25">
      <c r="A275" s="185"/>
      <c r="B275" s="185"/>
      <c r="C275" s="185"/>
      <c r="D275" s="185"/>
      <c r="E275" s="185"/>
      <c r="F275" s="185"/>
      <c r="G275" s="185"/>
      <c r="H275" s="185"/>
      <c r="I275" s="185"/>
      <c r="J275" s="185"/>
      <c r="K275" s="185"/>
      <c r="L275" s="185"/>
      <c r="M275" s="185"/>
      <c r="N275" s="185"/>
      <c r="O275" s="185"/>
      <c r="P275" s="185"/>
      <c r="Q275" s="185"/>
      <c r="R275" s="185"/>
      <c r="S275" s="185"/>
      <c r="T275" s="185"/>
      <c r="U275" s="185"/>
      <c r="V275" s="185"/>
      <c r="W275" s="185"/>
      <c r="X275" s="185"/>
      <c r="Y275" s="185"/>
      <c r="Z275" s="185"/>
    </row>
    <row r="276" spans="1:26" ht="16" thickBot="1" x14ac:dyDescent="0.25">
      <c r="A276" s="185"/>
      <c r="B276" s="185"/>
      <c r="C276" s="185"/>
      <c r="D276" s="185"/>
      <c r="E276" s="185"/>
      <c r="F276" s="185"/>
      <c r="G276" s="185"/>
      <c r="H276" s="185"/>
      <c r="I276" s="185"/>
      <c r="J276" s="185"/>
      <c r="K276" s="185"/>
      <c r="L276" s="185"/>
      <c r="M276" s="185"/>
      <c r="N276" s="185"/>
      <c r="O276" s="185"/>
      <c r="P276" s="185"/>
      <c r="Q276" s="185"/>
      <c r="R276" s="185"/>
      <c r="S276" s="185"/>
      <c r="T276" s="185"/>
      <c r="U276" s="185"/>
      <c r="V276" s="185"/>
      <c r="W276" s="185"/>
      <c r="X276" s="185"/>
      <c r="Y276" s="185"/>
      <c r="Z276" s="185"/>
    </row>
    <row r="277" spans="1:26" ht="16" thickBot="1" x14ac:dyDescent="0.25">
      <c r="A277" s="185"/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5"/>
      <c r="O277" s="185"/>
      <c r="P277" s="185"/>
      <c r="Q277" s="185"/>
      <c r="R277" s="185"/>
      <c r="S277" s="185"/>
      <c r="T277" s="185"/>
      <c r="U277" s="185"/>
      <c r="V277" s="185"/>
      <c r="W277" s="185"/>
      <c r="X277" s="185"/>
      <c r="Y277" s="185"/>
      <c r="Z277" s="185"/>
    </row>
    <row r="278" spans="1:26" ht="16" thickBot="1" x14ac:dyDescent="0.25">
      <c r="A278" s="185"/>
      <c r="B278" s="185"/>
      <c r="C278" s="185"/>
      <c r="D278" s="185"/>
      <c r="E278" s="185"/>
      <c r="F278" s="185"/>
      <c r="G278" s="185"/>
      <c r="H278" s="185"/>
      <c r="I278" s="185"/>
      <c r="J278" s="185"/>
      <c r="K278" s="185"/>
      <c r="L278" s="185"/>
      <c r="M278" s="185"/>
      <c r="N278" s="185"/>
      <c r="O278" s="185"/>
      <c r="P278" s="185"/>
      <c r="Q278" s="185"/>
      <c r="R278" s="185"/>
      <c r="S278" s="185"/>
      <c r="T278" s="185"/>
      <c r="U278" s="185"/>
      <c r="V278" s="185"/>
      <c r="W278" s="185"/>
      <c r="X278" s="185"/>
      <c r="Y278" s="185"/>
      <c r="Z278" s="185"/>
    </row>
    <row r="279" spans="1:26" ht="16" thickBot="1" x14ac:dyDescent="0.25">
      <c r="A279" s="185"/>
      <c r="B279" s="185"/>
      <c r="C279" s="185"/>
      <c r="D279" s="185"/>
      <c r="E279" s="185"/>
      <c r="F279" s="185"/>
      <c r="G279" s="185"/>
      <c r="H279" s="185"/>
      <c r="I279" s="185"/>
      <c r="J279" s="185"/>
      <c r="K279" s="185"/>
      <c r="L279" s="185"/>
      <c r="M279" s="185"/>
      <c r="N279" s="185"/>
      <c r="O279" s="185"/>
      <c r="P279" s="185"/>
      <c r="Q279" s="185"/>
      <c r="R279" s="185"/>
      <c r="S279" s="185"/>
      <c r="T279" s="185"/>
      <c r="U279" s="185"/>
      <c r="V279" s="185"/>
      <c r="W279" s="185"/>
      <c r="X279" s="185"/>
      <c r="Y279" s="185"/>
      <c r="Z279" s="185"/>
    </row>
    <row r="280" spans="1:26" ht="16" thickBot="1" x14ac:dyDescent="0.25">
      <c r="A280" s="185"/>
      <c r="B280" s="185"/>
      <c r="C280" s="185"/>
      <c r="D280" s="185"/>
      <c r="E280" s="185"/>
      <c r="F280" s="185"/>
      <c r="G280" s="185"/>
      <c r="H280" s="185"/>
      <c r="I280" s="185"/>
      <c r="J280" s="185"/>
      <c r="K280" s="185"/>
      <c r="L280" s="185"/>
      <c r="M280" s="185"/>
      <c r="N280" s="185"/>
      <c r="O280" s="185"/>
      <c r="P280" s="185"/>
      <c r="Q280" s="185"/>
      <c r="R280" s="185"/>
      <c r="S280" s="185"/>
      <c r="T280" s="185"/>
      <c r="U280" s="185"/>
      <c r="V280" s="185"/>
      <c r="W280" s="185"/>
      <c r="X280" s="185"/>
      <c r="Y280" s="185"/>
      <c r="Z280" s="185"/>
    </row>
    <row r="281" spans="1:26" ht="16" thickBot="1" x14ac:dyDescent="0.25">
      <c r="A281" s="185"/>
      <c r="B281" s="185"/>
      <c r="C281" s="185"/>
      <c r="D281" s="185"/>
      <c r="E281" s="185"/>
      <c r="F281" s="185"/>
      <c r="G281" s="185"/>
      <c r="H281" s="185"/>
      <c r="I281" s="185"/>
      <c r="J281" s="185"/>
      <c r="K281" s="185"/>
      <c r="L281" s="185"/>
      <c r="M281" s="185"/>
      <c r="N281" s="185"/>
      <c r="O281" s="185"/>
      <c r="P281" s="185"/>
      <c r="Q281" s="185"/>
      <c r="R281" s="185"/>
      <c r="S281" s="185"/>
      <c r="T281" s="185"/>
      <c r="U281" s="185"/>
      <c r="V281" s="185"/>
      <c r="W281" s="185"/>
      <c r="X281" s="185"/>
      <c r="Y281" s="185"/>
      <c r="Z281" s="185"/>
    </row>
    <row r="282" spans="1:26" ht="16" thickBot="1" x14ac:dyDescent="0.25">
      <c r="A282" s="185"/>
      <c r="B282" s="185"/>
      <c r="C282" s="185"/>
      <c r="D282" s="185"/>
      <c r="E282" s="185"/>
      <c r="F282" s="185"/>
      <c r="G282" s="185"/>
      <c r="H282" s="185"/>
      <c r="I282" s="185"/>
      <c r="J282" s="185"/>
      <c r="K282" s="185"/>
      <c r="L282" s="185"/>
      <c r="M282" s="185"/>
      <c r="N282" s="185"/>
      <c r="O282" s="185"/>
      <c r="P282" s="185"/>
      <c r="Q282" s="185"/>
      <c r="R282" s="185"/>
      <c r="S282" s="185"/>
      <c r="T282" s="185"/>
      <c r="U282" s="185"/>
      <c r="V282" s="185"/>
      <c r="W282" s="185"/>
      <c r="X282" s="185"/>
      <c r="Y282" s="185"/>
      <c r="Z282" s="185"/>
    </row>
    <row r="283" spans="1:26" ht="16" thickBot="1" x14ac:dyDescent="0.25">
      <c r="A283" s="185"/>
      <c r="B283" s="185"/>
      <c r="C283" s="185"/>
      <c r="D283" s="185"/>
      <c r="E283" s="185"/>
      <c r="F283" s="185"/>
      <c r="G283" s="185"/>
      <c r="H283" s="185"/>
      <c r="I283" s="185"/>
      <c r="J283" s="185"/>
      <c r="K283" s="185"/>
      <c r="L283" s="185"/>
      <c r="M283" s="185"/>
      <c r="N283" s="185"/>
      <c r="O283" s="185"/>
      <c r="P283" s="185"/>
      <c r="Q283" s="185"/>
      <c r="R283" s="185"/>
      <c r="S283" s="185"/>
      <c r="T283" s="185"/>
      <c r="U283" s="185"/>
      <c r="V283" s="185"/>
      <c r="W283" s="185"/>
      <c r="X283" s="185"/>
      <c r="Y283" s="185"/>
      <c r="Z283" s="185"/>
    </row>
    <row r="284" spans="1:26" ht="16" thickBot="1" x14ac:dyDescent="0.25">
      <c r="A284" s="185"/>
      <c r="B284" s="185"/>
      <c r="C284" s="185"/>
      <c r="D284" s="185"/>
      <c r="E284" s="185"/>
      <c r="F284" s="185"/>
      <c r="G284" s="185"/>
      <c r="H284" s="185"/>
      <c r="I284" s="185"/>
      <c r="J284" s="185"/>
      <c r="K284" s="185"/>
      <c r="L284" s="185"/>
      <c r="M284" s="185"/>
      <c r="N284" s="185"/>
      <c r="O284" s="185"/>
      <c r="P284" s="185"/>
      <c r="Q284" s="185"/>
      <c r="R284" s="185"/>
      <c r="S284" s="185"/>
      <c r="T284" s="185"/>
      <c r="U284" s="185"/>
      <c r="V284" s="185"/>
      <c r="W284" s="185"/>
      <c r="X284" s="185"/>
      <c r="Y284" s="185"/>
      <c r="Z284" s="185"/>
    </row>
    <row r="285" spans="1:26" ht="16" thickBot="1" x14ac:dyDescent="0.25">
      <c r="A285" s="185"/>
      <c r="B285" s="185"/>
      <c r="C285" s="185"/>
      <c r="D285" s="185"/>
      <c r="E285" s="185"/>
      <c r="F285" s="185"/>
      <c r="G285" s="185"/>
      <c r="H285" s="185"/>
      <c r="I285" s="185"/>
      <c r="J285" s="185"/>
      <c r="K285" s="185"/>
      <c r="L285" s="185"/>
      <c r="M285" s="185"/>
      <c r="N285" s="185"/>
      <c r="O285" s="185"/>
      <c r="P285" s="185"/>
      <c r="Q285" s="185"/>
      <c r="R285" s="185"/>
      <c r="S285" s="185"/>
      <c r="T285" s="185"/>
      <c r="U285" s="185"/>
      <c r="V285" s="185"/>
      <c r="W285" s="185"/>
      <c r="X285" s="185"/>
      <c r="Y285" s="185"/>
      <c r="Z285" s="185"/>
    </row>
    <row r="286" spans="1:26" ht="16" thickBot="1" x14ac:dyDescent="0.25">
      <c r="A286" s="185"/>
      <c r="B286" s="185"/>
      <c r="C286" s="185"/>
      <c r="D286" s="185"/>
      <c r="E286" s="185"/>
      <c r="F286" s="185"/>
      <c r="G286" s="185"/>
      <c r="H286" s="185"/>
      <c r="I286" s="185"/>
      <c r="J286" s="185"/>
      <c r="K286" s="185"/>
      <c r="L286" s="185"/>
      <c r="M286" s="185"/>
      <c r="N286" s="185"/>
      <c r="O286" s="185"/>
      <c r="P286" s="185"/>
      <c r="Q286" s="185"/>
      <c r="R286" s="185"/>
      <c r="S286" s="185"/>
      <c r="T286" s="185"/>
      <c r="U286" s="185"/>
      <c r="V286" s="185"/>
      <c r="W286" s="185"/>
      <c r="X286" s="185"/>
      <c r="Y286" s="185"/>
      <c r="Z286" s="185"/>
    </row>
    <row r="287" spans="1:26" ht="16" thickBot="1" x14ac:dyDescent="0.25">
      <c r="A287" s="185"/>
      <c r="B287" s="185"/>
      <c r="C287" s="185"/>
      <c r="D287" s="185"/>
      <c r="E287" s="185"/>
      <c r="F287" s="185"/>
      <c r="G287" s="185"/>
      <c r="H287" s="185"/>
      <c r="I287" s="185"/>
      <c r="J287" s="185"/>
      <c r="K287" s="185"/>
      <c r="L287" s="185"/>
      <c r="M287" s="185"/>
      <c r="N287" s="185"/>
      <c r="O287" s="185"/>
      <c r="P287" s="185"/>
      <c r="Q287" s="185"/>
      <c r="R287" s="185"/>
      <c r="S287" s="185"/>
      <c r="T287" s="185"/>
      <c r="U287" s="185"/>
      <c r="V287" s="185"/>
      <c r="W287" s="185"/>
      <c r="X287" s="185"/>
      <c r="Y287" s="185"/>
      <c r="Z287" s="185"/>
    </row>
    <row r="288" spans="1:26" ht="16" thickBot="1" x14ac:dyDescent="0.25">
      <c r="A288" s="185"/>
      <c r="B288" s="185"/>
      <c r="C288" s="185"/>
      <c r="D288" s="185"/>
      <c r="E288" s="185"/>
      <c r="F288" s="185"/>
      <c r="G288" s="185"/>
      <c r="H288" s="185"/>
      <c r="I288" s="185"/>
      <c r="J288" s="185"/>
      <c r="K288" s="185"/>
      <c r="L288" s="185"/>
      <c r="M288" s="185"/>
      <c r="N288" s="185"/>
      <c r="O288" s="185"/>
      <c r="P288" s="185"/>
      <c r="Q288" s="185"/>
      <c r="R288" s="185"/>
      <c r="S288" s="185"/>
      <c r="T288" s="185"/>
      <c r="U288" s="185"/>
      <c r="V288" s="185"/>
      <c r="W288" s="185"/>
      <c r="X288" s="185"/>
      <c r="Y288" s="185"/>
      <c r="Z288" s="185"/>
    </row>
    <row r="289" spans="1:26" ht="16" thickBot="1" x14ac:dyDescent="0.25">
      <c r="A289" s="185"/>
      <c r="B289" s="185"/>
      <c r="C289" s="185"/>
      <c r="D289" s="185"/>
      <c r="E289" s="185"/>
      <c r="F289" s="185"/>
      <c r="G289" s="185"/>
      <c r="H289" s="185"/>
      <c r="I289" s="185"/>
      <c r="J289" s="185"/>
      <c r="K289" s="185"/>
      <c r="L289" s="185"/>
      <c r="M289" s="185"/>
      <c r="N289" s="185"/>
      <c r="O289" s="185"/>
      <c r="P289" s="185"/>
      <c r="Q289" s="185"/>
      <c r="R289" s="185"/>
      <c r="S289" s="185"/>
      <c r="T289" s="185"/>
      <c r="U289" s="185"/>
      <c r="V289" s="185"/>
      <c r="W289" s="185"/>
      <c r="X289" s="185"/>
      <c r="Y289" s="185"/>
      <c r="Z289" s="185"/>
    </row>
    <row r="290" spans="1:26" ht="16" thickBot="1" x14ac:dyDescent="0.25">
      <c r="A290" s="185"/>
      <c r="B290" s="185"/>
      <c r="C290" s="185"/>
      <c r="D290" s="185"/>
      <c r="E290" s="185"/>
      <c r="F290" s="185"/>
      <c r="G290" s="185"/>
      <c r="H290" s="185"/>
      <c r="I290" s="185"/>
      <c r="J290" s="185"/>
      <c r="K290" s="185"/>
      <c r="L290" s="185"/>
      <c r="M290" s="185"/>
      <c r="N290" s="185"/>
      <c r="O290" s="185"/>
      <c r="P290" s="185"/>
      <c r="Q290" s="185"/>
      <c r="R290" s="185"/>
      <c r="S290" s="185"/>
      <c r="T290" s="185"/>
      <c r="U290" s="185"/>
      <c r="V290" s="185"/>
      <c r="W290" s="185"/>
      <c r="X290" s="185"/>
      <c r="Y290" s="185"/>
      <c r="Z290" s="185"/>
    </row>
    <row r="291" spans="1:26" ht="16" thickBot="1" x14ac:dyDescent="0.25">
      <c r="A291" s="185"/>
      <c r="B291" s="185"/>
      <c r="C291" s="185"/>
      <c r="D291" s="185"/>
      <c r="E291" s="185"/>
      <c r="F291" s="185"/>
      <c r="G291" s="185"/>
      <c r="H291" s="185"/>
      <c r="I291" s="185"/>
      <c r="J291" s="185"/>
      <c r="K291" s="185"/>
      <c r="L291" s="185"/>
      <c r="M291" s="185"/>
      <c r="N291" s="185"/>
      <c r="O291" s="185"/>
      <c r="P291" s="185"/>
      <c r="Q291" s="185"/>
      <c r="R291" s="185"/>
      <c r="S291" s="185"/>
      <c r="T291" s="185"/>
      <c r="U291" s="185"/>
      <c r="V291" s="185"/>
      <c r="W291" s="185"/>
      <c r="X291" s="185"/>
      <c r="Y291" s="185"/>
      <c r="Z291" s="185"/>
    </row>
    <row r="292" spans="1:26" ht="16" thickBot="1" x14ac:dyDescent="0.25">
      <c r="A292" s="185"/>
      <c r="B292" s="185"/>
      <c r="C292" s="185"/>
      <c r="D292" s="185"/>
      <c r="E292" s="185"/>
      <c r="F292" s="185"/>
      <c r="G292" s="185"/>
      <c r="H292" s="185"/>
      <c r="I292" s="185"/>
      <c r="J292" s="185"/>
      <c r="K292" s="185"/>
      <c r="L292" s="185"/>
      <c r="M292" s="185"/>
      <c r="N292" s="185"/>
      <c r="O292" s="185"/>
      <c r="P292" s="185"/>
      <c r="Q292" s="185"/>
      <c r="R292" s="185"/>
      <c r="S292" s="185"/>
      <c r="T292" s="185"/>
      <c r="U292" s="185"/>
      <c r="V292" s="185"/>
      <c r="W292" s="185"/>
      <c r="X292" s="185"/>
      <c r="Y292" s="185"/>
      <c r="Z292" s="185"/>
    </row>
    <row r="293" spans="1:26" ht="16" thickBot="1" x14ac:dyDescent="0.25">
      <c r="A293" s="185"/>
      <c r="B293" s="185"/>
      <c r="C293" s="185"/>
      <c r="D293" s="185"/>
      <c r="E293" s="185"/>
      <c r="F293" s="185"/>
      <c r="G293" s="185"/>
      <c r="H293" s="185"/>
      <c r="I293" s="185"/>
      <c r="J293" s="185"/>
      <c r="K293" s="185"/>
      <c r="L293" s="185"/>
      <c r="M293" s="185"/>
      <c r="N293" s="185"/>
      <c r="O293" s="185"/>
      <c r="P293" s="185"/>
      <c r="Q293" s="185"/>
      <c r="R293" s="185"/>
      <c r="S293" s="185"/>
      <c r="T293" s="185"/>
      <c r="U293" s="185"/>
      <c r="V293" s="185"/>
      <c r="W293" s="185"/>
      <c r="X293" s="185"/>
      <c r="Y293" s="185"/>
      <c r="Z293" s="185"/>
    </row>
    <row r="294" spans="1:26" ht="16" thickBot="1" x14ac:dyDescent="0.25">
      <c r="A294" s="185"/>
      <c r="B294" s="185"/>
      <c r="C294" s="185"/>
      <c r="D294" s="185"/>
      <c r="E294" s="185"/>
      <c r="F294" s="185"/>
      <c r="G294" s="185"/>
      <c r="H294" s="185"/>
      <c r="I294" s="185"/>
      <c r="J294" s="185"/>
      <c r="K294" s="185"/>
      <c r="L294" s="185"/>
      <c r="M294" s="185"/>
      <c r="N294" s="185"/>
      <c r="O294" s="185"/>
      <c r="P294" s="185"/>
      <c r="Q294" s="185"/>
      <c r="R294" s="185"/>
      <c r="S294" s="185"/>
      <c r="T294" s="185"/>
      <c r="U294" s="185"/>
      <c r="V294" s="185"/>
      <c r="W294" s="185"/>
      <c r="X294" s="185"/>
      <c r="Y294" s="185"/>
      <c r="Z294" s="185"/>
    </row>
    <row r="295" spans="1:26" ht="16" thickBot="1" x14ac:dyDescent="0.25">
      <c r="A295" s="185"/>
      <c r="B295" s="185"/>
      <c r="C295" s="185"/>
      <c r="D295" s="185"/>
      <c r="E295" s="185"/>
      <c r="F295" s="185"/>
      <c r="G295" s="185"/>
      <c r="H295" s="185"/>
      <c r="I295" s="185"/>
      <c r="J295" s="185"/>
      <c r="K295" s="185"/>
      <c r="L295" s="185"/>
      <c r="M295" s="185"/>
      <c r="N295" s="185"/>
      <c r="O295" s="185"/>
      <c r="P295" s="185"/>
      <c r="Q295" s="185"/>
      <c r="R295" s="185"/>
      <c r="S295" s="185"/>
      <c r="T295" s="185"/>
      <c r="U295" s="185"/>
      <c r="V295" s="185"/>
      <c r="W295" s="185"/>
      <c r="X295" s="185"/>
      <c r="Y295" s="185"/>
      <c r="Z295" s="185"/>
    </row>
    <row r="296" spans="1:26" ht="16" thickBot="1" x14ac:dyDescent="0.25">
      <c r="A296" s="185"/>
      <c r="B296" s="185"/>
      <c r="C296" s="185"/>
      <c r="D296" s="185"/>
      <c r="E296" s="185"/>
      <c r="F296" s="185"/>
      <c r="G296" s="185"/>
      <c r="H296" s="185"/>
      <c r="I296" s="185"/>
      <c r="J296" s="185"/>
      <c r="K296" s="185"/>
      <c r="L296" s="185"/>
      <c r="M296" s="185"/>
      <c r="N296" s="185"/>
      <c r="O296" s="185"/>
      <c r="P296" s="185"/>
      <c r="Q296" s="185"/>
      <c r="R296" s="185"/>
      <c r="S296" s="185"/>
      <c r="T296" s="185"/>
      <c r="U296" s="185"/>
      <c r="V296" s="185"/>
      <c r="W296" s="185"/>
      <c r="X296" s="185"/>
      <c r="Y296" s="185"/>
      <c r="Z296" s="185"/>
    </row>
    <row r="297" spans="1:26" ht="16" thickBot="1" x14ac:dyDescent="0.25">
      <c r="A297" s="185"/>
      <c r="B297" s="185"/>
      <c r="C297" s="185"/>
      <c r="D297" s="185"/>
      <c r="E297" s="185"/>
      <c r="F297" s="185"/>
      <c r="G297" s="185"/>
      <c r="H297" s="185"/>
      <c r="I297" s="185"/>
      <c r="J297" s="185"/>
      <c r="K297" s="185"/>
      <c r="L297" s="185"/>
      <c r="M297" s="185"/>
      <c r="N297" s="185"/>
      <c r="O297" s="185"/>
      <c r="P297" s="185"/>
      <c r="Q297" s="185"/>
      <c r="R297" s="185"/>
      <c r="S297" s="185"/>
      <c r="T297" s="185"/>
      <c r="U297" s="185"/>
      <c r="V297" s="185"/>
      <c r="W297" s="185"/>
      <c r="X297" s="185"/>
      <c r="Y297" s="185"/>
      <c r="Z297" s="185"/>
    </row>
    <row r="298" spans="1:26" ht="16" thickBot="1" x14ac:dyDescent="0.25">
      <c r="A298" s="185"/>
      <c r="B298" s="185"/>
      <c r="C298" s="185"/>
      <c r="D298" s="185"/>
      <c r="E298" s="185"/>
      <c r="F298" s="185"/>
      <c r="G298" s="185"/>
      <c r="H298" s="185"/>
      <c r="I298" s="185"/>
      <c r="J298" s="185"/>
      <c r="K298" s="185"/>
      <c r="L298" s="185"/>
      <c r="M298" s="185"/>
      <c r="N298" s="185"/>
      <c r="O298" s="185"/>
      <c r="P298" s="185"/>
      <c r="Q298" s="185"/>
      <c r="R298" s="185"/>
      <c r="S298" s="185"/>
      <c r="T298" s="185"/>
      <c r="U298" s="185"/>
      <c r="V298" s="185"/>
      <c r="W298" s="185"/>
      <c r="X298" s="185"/>
      <c r="Y298" s="185"/>
      <c r="Z298" s="185"/>
    </row>
    <row r="299" spans="1:26" ht="16" thickBot="1" x14ac:dyDescent="0.25">
      <c r="A299" s="185"/>
      <c r="B299" s="185"/>
      <c r="C299" s="185"/>
      <c r="D299" s="185"/>
      <c r="E299" s="185"/>
      <c r="F299" s="185"/>
      <c r="G299" s="185"/>
      <c r="H299" s="185"/>
      <c r="I299" s="185"/>
      <c r="J299" s="185"/>
      <c r="K299" s="185"/>
      <c r="L299" s="185"/>
      <c r="M299" s="185"/>
      <c r="N299" s="185"/>
      <c r="O299" s="185"/>
      <c r="P299" s="185"/>
      <c r="Q299" s="185"/>
      <c r="R299" s="185"/>
      <c r="S299" s="185"/>
      <c r="T299" s="185"/>
      <c r="U299" s="185"/>
      <c r="V299" s="185"/>
      <c r="W299" s="185"/>
      <c r="X299" s="185"/>
      <c r="Y299" s="185"/>
      <c r="Z299" s="185"/>
    </row>
    <row r="300" spans="1:26" ht="16" thickBot="1" x14ac:dyDescent="0.25">
      <c r="A300" s="185"/>
      <c r="B300" s="185"/>
      <c r="C300" s="185"/>
      <c r="D300" s="185"/>
      <c r="E300" s="185"/>
      <c r="F300" s="185"/>
      <c r="G300" s="185"/>
      <c r="H300" s="185"/>
      <c r="I300" s="185"/>
      <c r="J300" s="185"/>
      <c r="K300" s="185"/>
      <c r="L300" s="185"/>
      <c r="M300" s="185"/>
      <c r="N300" s="185"/>
      <c r="O300" s="185"/>
      <c r="P300" s="185"/>
      <c r="Q300" s="185"/>
      <c r="R300" s="185"/>
      <c r="S300" s="185"/>
      <c r="T300" s="185"/>
      <c r="U300" s="185"/>
      <c r="V300" s="185"/>
      <c r="W300" s="185"/>
      <c r="X300" s="185"/>
      <c r="Y300" s="185"/>
      <c r="Z300" s="185"/>
    </row>
    <row r="301" spans="1:26" ht="16" thickBot="1" x14ac:dyDescent="0.25">
      <c r="A301" s="185"/>
      <c r="B301" s="185"/>
      <c r="C301" s="185"/>
      <c r="D301" s="185"/>
      <c r="E301" s="185"/>
      <c r="F301" s="185"/>
      <c r="G301" s="185"/>
      <c r="H301" s="185"/>
      <c r="I301" s="185"/>
      <c r="J301" s="185"/>
      <c r="K301" s="185"/>
      <c r="L301" s="185"/>
      <c r="M301" s="185"/>
      <c r="N301" s="185"/>
      <c r="O301" s="185"/>
      <c r="P301" s="185"/>
      <c r="Q301" s="185"/>
      <c r="R301" s="185"/>
      <c r="S301" s="185"/>
      <c r="T301" s="185"/>
      <c r="U301" s="185"/>
      <c r="V301" s="185"/>
      <c r="W301" s="185"/>
      <c r="X301" s="185"/>
      <c r="Y301" s="185"/>
      <c r="Z301" s="185"/>
    </row>
    <row r="302" spans="1:26" ht="16" thickBot="1" x14ac:dyDescent="0.25">
      <c r="A302" s="185"/>
      <c r="B302" s="185"/>
      <c r="C302" s="185"/>
      <c r="D302" s="185"/>
      <c r="E302" s="185"/>
      <c r="F302" s="185"/>
      <c r="G302" s="185"/>
      <c r="H302" s="185"/>
      <c r="I302" s="185"/>
      <c r="J302" s="185"/>
      <c r="K302" s="185"/>
      <c r="L302" s="185"/>
      <c r="M302" s="185"/>
      <c r="N302" s="185"/>
      <c r="O302" s="185"/>
      <c r="P302" s="185"/>
      <c r="Q302" s="185"/>
      <c r="R302" s="185"/>
      <c r="S302" s="185"/>
      <c r="T302" s="185"/>
      <c r="U302" s="185"/>
      <c r="V302" s="185"/>
      <c r="W302" s="185"/>
      <c r="X302" s="185"/>
      <c r="Y302" s="185"/>
      <c r="Z302" s="185"/>
    </row>
    <row r="303" spans="1:26" ht="16" thickBot="1" x14ac:dyDescent="0.25">
      <c r="A303" s="185"/>
      <c r="B303" s="185"/>
      <c r="C303" s="185"/>
      <c r="D303" s="185"/>
      <c r="E303" s="185"/>
      <c r="F303" s="185"/>
      <c r="G303" s="185"/>
      <c r="H303" s="185"/>
      <c r="I303" s="185"/>
      <c r="J303" s="185"/>
      <c r="K303" s="185"/>
      <c r="L303" s="185"/>
      <c r="M303" s="185"/>
      <c r="N303" s="185"/>
      <c r="O303" s="185"/>
      <c r="P303" s="185"/>
      <c r="Q303" s="185"/>
      <c r="R303" s="185"/>
      <c r="S303" s="185"/>
      <c r="T303" s="185"/>
      <c r="U303" s="185"/>
      <c r="V303" s="185"/>
      <c r="W303" s="185"/>
      <c r="X303" s="185"/>
      <c r="Y303" s="185"/>
      <c r="Z303" s="185"/>
    </row>
    <row r="304" spans="1:26" ht="16" thickBot="1" x14ac:dyDescent="0.25">
      <c r="A304" s="185"/>
      <c r="B304" s="185"/>
      <c r="C304" s="185"/>
      <c r="D304" s="185"/>
      <c r="E304" s="185"/>
      <c r="F304" s="185"/>
      <c r="G304" s="185"/>
      <c r="H304" s="185"/>
      <c r="I304" s="185"/>
      <c r="J304" s="185"/>
      <c r="K304" s="185"/>
      <c r="L304" s="185"/>
      <c r="M304" s="185"/>
      <c r="N304" s="185"/>
      <c r="O304" s="185"/>
      <c r="P304" s="185"/>
      <c r="Q304" s="185"/>
      <c r="R304" s="185"/>
      <c r="S304" s="185"/>
      <c r="T304" s="185"/>
      <c r="U304" s="185"/>
      <c r="V304" s="185"/>
      <c r="W304" s="185"/>
      <c r="X304" s="185"/>
      <c r="Y304" s="185"/>
      <c r="Z304" s="185"/>
    </row>
    <row r="305" spans="1:26" ht="16" thickBot="1" x14ac:dyDescent="0.25">
      <c r="A305" s="185"/>
      <c r="B305" s="185"/>
      <c r="C305" s="185"/>
      <c r="D305" s="185"/>
      <c r="E305" s="185"/>
      <c r="F305" s="185"/>
      <c r="G305" s="185"/>
      <c r="H305" s="185"/>
      <c r="I305" s="185"/>
      <c r="J305" s="185"/>
      <c r="K305" s="185"/>
      <c r="L305" s="185"/>
      <c r="M305" s="185"/>
      <c r="N305" s="185"/>
      <c r="O305" s="185"/>
      <c r="P305" s="185"/>
      <c r="Q305" s="185"/>
      <c r="R305" s="185"/>
      <c r="S305" s="185"/>
      <c r="T305" s="185"/>
      <c r="U305" s="185"/>
      <c r="V305" s="185"/>
      <c r="W305" s="185"/>
      <c r="X305" s="185"/>
      <c r="Y305" s="185"/>
      <c r="Z305" s="185"/>
    </row>
    <row r="306" spans="1:26" ht="16" thickBot="1" x14ac:dyDescent="0.25">
      <c r="A306" s="185"/>
      <c r="B306" s="185"/>
      <c r="C306" s="185"/>
      <c r="D306" s="185"/>
      <c r="E306" s="185"/>
      <c r="F306" s="185"/>
      <c r="G306" s="185"/>
      <c r="H306" s="185"/>
      <c r="I306" s="185"/>
      <c r="J306" s="185"/>
      <c r="K306" s="185"/>
      <c r="L306" s="185"/>
      <c r="M306" s="185"/>
      <c r="N306" s="185"/>
      <c r="O306" s="185"/>
      <c r="P306" s="185"/>
      <c r="Q306" s="185"/>
      <c r="R306" s="185"/>
      <c r="S306" s="185"/>
      <c r="T306" s="185"/>
      <c r="U306" s="185"/>
      <c r="V306" s="185"/>
      <c r="W306" s="185"/>
      <c r="X306" s="185"/>
      <c r="Y306" s="185"/>
      <c r="Z306" s="185"/>
    </row>
    <row r="307" spans="1:26" ht="16" thickBot="1" x14ac:dyDescent="0.25">
      <c r="A307" s="185"/>
      <c r="B307" s="185"/>
      <c r="C307" s="185"/>
      <c r="D307" s="185"/>
      <c r="E307" s="185"/>
      <c r="F307" s="185"/>
      <c r="G307" s="185"/>
      <c r="H307" s="185"/>
      <c r="I307" s="185"/>
      <c r="J307" s="185"/>
      <c r="K307" s="185"/>
      <c r="L307" s="185"/>
      <c r="M307" s="185"/>
      <c r="N307" s="185"/>
      <c r="O307" s="185"/>
      <c r="P307" s="185"/>
      <c r="Q307" s="185"/>
      <c r="R307" s="185"/>
      <c r="S307" s="185"/>
      <c r="T307" s="185"/>
      <c r="U307" s="185"/>
      <c r="V307" s="185"/>
      <c r="W307" s="185"/>
      <c r="X307" s="185"/>
      <c r="Y307" s="185"/>
      <c r="Z307" s="185"/>
    </row>
    <row r="308" spans="1:26" ht="16" thickBot="1" x14ac:dyDescent="0.25">
      <c r="A308" s="185"/>
      <c r="B308" s="185"/>
      <c r="C308" s="185"/>
      <c r="D308" s="185"/>
      <c r="E308" s="185"/>
      <c r="F308" s="185"/>
      <c r="G308" s="185"/>
      <c r="H308" s="185"/>
      <c r="I308" s="185"/>
      <c r="J308" s="185"/>
      <c r="K308" s="185"/>
      <c r="L308" s="185"/>
      <c r="M308" s="185"/>
      <c r="N308" s="185"/>
      <c r="O308" s="185"/>
      <c r="P308" s="185"/>
      <c r="Q308" s="185"/>
      <c r="R308" s="185"/>
      <c r="S308" s="185"/>
      <c r="T308" s="185"/>
      <c r="U308" s="185"/>
      <c r="V308" s="185"/>
      <c r="W308" s="185"/>
      <c r="X308" s="185"/>
      <c r="Y308" s="185"/>
      <c r="Z308" s="185"/>
    </row>
    <row r="309" spans="1:26" ht="16" thickBot="1" x14ac:dyDescent="0.25">
      <c r="A309" s="185"/>
      <c r="B309" s="185"/>
      <c r="C309" s="185"/>
      <c r="D309" s="185"/>
      <c r="E309" s="185"/>
      <c r="F309" s="185"/>
      <c r="G309" s="185"/>
      <c r="H309" s="185"/>
      <c r="I309" s="185"/>
      <c r="J309" s="185"/>
      <c r="K309" s="185"/>
      <c r="L309" s="185"/>
      <c r="M309" s="185"/>
      <c r="N309" s="185"/>
      <c r="O309" s="185"/>
      <c r="P309" s="185"/>
      <c r="Q309" s="185"/>
      <c r="R309" s="185"/>
      <c r="S309" s="185"/>
      <c r="T309" s="185"/>
      <c r="U309" s="185"/>
      <c r="V309" s="185"/>
      <c r="W309" s="185"/>
      <c r="X309" s="185"/>
      <c r="Y309" s="185"/>
      <c r="Z309" s="185"/>
    </row>
    <row r="310" spans="1:26" ht="16" thickBot="1" x14ac:dyDescent="0.25">
      <c r="A310" s="185"/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5"/>
      <c r="O310" s="185"/>
      <c r="P310" s="185"/>
      <c r="Q310" s="185"/>
      <c r="R310" s="185"/>
      <c r="S310" s="185"/>
      <c r="T310" s="185"/>
      <c r="U310" s="185"/>
      <c r="V310" s="185"/>
      <c r="W310" s="185"/>
      <c r="X310" s="185"/>
      <c r="Y310" s="185"/>
      <c r="Z310" s="185"/>
    </row>
    <row r="311" spans="1:26" ht="16" thickBot="1" x14ac:dyDescent="0.25">
      <c r="A311" s="185"/>
      <c r="B311" s="185"/>
      <c r="C311" s="185"/>
      <c r="D311" s="185"/>
      <c r="E311" s="185"/>
      <c r="F311" s="185"/>
      <c r="G311" s="185"/>
      <c r="H311" s="185"/>
      <c r="I311" s="185"/>
      <c r="J311" s="185"/>
      <c r="K311" s="185"/>
      <c r="L311" s="185"/>
      <c r="M311" s="185"/>
      <c r="N311" s="185"/>
      <c r="O311" s="185"/>
      <c r="P311" s="185"/>
      <c r="Q311" s="185"/>
      <c r="R311" s="185"/>
      <c r="S311" s="185"/>
      <c r="T311" s="185"/>
      <c r="U311" s="185"/>
      <c r="V311" s="185"/>
      <c r="W311" s="185"/>
      <c r="X311" s="185"/>
      <c r="Y311" s="185"/>
      <c r="Z311" s="185"/>
    </row>
    <row r="312" spans="1:26" ht="16" thickBot="1" x14ac:dyDescent="0.25">
      <c r="A312" s="185"/>
      <c r="B312" s="185"/>
      <c r="C312" s="185"/>
      <c r="D312" s="185"/>
      <c r="E312" s="185"/>
      <c r="F312" s="185"/>
      <c r="G312" s="185"/>
      <c r="H312" s="185"/>
      <c r="I312" s="185"/>
      <c r="J312" s="185"/>
      <c r="K312" s="185"/>
      <c r="L312" s="185"/>
      <c r="M312" s="185"/>
      <c r="N312" s="185"/>
      <c r="O312" s="185"/>
      <c r="P312" s="185"/>
      <c r="Q312" s="185"/>
      <c r="R312" s="185"/>
      <c r="S312" s="185"/>
      <c r="T312" s="185"/>
      <c r="U312" s="185"/>
      <c r="V312" s="185"/>
      <c r="W312" s="185"/>
      <c r="X312" s="185"/>
      <c r="Y312" s="185"/>
      <c r="Z312" s="185"/>
    </row>
    <row r="313" spans="1:26" ht="16" thickBot="1" x14ac:dyDescent="0.25">
      <c r="A313" s="185"/>
      <c r="B313" s="185"/>
      <c r="C313" s="185"/>
      <c r="D313" s="185"/>
      <c r="E313" s="185"/>
      <c r="F313" s="185"/>
      <c r="G313" s="185"/>
      <c r="H313" s="185"/>
      <c r="I313" s="185"/>
      <c r="J313" s="185"/>
      <c r="K313" s="185"/>
      <c r="L313" s="185"/>
      <c r="M313" s="185"/>
      <c r="N313" s="185"/>
      <c r="O313" s="185"/>
      <c r="P313" s="185"/>
      <c r="Q313" s="185"/>
      <c r="R313" s="185"/>
      <c r="S313" s="185"/>
      <c r="T313" s="185"/>
      <c r="U313" s="185"/>
      <c r="V313" s="185"/>
      <c r="W313" s="185"/>
      <c r="X313" s="185"/>
      <c r="Y313" s="185"/>
      <c r="Z313" s="185"/>
    </row>
    <row r="314" spans="1:26" ht="16" thickBot="1" x14ac:dyDescent="0.25">
      <c r="A314" s="185"/>
      <c r="B314" s="185"/>
      <c r="C314" s="185"/>
      <c r="D314" s="185"/>
      <c r="E314" s="185"/>
      <c r="F314" s="185"/>
      <c r="G314" s="185"/>
      <c r="H314" s="185"/>
      <c r="I314" s="185"/>
      <c r="J314" s="185"/>
      <c r="K314" s="185"/>
      <c r="L314" s="185"/>
      <c r="M314" s="185"/>
      <c r="N314" s="185"/>
      <c r="O314" s="185"/>
      <c r="P314" s="185"/>
      <c r="Q314" s="185"/>
      <c r="R314" s="185"/>
      <c r="S314" s="185"/>
      <c r="T314" s="185"/>
      <c r="U314" s="185"/>
      <c r="V314" s="185"/>
      <c r="W314" s="185"/>
      <c r="X314" s="185"/>
      <c r="Y314" s="185"/>
      <c r="Z314" s="185"/>
    </row>
    <row r="315" spans="1:26" ht="16" thickBot="1" x14ac:dyDescent="0.25">
      <c r="A315" s="185"/>
      <c r="B315" s="185"/>
      <c r="C315" s="185"/>
      <c r="D315" s="185"/>
      <c r="E315" s="185"/>
      <c r="F315" s="185"/>
      <c r="G315" s="185"/>
      <c r="H315" s="185"/>
      <c r="I315" s="185"/>
      <c r="J315" s="185"/>
      <c r="K315" s="185"/>
      <c r="L315" s="185"/>
      <c r="M315" s="185"/>
      <c r="N315" s="185"/>
      <c r="O315" s="185"/>
      <c r="P315" s="185"/>
      <c r="Q315" s="185"/>
      <c r="R315" s="185"/>
      <c r="S315" s="185"/>
      <c r="T315" s="185"/>
      <c r="U315" s="185"/>
      <c r="V315" s="185"/>
      <c r="W315" s="185"/>
      <c r="X315" s="185"/>
      <c r="Y315" s="185"/>
      <c r="Z315" s="185"/>
    </row>
    <row r="316" spans="1:26" ht="16" thickBot="1" x14ac:dyDescent="0.25">
      <c r="A316" s="185"/>
      <c r="B316" s="185"/>
      <c r="C316" s="185"/>
      <c r="D316" s="185"/>
      <c r="E316" s="185"/>
      <c r="F316" s="185"/>
      <c r="G316" s="185"/>
      <c r="H316" s="185"/>
      <c r="I316" s="185"/>
      <c r="J316" s="185"/>
      <c r="K316" s="185"/>
      <c r="L316" s="185"/>
      <c r="M316" s="185"/>
      <c r="N316" s="185"/>
      <c r="O316" s="185"/>
      <c r="P316" s="185"/>
      <c r="Q316" s="185"/>
      <c r="R316" s="185"/>
      <c r="S316" s="185"/>
      <c r="T316" s="185"/>
      <c r="U316" s="185"/>
      <c r="V316" s="185"/>
      <c r="W316" s="185"/>
      <c r="X316" s="185"/>
      <c r="Y316" s="185"/>
      <c r="Z316" s="185"/>
    </row>
    <row r="317" spans="1:26" ht="16" thickBot="1" x14ac:dyDescent="0.25">
      <c r="A317" s="185"/>
      <c r="B317" s="185"/>
      <c r="C317" s="185"/>
      <c r="D317" s="185"/>
      <c r="E317" s="185"/>
      <c r="F317" s="185"/>
      <c r="G317" s="185"/>
      <c r="H317" s="185"/>
      <c r="I317" s="185"/>
      <c r="J317" s="185"/>
      <c r="K317" s="185"/>
      <c r="L317" s="185"/>
      <c r="M317" s="185"/>
      <c r="N317" s="185"/>
      <c r="O317" s="185"/>
      <c r="P317" s="185"/>
      <c r="Q317" s="185"/>
      <c r="R317" s="185"/>
      <c r="S317" s="185"/>
      <c r="T317" s="185"/>
      <c r="U317" s="185"/>
      <c r="V317" s="185"/>
      <c r="W317" s="185"/>
      <c r="X317" s="185"/>
      <c r="Y317" s="185"/>
      <c r="Z317" s="185"/>
    </row>
    <row r="318" spans="1:26" ht="16" thickBot="1" x14ac:dyDescent="0.25">
      <c r="A318" s="185"/>
      <c r="B318" s="185"/>
      <c r="C318" s="185"/>
      <c r="D318" s="185"/>
      <c r="E318" s="185"/>
      <c r="F318" s="185"/>
      <c r="G318" s="185"/>
      <c r="H318" s="185"/>
      <c r="I318" s="185"/>
      <c r="J318" s="185"/>
      <c r="K318" s="185"/>
      <c r="L318" s="185"/>
      <c r="M318" s="185"/>
      <c r="N318" s="185"/>
      <c r="O318" s="185"/>
      <c r="P318" s="185"/>
      <c r="Q318" s="185"/>
      <c r="R318" s="185"/>
      <c r="S318" s="185"/>
      <c r="T318" s="185"/>
      <c r="U318" s="185"/>
      <c r="V318" s="185"/>
      <c r="W318" s="185"/>
      <c r="X318" s="185"/>
      <c r="Y318" s="185"/>
      <c r="Z318" s="185"/>
    </row>
    <row r="319" spans="1:26" ht="16" thickBot="1" x14ac:dyDescent="0.25">
      <c r="A319" s="185"/>
      <c r="B319" s="185"/>
      <c r="C319" s="185"/>
      <c r="D319" s="185"/>
      <c r="E319" s="185"/>
      <c r="F319" s="185"/>
      <c r="G319" s="185"/>
      <c r="H319" s="185"/>
      <c r="I319" s="185"/>
      <c r="J319" s="185"/>
      <c r="K319" s="185"/>
      <c r="L319" s="185"/>
      <c r="M319" s="185"/>
      <c r="N319" s="185"/>
      <c r="O319" s="185"/>
      <c r="P319" s="185"/>
      <c r="Q319" s="185"/>
      <c r="R319" s="185"/>
      <c r="S319" s="185"/>
      <c r="T319" s="185"/>
      <c r="U319" s="185"/>
      <c r="V319" s="185"/>
      <c r="W319" s="185"/>
      <c r="X319" s="185"/>
      <c r="Y319" s="185"/>
      <c r="Z319" s="185"/>
    </row>
    <row r="320" spans="1:26" ht="16" thickBot="1" x14ac:dyDescent="0.25">
      <c r="A320" s="185"/>
      <c r="B320" s="185"/>
      <c r="C320" s="185"/>
      <c r="D320" s="185"/>
      <c r="E320" s="185"/>
      <c r="F320" s="185"/>
      <c r="G320" s="185"/>
      <c r="H320" s="185"/>
      <c r="I320" s="185"/>
      <c r="J320" s="185"/>
      <c r="K320" s="185"/>
      <c r="L320" s="185"/>
      <c r="M320" s="185"/>
      <c r="N320" s="185"/>
      <c r="O320" s="185"/>
      <c r="P320" s="185"/>
      <c r="Q320" s="185"/>
      <c r="R320" s="185"/>
      <c r="S320" s="185"/>
      <c r="T320" s="185"/>
      <c r="U320" s="185"/>
      <c r="V320" s="185"/>
      <c r="W320" s="185"/>
      <c r="X320" s="185"/>
      <c r="Y320" s="185"/>
      <c r="Z320" s="185"/>
    </row>
    <row r="321" spans="1:26" ht="16" thickBot="1" x14ac:dyDescent="0.25">
      <c r="A321" s="185"/>
      <c r="B321" s="185"/>
      <c r="C321" s="185"/>
      <c r="D321" s="185"/>
      <c r="E321" s="185"/>
      <c r="F321" s="185"/>
      <c r="G321" s="185"/>
      <c r="H321" s="185"/>
      <c r="I321" s="185"/>
      <c r="J321" s="185"/>
      <c r="K321" s="185"/>
      <c r="L321" s="185"/>
      <c r="M321" s="185"/>
      <c r="N321" s="185"/>
      <c r="O321" s="185"/>
      <c r="P321" s="185"/>
      <c r="Q321" s="185"/>
      <c r="R321" s="185"/>
      <c r="S321" s="185"/>
      <c r="T321" s="185"/>
      <c r="U321" s="185"/>
      <c r="V321" s="185"/>
      <c r="W321" s="185"/>
      <c r="X321" s="185"/>
      <c r="Y321" s="185"/>
      <c r="Z321" s="185"/>
    </row>
    <row r="322" spans="1:26" ht="16" thickBot="1" x14ac:dyDescent="0.25">
      <c r="A322" s="185"/>
      <c r="B322" s="185"/>
      <c r="C322" s="185"/>
      <c r="D322" s="185"/>
      <c r="E322" s="185"/>
      <c r="F322" s="185"/>
      <c r="G322" s="185"/>
      <c r="H322" s="185"/>
      <c r="I322" s="185"/>
      <c r="J322" s="185"/>
      <c r="K322" s="185"/>
      <c r="L322" s="185"/>
      <c r="M322" s="185"/>
      <c r="N322" s="185"/>
      <c r="O322" s="185"/>
      <c r="P322" s="185"/>
      <c r="Q322" s="185"/>
      <c r="R322" s="185"/>
      <c r="S322" s="185"/>
      <c r="T322" s="185"/>
      <c r="U322" s="185"/>
      <c r="V322" s="185"/>
      <c r="W322" s="185"/>
      <c r="X322" s="185"/>
      <c r="Y322" s="185"/>
      <c r="Z322" s="185"/>
    </row>
    <row r="323" spans="1:26" ht="16" thickBot="1" x14ac:dyDescent="0.25">
      <c r="A323" s="185"/>
      <c r="B323" s="185"/>
      <c r="C323" s="185"/>
      <c r="D323" s="185"/>
      <c r="E323" s="185"/>
      <c r="F323" s="185"/>
      <c r="G323" s="185"/>
      <c r="H323" s="185"/>
      <c r="I323" s="185"/>
      <c r="J323" s="185"/>
      <c r="K323" s="185"/>
      <c r="L323" s="185"/>
      <c r="M323" s="185"/>
      <c r="N323" s="185"/>
      <c r="O323" s="185"/>
      <c r="P323" s="185"/>
      <c r="Q323" s="185"/>
      <c r="R323" s="185"/>
      <c r="S323" s="185"/>
      <c r="T323" s="185"/>
      <c r="U323" s="185"/>
      <c r="V323" s="185"/>
      <c r="W323" s="185"/>
      <c r="X323" s="185"/>
      <c r="Y323" s="185"/>
      <c r="Z323" s="185"/>
    </row>
    <row r="324" spans="1:26" ht="16" thickBot="1" x14ac:dyDescent="0.25">
      <c r="A324" s="185"/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5"/>
      <c r="O324" s="185"/>
      <c r="P324" s="185"/>
      <c r="Q324" s="185"/>
      <c r="R324" s="185"/>
      <c r="S324" s="185"/>
      <c r="T324" s="185"/>
      <c r="U324" s="185"/>
      <c r="V324" s="185"/>
      <c r="W324" s="185"/>
      <c r="X324" s="185"/>
      <c r="Y324" s="185"/>
      <c r="Z324" s="185"/>
    </row>
    <row r="325" spans="1:26" ht="16" thickBot="1" x14ac:dyDescent="0.25">
      <c r="A325" s="185"/>
      <c r="B325" s="185"/>
      <c r="C325" s="185"/>
      <c r="D325" s="185"/>
      <c r="E325" s="185"/>
      <c r="F325" s="185"/>
      <c r="G325" s="185"/>
      <c r="H325" s="185"/>
      <c r="I325" s="185"/>
      <c r="J325" s="185"/>
      <c r="K325" s="185"/>
      <c r="L325" s="185"/>
      <c r="M325" s="185"/>
      <c r="N325" s="185"/>
      <c r="O325" s="185"/>
      <c r="P325" s="185"/>
      <c r="Q325" s="185"/>
      <c r="R325" s="185"/>
      <c r="S325" s="185"/>
      <c r="T325" s="185"/>
      <c r="U325" s="185"/>
      <c r="V325" s="185"/>
      <c r="W325" s="185"/>
      <c r="X325" s="185"/>
      <c r="Y325" s="185"/>
      <c r="Z325" s="185"/>
    </row>
    <row r="326" spans="1:26" ht="16" thickBot="1" x14ac:dyDescent="0.25">
      <c r="A326" s="185"/>
      <c r="B326" s="185"/>
      <c r="C326" s="185"/>
      <c r="D326" s="185"/>
      <c r="E326" s="185"/>
      <c r="F326" s="185"/>
      <c r="G326" s="185"/>
      <c r="H326" s="185"/>
      <c r="I326" s="185"/>
      <c r="J326" s="185"/>
      <c r="K326" s="185"/>
      <c r="L326" s="185"/>
      <c r="M326" s="185"/>
      <c r="N326" s="185"/>
      <c r="O326" s="185"/>
      <c r="P326" s="185"/>
      <c r="Q326" s="185"/>
      <c r="R326" s="185"/>
      <c r="S326" s="185"/>
      <c r="T326" s="185"/>
      <c r="U326" s="185"/>
      <c r="V326" s="185"/>
      <c r="W326" s="185"/>
      <c r="X326" s="185"/>
      <c r="Y326" s="185"/>
      <c r="Z326" s="185"/>
    </row>
    <row r="327" spans="1:26" ht="16" thickBot="1" x14ac:dyDescent="0.25">
      <c r="A327" s="185"/>
      <c r="B327" s="185"/>
      <c r="C327" s="185"/>
      <c r="D327" s="185"/>
      <c r="E327" s="185"/>
      <c r="F327" s="185"/>
      <c r="G327" s="185"/>
      <c r="H327" s="185"/>
      <c r="I327" s="185"/>
      <c r="J327" s="185"/>
      <c r="K327" s="185"/>
      <c r="L327" s="185"/>
      <c r="M327" s="185"/>
      <c r="N327" s="185"/>
      <c r="O327" s="185"/>
      <c r="P327" s="185"/>
      <c r="Q327" s="185"/>
      <c r="R327" s="185"/>
      <c r="S327" s="185"/>
      <c r="T327" s="185"/>
      <c r="U327" s="185"/>
      <c r="V327" s="185"/>
      <c r="W327" s="185"/>
      <c r="X327" s="185"/>
      <c r="Y327" s="185"/>
      <c r="Z327" s="185"/>
    </row>
    <row r="328" spans="1:26" ht="16" thickBot="1" x14ac:dyDescent="0.25">
      <c r="A328" s="185"/>
      <c r="B328" s="185"/>
      <c r="C328" s="185"/>
      <c r="D328" s="185"/>
      <c r="E328" s="185"/>
      <c r="F328" s="185"/>
      <c r="G328" s="185"/>
      <c r="H328" s="185"/>
      <c r="I328" s="185"/>
      <c r="J328" s="185"/>
      <c r="K328" s="185"/>
      <c r="L328" s="185"/>
      <c r="M328" s="185"/>
      <c r="N328" s="185"/>
      <c r="O328" s="185"/>
      <c r="P328" s="185"/>
      <c r="Q328" s="185"/>
      <c r="R328" s="185"/>
      <c r="S328" s="185"/>
      <c r="T328" s="185"/>
      <c r="U328" s="185"/>
      <c r="V328" s="185"/>
      <c r="W328" s="185"/>
      <c r="X328" s="185"/>
      <c r="Y328" s="185"/>
      <c r="Z328" s="185"/>
    </row>
    <row r="329" spans="1:26" ht="16" thickBot="1" x14ac:dyDescent="0.25">
      <c r="A329" s="185"/>
      <c r="B329" s="185"/>
      <c r="C329" s="185"/>
      <c r="D329" s="185"/>
      <c r="E329" s="185"/>
      <c r="F329" s="185"/>
      <c r="G329" s="185"/>
      <c r="H329" s="185"/>
      <c r="I329" s="185"/>
      <c r="J329" s="185"/>
      <c r="K329" s="185"/>
      <c r="L329" s="185"/>
      <c r="M329" s="185"/>
      <c r="N329" s="185"/>
      <c r="O329" s="185"/>
      <c r="P329" s="185"/>
      <c r="Q329" s="185"/>
      <c r="R329" s="185"/>
      <c r="S329" s="185"/>
      <c r="T329" s="185"/>
      <c r="U329" s="185"/>
      <c r="V329" s="185"/>
      <c r="W329" s="185"/>
      <c r="X329" s="185"/>
      <c r="Y329" s="185"/>
      <c r="Z329" s="185"/>
    </row>
    <row r="330" spans="1:26" ht="16" thickBot="1" x14ac:dyDescent="0.25">
      <c r="A330" s="185"/>
      <c r="B330" s="185"/>
      <c r="C330" s="185"/>
      <c r="D330" s="185"/>
      <c r="E330" s="185"/>
      <c r="F330" s="185"/>
      <c r="G330" s="185"/>
      <c r="H330" s="185"/>
      <c r="I330" s="185"/>
      <c r="J330" s="185"/>
      <c r="K330" s="185"/>
      <c r="L330" s="185"/>
      <c r="M330" s="185"/>
      <c r="N330" s="185"/>
      <c r="O330" s="185"/>
      <c r="P330" s="185"/>
      <c r="Q330" s="185"/>
      <c r="R330" s="185"/>
      <c r="S330" s="185"/>
      <c r="T330" s="185"/>
      <c r="U330" s="185"/>
      <c r="V330" s="185"/>
      <c r="W330" s="185"/>
      <c r="X330" s="185"/>
      <c r="Y330" s="185"/>
      <c r="Z330" s="185"/>
    </row>
    <row r="331" spans="1:26" ht="16" thickBot="1" x14ac:dyDescent="0.25">
      <c r="A331" s="185"/>
      <c r="B331" s="185"/>
      <c r="C331" s="185"/>
      <c r="D331" s="185"/>
      <c r="E331" s="185"/>
      <c r="F331" s="185"/>
      <c r="G331" s="185"/>
      <c r="H331" s="185"/>
      <c r="I331" s="185"/>
      <c r="J331" s="185"/>
      <c r="K331" s="185"/>
      <c r="L331" s="185"/>
      <c r="M331" s="185"/>
      <c r="N331" s="185"/>
      <c r="O331" s="185"/>
      <c r="P331" s="185"/>
      <c r="Q331" s="185"/>
      <c r="R331" s="185"/>
      <c r="S331" s="185"/>
      <c r="T331" s="185"/>
      <c r="U331" s="185"/>
      <c r="V331" s="185"/>
      <c r="W331" s="185"/>
      <c r="X331" s="185"/>
      <c r="Y331" s="185"/>
      <c r="Z331" s="185"/>
    </row>
    <row r="332" spans="1:26" ht="16" thickBot="1" x14ac:dyDescent="0.25">
      <c r="A332" s="185"/>
      <c r="B332" s="185"/>
      <c r="C332" s="185"/>
      <c r="D332" s="185"/>
      <c r="E332" s="185"/>
      <c r="F332" s="185"/>
      <c r="G332" s="185"/>
      <c r="H332" s="185"/>
      <c r="I332" s="185"/>
      <c r="J332" s="185"/>
      <c r="K332" s="185"/>
      <c r="L332" s="185"/>
      <c r="M332" s="185"/>
      <c r="N332" s="185"/>
      <c r="O332" s="185"/>
      <c r="P332" s="185"/>
      <c r="Q332" s="185"/>
      <c r="R332" s="185"/>
      <c r="S332" s="185"/>
      <c r="T332" s="185"/>
      <c r="U332" s="185"/>
      <c r="V332" s="185"/>
      <c r="W332" s="185"/>
      <c r="X332" s="185"/>
      <c r="Y332" s="185"/>
      <c r="Z332" s="185"/>
    </row>
    <row r="333" spans="1:26" ht="16" thickBot="1" x14ac:dyDescent="0.25">
      <c r="A333" s="185"/>
      <c r="B333" s="185"/>
      <c r="C333" s="185"/>
      <c r="D333" s="185"/>
      <c r="E333" s="185"/>
      <c r="F333" s="185"/>
      <c r="G333" s="185"/>
      <c r="H333" s="185"/>
      <c r="I333" s="185"/>
      <c r="J333" s="185"/>
      <c r="K333" s="185"/>
      <c r="L333" s="185"/>
      <c r="M333" s="185"/>
      <c r="N333" s="185"/>
      <c r="O333" s="185"/>
      <c r="P333" s="185"/>
      <c r="Q333" s="185"/>
      <c r="R333" s="185"/>
      <c r="S333" s="185"/>
      <c r="T333" s="185"/>
      <c r="U333" s="185"/>
      <c r="V333" s="185"/>
      <c r="W333" s="185"/>
      <c r="X333" s="185"/>
      <c r="Y333" s="185"/>
      <c r="Z333" s="185"/>
    </row>
    <row r="334" spans="1:26" ht="16" thickBot="1" x14ac:dyDescent="0.25">
      <c r="A334" s="185"/>
      <c r="B334" s="185"/>
      <c r="C334" s="185"/>
      <c r="D334" s="185"/>
      <c r="E334" s="185"/>
      <c r="F334" s="185"/>
      <c r="G334" s="185"/>
      <c r="H334" s="185"/>
      <c r="I334" s="185"/>
      <c r="J334" s="185"/>
      <c r="K334" s="185"/>
      <c r="L334" s="185"/>
      <c r="M334" s="185"/>
      <c r="N334" s="185"/>
      <c r="O334" s="185"/>
      <c r="P334" s="185"/>
      <c r="Q334" s="185"/>
      <c r="R334" s="185"/>
      <c r="S334" s="185"/>
      <c r="T334" s="185"/>
      <c r="U334" s="185"/>
      <c r="V334" s="185"/>
      <c r="W334" s="185"/>
      <c r="X334" s="185"/>
      <c r="Y334" s="185"/>
      <c r="Z334" s="185"/>
    </row>
    <row r="335" spans="1:26" ht="16" thickBot="1" x14ac:dyDescent="0.25">
      <c r="A335" s="185"/>
      <c r="B335" s="185"/>
      <c r="C335" s="185"/>
      <c r="D335" s="185"/>
      <c r="E335" s="185"/>
      <c r="F335" s="185"/>
      <c r="G335" s="185"/>
      <c r="H335" s="185"/>
      <c r="I335" s="185"/>
      <c r="J335" s="185"/>
      <c r="K335" s="185"/>
      <c r="L335" s="185"/>
      <c r="M335" s="185"/>
      <c r="N335" s="185"/>
      <c r="O335" s="185"/>
      <c r="P335" s="185"/>
      <c r="Q335" s="185"/>
      <c r="R335" s="185"/>
      <c r="S335" s="185"/>
      <c r="T335" s="185"/>
      <c r="U335" s="185"/>
      <c r="V335" s="185"/>
      <c r="W335" s="185"/>
      <c r="X335" s="185"/>
      <c r="Y335" s="185"/>
      <c r="Z335" s="185"/>
    </row>
    <row r="336" spans="1:26" ht="16" thickBot="1" x14ac:dyDescent="0.25">
      <c r="A336" s="185"/>
      <c r="B336" s="185"/>
      <c r="C336" s="185"/>
      <c r="D336" s="185"/>
      <c r="E336" s="185"/>
      <c r="F336" s="185"/>
      <c r="G336" s="185"/>
      <c r="H336" s="185"/>
      <c r="I336" s="185"/>
      <c r="J336" s="185"/>
      <c r="K336" s="185"/>
      <c r="L336" s="185"/>
      <c r="M336" s="185"/>
      <c r="N336" s="185"/>
      <c r="O336" s="185"/>
      <c r="P336" s="185"/>
      <c r="Q336" s="185"/>
      <c r="R336" s="185"/>
      <c r="S336" s="185"/>
      <c r="T336" s="185"/>
      <c r="U336" s="185"/>
      <c r="V336" s="185"/>
      <c r="W336" s="185"/>
      <c r="X336" s="185"/>
      <c r="Y336" s="185"/>
      <c r="Z336" s="185"/>
    </row>
    <row r="337" spans="1:26" ht="16" thickBot="1" x14ac:dyDescent="0.25">
      <c r="A337" s="185"/>
      <c r="B337" s="185"/>
      <c r="C337" s="185"/>
      <c r="D337" s="185"/>
      <c r="E337" s="185"/>
      <c r="F337" s="185"/>
      <c r="G337" s="185"/>
      <c r="H337" s="185"/>
      <c r="I337" s="185"/>
      <c r="J337" s="185"/>
      <c r="K337" s="185"/>
      <c r="L337" s="185"/>
      <c r="M337" s="185"/>
      <c r="N337" s="185"/>
      <c r="O337" s="185"/>
      <c r="P337" s="185"/>
      <c r="Q337" s="185"/>
      <c r="R337" s="185"/>
      <c r="S337" s="185"/>
      <c r="T337" s="185"/>
      <c r="U337" s="185"/>
      <c r="V337" s="185"/>
      <c r="W337" s="185"/>
      <c r="X337" s="185"/>
      <c r="Y337" s="185"/>
      <c r="Z337" s="185"/>
    </row>
    <row r="338" spans="1:26" ht="16" thickBot="1" x14ac:dyDescent="0.25">
      <c r="A338" s="185"/>
      <c r="B338" s="185"/>
      <c r="C338" s="185"/>
      <c r="D338" s="185"/>
      <c r="E338" s="185"/>
      <c r="F338" s="185"/>
      <c r="G338" s="185"/>
      <c r="H338" s="185"/>
      <c r="I338" s="185"/>
      <c r="J338" s="185"/>
      <c r="K338" s="185"/>
      <c r="L338" s="185"/>
      <c r="M338" s="185"/>
      <c r="N338" s="185"/>
      <c r="O338" s="185"/>
      <c r="P338" s="185"/>
      <c r="Q338" s="185"/>
      <c r="R338" s="185"/>
      <c r="S338" s="185"/>
      <c r="T338" s="185"/>
      <c r="U338" s="185"/>
      <c r="V338" s="185"/>
      <c r="W338" s="185"/>
      <c r="X338" s="185"/>
      <c r="Y338" s="185"/>
      <c r="Z338" s="185"/>
    </row>
    <row r="339" spans="1:26" ht="16" thickBot="1" x14ac:dyDescent="0.25">
      <c r="A339" s="185"/>
      <c r="B339" s="185"/>
      <c r="C339" s="185"/>
      <c r="D339" s="185"/>
      <c r="E339" s="185"/>
      <c r="F339" s="185"/>
      <c r="G339" s="185"/>
      <c r="H339" s="185"/>
      <c r="I339" s="185"/>
      <c r="J339" s="185"/>
      <c r="K339" s="185"/>
      <c r="L339" s="185"/>
      <c r="M339" s="185"/>
      <c r="N339" s="185"/>
      <c r="O339" s="185"/>
      <c r="P339" s="185"/>
      <c r="Q339" s="185"/>
      <c r="R339" s="185"/>
      <c r="S339" s="185"/>
      <c r="T339" s="185"/>
      <c r="U339" s="185"/>
      <c r="V339" s="185"/>
      <c r="W339" s="185"/>
      <c r="X339" s="185"/>
      <c r="Y339" s="185"/>
      <c r="Z339" s="185"/>
    </row>
    <row r="340" spans="1:26" ht="16" thickBot="1" x14ac:dyDescent="0.25">
      <c r="A340" s="185"/>
      <c r="B340" s="185"/>
      <c r="C340" s="185"/>
      <c r="D340" s="185"/>
      <c r="E340" s="185"/>
      <c r="F340" s="185"/>
      <c r="G340" s="185"/>
      <c r="H340" s="185"/>
      <c r="I340" s="185"/>
      <c r="J340" s="185"/>
      <c r="K340" s="185"/>
      <c r="L340" s="185"/>
      <c r="M340" s="185"/>
      <c r="N340" s="185"/>
      <c r="O340" s="185"/>
      <c r="P340" s="185"/>
      <c r="Q340" s="185"/>
      <c r="R340" s="185"/>
      <c r="S340" s="185"/>
      <c r="T340" s="185"/>
      <c r="U340" s="185"/>
      <c r="V340" s="185"/>
      <c r="W340" s="185"/>
      <c r="X340" s="185"/>
      <c r="Y340" s="185"/>
      <c r="Z340" s="185"/>
    </row>
    <row r="341" spans="1:26" ht="16" thickBot="1" x14ac:dyDescent="0.25">
      <c r="A341" s="185"/>
      <c r="B341" s="185"/>
      <c r="C341" s="185"/>
      <c r="D341" s="185"/>
      <c r="E341" s="185"/>
      <c r="F341" s="185"/>
      <c r="G341" s="185"/>
      <c r="H341" s="185"/>
      <c r="I341" s="185"/>
      <c r="J341" s="185"/>
      <c r="K341" s="185"/>
      <c r="L341" s="185"/>
      <c r="M341" s="185"/>
      <c r="N341" s="185"/>
      <c r="O341" s="185"/>
      <c r="P341" s="185"/>
      <c r="Q341" s="185"/>
      <c r="R341" s="185"/>
      <c r="S341" s="185"/>
      <c r="T341" s="185"/>
      <c r="U341" s="185"/>
      <c r="V341" s="185"/>
      <c r="W341" s="185"/>
      <c r="X341" s="185"/>
      <c r="Y341" s="185"/>
      <c r="Z341" s="185"/>
    </row>
    <row r="342" spans="1:26" ht="16" thickBot="1" x14ac:dyDescent="0.25">
      <c r="A342" s="185"/>
      <c r="B342" s="185"/>
      <c r="C342" s="185"/>
      <c r="D342" s="185"/>
      <c r="E342" s="185"/>
      <c r="F342" s="185"/>
      <c r="G342" s="185"/>
      <c r="H342" s="185"/>
      <c r="I342" s="185"/>
      <c r="J342" s="185"/>
      <c r="K342" s="185"/>
      <c r="L342" s="185"/>
      <c r="M342" s="185"/>
      <c r="N342" s="185"/>
      <c r="O342" s="185"/>
      <c r="P342" s="185"/>
      <c r="Q342" s="185"/>
      <c r="R342" s="185"/>
      <c r="S342" s="185"/>
      <c r="T342" s="185"/>
      <c r="U342" s="185"/>
      <c r="V342" s="185"/>
      <c r="W342" s="185"/>
      <c r="X342" s="185"/>
      <c r="Y342" s="185"/>
      <c r="Z342" s="185"/>
    </row>
    <row r="343" spans="1:26" ht="16" thickBot="1" x14ac:dyDescent="0.25">
      <c r="A343" s="185"/>
      <c r="B343" s="185"/>
      <c r="C343" s="185"/>
      <c r="D343" s="185"/>
      <c r="E343" s="185"/>
      <c r="F343" s="185"/>
      <c r="G343" s="185"/>
      <c r="H343" s="185"/>
      <c r="I343" s="185"/>
      <c r="J343" s="185"/>
      <c r="K343" s="185"/>
      <c r="L343" s="185"/>
      <c r="M343" s="185"/>
      <c r="N343" s="185"/>
      <c r="O343" s="185"/>
      <c r="P343" s="185"/>
      <c r="Q343" s="185"/>
      <c r="R343" s="185"/>
      <c r="S343" s="185"/>
      <c r="T343" s="185"/>
      <c r="U343" s="185"/>
      <c r="V343" s="185"/>
      <c r="W343" s="185"/>
      <c r="X343" s="185"/>
      <c r="Y343" s="185"/>
      <c r="Z343" s="185"/>
    </row>
    <row r="344" spans="1:26" ht="16" thickBot="1" x14ac:dyDescent="0.25">
      <c r="A344" s="185"/>
      <c r="B344" s="185"/>
      <c r="C344" s="185"/>
      <c r="D344" s="185"/>
      <c r="E344" s="185"/>
      <c r="F344" s="185"/>
      <c r="G344" s="185"/>
      <c r="H344" s="185"/>
      <c r="I344" s="185"/>
      <c r="J344" s="185"/>
      <c r="K344" s="185"/>
      <c r="L344" s="185"/>
      <c r="M344" s="185"/>
      <c r="N344" s="185"/>
      <c r="O344" s="185"/>
      <c r="P344" s="185"/>
      <c r="Q344" s="185"/>
      <c r="R344" s="185"/>
      <c r="S344" s="185"/>
      <c r="T344" s="185"/>
      <c r="U344" s="185"/>
      <c r="V344" s="185"/>
      <c r="W344" s="185"/>
      <c r="X344" s="185"/>
      <c r="Y344" s="185"/>
      <c r="Z344" s="185"/>
    </row>
    <row r="345" spans="1:26" ht="16" thickBot="1" x14ac:dyDescent="0.25">
      <c r="A345" s="185"/>
      <c r="B345" s="185"/>
      <c r="C345" s="185"/>
      <c r="D345" s="185"/>
      <c r="E345" s="185"/>
      <c r="F345" s="185"/>
      <c r="G345" s="185"/>
      <c r="H345" s="185"/>
      <c r="I345" s="185"/>
      <c r="J345" s="185"/>
      <c r="K345" s="185"/>
      <c r="L345" s="185"/>
      <c r="M345" s="185"/>
      <c r="N345" s="185"/>
      <c r="O345" s="185"/>
      <c r="P345" s="185"/>
      <c r="Q345" s="185"/>
      <c r="R345" s="185"/>
      <c r="S345" s="185"/>
      <c r="T345" s="185"/>
      <c r="U345" s="185"/>
      <c r="V345" s="185"/>
      <c r="W345" s="185"/>
      <c r="X345" s="185"/>
      <c r="Y345" s="185"/>
      <c r="Z345" s="185"/>
    </row>
    <row r="346" spans="1:26" ht="16" thickBot="1" x14ac:dyDescent="0.25">
      <c r="A346" s="185"/>
      <c r="B346" s="185"/>
      <c r="C346" s="185"/>
      <c r="D346" s="185"/>
      <c r="E346" s="185"/>
      <c r="F346" s="185"/>
      <c r="G346" s="185"/>
      <c r="H346" s="185"/>
      <c r="I346" s="185"/>
      <c r="J346" s="185"/>
      <c r="K346" s="185"/>
      <c r="L346" s="185"/>
      <c r="M346" s="185"/>
      <c r="N346" s="185"/>
      <c r="O346" s="185"/>
      <c r="P346" s="185"/>
      <c r="Q346" s="185"/>
      <c r="R346" s="185"/>
      <c r="S346" s="185"/>
      <c r="T346" s="185"/>
      <c r="U346" s="185"/>
      <c r="V346" s="185"/>
      <c r="W346" s="185"/>
      <c r="X346" s="185"/>
      <c r="Y346" s="185"/>
      <c r="Z346" s="185"/>
    </row>
    <row r="347" spans="1:26" ht="16" thickBot="1" x14ac:dyDescent="0.25">
      <c r="A347" s="185"/>
      <c r="B347" s="185"/>
      <c r="C347" s="185"/>
      <c r="D347" s="185"/>
      <c r="E347" s="185"/>
      <c r="F347" s="185"/>
      <c r="G347" s="185"/>
      <c r="H347" s="185"/>
      <c r="I347" s="185"/>
      <c r="J347" s="185"/>
      <c r="K347" s="185"/>
      <c r="L347" s="185"/>
      <c r="M347" s="185"/>
      <c r="N347" s="185"/>
      <c r="O347" s="185"/>
      <c r="P347" s="185"/>
      <c r="Q347" s="185"/>
      <c r="R347" s="185"/>
      <c r="S347" s="185"/>
      <c r="T347" s="185"/>
      <c r="U347" s="185"/>
      <c r="V347" s="185"/>
      <c r="W347" s="185"/>
      <c r="X347" s="185"/>
      <c r="Y347" s="185"/>
      <c r="Z347" s="185"/>
    </row>
    <row r="348" spans="1:26" ht="16" thickBot="1" x14ac:dyDescent="0.25">
      <c r="A348" s="185"/>
      <c r="B348" s="185"/>
      <c r="C348" s="185"/>
      <c r="D348" s="185"/>
      <c r="E348" s="185"/>
      <c r="F348" s="185"/>
      <c r="G348" s="185"/>
      <c r="H348" s="185"/>
      <c r="I348" s="185"/>
      <c r="J348" s="185"/>
      <c r="K348" s="185"/>
      <c r="L348" s="185"/>
      <c r="M348" s="185"/>
      <c r="N348" s="185"/>
      <c r="O348" s="185"/>
      <c r="P348" s="185"/>
      <c r="Q348" s="185"/>
      <c r="R348" s="185"/>
      <c r="S348" s="185"/>
      <c r="T348" s="185"/>
      <c r="U348" s="185"/>
      <c r="V348" s="185"/>
      <c r="W348" s="185"/>
      <c r="X348" s="185"/>
      <c r="Y348" s="185"/>
      <c r="Z348" s="185"/>
    </row>
    <row r="349" spans="1:26" ht="16" thickBot="1" x14ac:dyDescent="0.25">
      <c r="A349" s="185"/>
      <c r="B349" s="185"/>
      <c r="C349" s="185"/>
      <c r="D349" s="185"/>
      <c r="E349" s="185"/>
      <c r="F349" s="185"/>
      <c r="G349" s="185"/>
      <c r="H349" s="185"/>
      <c r="I349" s="185"/>
      <c r="J349" s="185"/>
      <c r="K349" s="185"/>
      <c r="L349" s="185"/>
      <c r="M349" s="185"/>
      <c r="N349" s="185"/>
      <c r="O349" s="185"/>
      <c r="P349" s="185"/>
      <c r="Q349" s="185"/>
      <c r="R349" s="185"/>
      <c r="S349" s="185"/>
      <c r="T349" s="185"/>
      <c r="U349" s="185"/>
      <c r="V349" s="185"/>
      <c r="W349" s="185"/>
      <c r="X349" s="185"/>
      <c r="Y349" s="185"/>
      <c r="Z349" s="185"/>
    </row>
    <row r="350" spans="1:26" ht="16" thickBot="1" x14ac:dyDescent="0.25">
      <c r="A350" s="185"/>
      <c r="B350" s="185"/>
      <c r="C350" s="185"/>
      <c r="D350" s="185"/>
      <c r="E350" s="185"/>
      <c r="F350" s="185"/>
      <c r="G350" s="185"/>
      <c r="H350" s="185"/>
      <c r="I350" s="185"/>
      <c r="J350" s="185"/>
      <c r="K350" s="185"/>
      <c r="L350" s="185"/>
      <c r="M350" s="185"/>
      <c r="N350" s="185"/>
      <c r="O350" s="185"/>
      <c r="P350" s="185"/>
      <c r="Q350" s="185"/>
      <c r="R350" s="185"/>
      <c r="S350" s="185"/>
      <c r="T350" s="185"/>
      <c r="U350" s="185"/>
      <c r="V350" s="185"/>
      <c r="W350" s="185"/>
      <c r="X350" s="185"/>
      <c r="Y350" s="185"/>
      <c r="Z350" s="185"/>
    </row>
    <row r="351" spans="1:26" ht="16" thickBot="1" x14ac:dyDescent="0.25">
      <c r="A351" s="185"/>
      <c r="B351" s="185"/>
      <c r="C351" s="185"/>
      <c r="D351" s="185"/>
      <c r="E351" s="185"/>
      <c r="F351" s="185"/>
      <c r="G351" s="185"/>
      <c r="H351" s="185"/>
      <c r="I351" s="185"/>
      <c r="J351" s="185"/>
      <c r="K351" s="185"/>
      <c r="L351" s="185"/>
      <c r="M351" s="185"/>
      <c r="N351" s="185"/>
      <c r="O351" s="185"/>
      <c r="P351" s="185"/>
      <c r="Q351" s="185"/>
      <c r="R351" s="185"/>
      <c r="S351" s="185"/>
      <c r="T351" s="185"/>
      <c r="U351" s="185"/>
      <c r="V351" s="185"/>
      <c r="W351" s="185"/>
      <c r="X351" s="185"/>
      <c r="Y351" s="185"/>
      <c r="Z351" s="185"/>
    </row>
    <row r="352" spans="1:26" ht="16" thickBot="1" x14ac:dyDescent="0.25">
      <c r="A352" s="185"/>
      <c r="B352" s="185"/>
      <c r="C352" s="185"/>
      <c r="D352" s="185"/>
      <c r="E352" s="185"/>
      <c r="F352" s="185"/>
      <c r="G352" s="185"/>
      <c r="H352" s="185"/>
      <c r="I352" s="185"/>
      <c r="J352" s="185"/>
      <c r="K352" s="185"/>
      <c r="L352" s="185"/>
      <c r="M352" s="185"/>
      <c r="N352" s="185"/>
      <c r="O352" s="185"/>
      <c r="P352" s="185"/>
      <c r="Q352" s="185"/>
      <c r="R352" s="185"/>
      <c r="S352" s="185"/>
      <c r="T352" s="185"/>
      <c r="U352" s="185"/>
      <c r="V352" s="185"/>
      <c r="W352" s="185"/>
      <c r="X352" s="185"/>
      <c r="Y352" s="185"/>
      <c r="Z352" s="185"/>
    </row>
    <row r="353" spans="1:26" ht="16" thickBot="1" x14ac:dyDescent="0.25">
      <c r="A353" s="185"/>
      <c r="B353" s="185"/>
      <c r="C353" s="185"/>
      <c r="D353" s="185"/>
      <c r="E353" s="185"/>
      <c r="F353" s="185"/>
      <c r="G353" s="185"/>
      <c r="H353" s="185"/>
      <c r="I353" s="185"/>
      <c r="J353" s="185"/>
      <c r="K353" s="185"/>
      <c r="L353" s="185"/>
      <c r="M353" s="185"/>
      <c r="N353" s="185"/>
      <c r="O353" s="185"/>
      <c r="P353" s="185"/>
      <c r="Q353" s="185"/>
      <c r="R353" s="185"/>
      <c r="S353" s="185"/>
      <c r="T353" s="185"/>
      <c r="U353" s="185"/>
      <c r="V353" s="185"/>
      <c r="W353" s="185"/>
      <c r="X353" s="185"/>
      <c r="Y353" s="185"/>
      <c r="Z353" s="185"/>
    </row>
    <row r="354" spans="1:26" ht="16" thickBot="1" x14ac:dyDescent="0.25">
      <c r="A354" s="185"/>
      <c r="B354" s="185"/>
      <c r="C354" s="185"/>
      <c r="D354" s="185"/>
      <c r="E354" s="185"/>
      <c r="F354" s="185"/>
      <c r="G354" s="185"/>
      <c r="H354" s="185"/>
      <c r="I354" s="185"/>
      <c r="J354" s="185"/>
      <c r="K354" s="185"/>
      <c r="L354" s="185"/>
      <c r="M354" s="185"/>
      <c r="N354" s="185"/>
      <c r="O354" s="185"/>
      <c r="P354" s="185"/>
      <c r="Q354" s="185"/>
      <c r="R354" s="185"/>
      <c r="S354" s="185"/>
      <c r="T354" s="185"/>
      <c r="U354" s="185"/>
      <c r="V354" s="185"/>
      <c r="W354" s="185"/>
      <c r="X354" s="185"/>
      <c r="Y354" s="185"/>
      <c r="Z354" s="185"/>
    </row>
    <row r="355" spans="1:26" ht="16" thickBot="1" x14ac:dyDescent="0.25">
      <c r="A355" s="185"/>
      <c r="B355" s="185"/>
      <c r="C355" s="185"/>
      <c r="D355" s="185"/>
      <c r="E355" s="185"/>
      <c r="F355" s="185"/>
      <c r="G355" s="185"/>
      <c r="H355" s="185"/>
      <c r="I355" s="185"/>
      <c r="J355" s="185"/>
      <c r="K355" s="185"/>
      <c r="L355" s="185"/>
      <c r="M355" s="185"/>
      <c r="N355" s="185"/>
      <c r="O355" s="185"/>
      <c r="P355" s="185"/>
      <c r="Q355" s="185"/>
      <c r="R355" s="185"/>
      <c r="S355" s="185"/>
      <c r="T355" s="185"/>
      <c r="U355" s="185"/>
      <c r="V355" s="185"/>
      <c r="W355" s="185"/>
      <c r="X355" s="185"/>
      <c r="Y355" s="185"/>
      <c r="Z355" s="185"/>
    </row>
    <row r="356" spans="1:26" ht="16" thickBot="1" x14ac:dyDescent="0.25">
      <c r="A356" s="185"/>
      <c r="B356" s="185"/>
      <c r="C356" s="185"/>
      <c r="D356" s="185"/>
      <c r="E356" s="185"/>
      <c r="F356" s="185"/>
      <c r="G356" s="185"/>
      <c r="H356" s="185"/>
      <c r="I356" s="185"/>
      <c r="J356" s="185"/>
      <c r="K356" s="185"/>
      <c r="L356" s="185"/>
      <c r="M356" s="185"/>
      <c r="N356" s="185"/>
      <c r="O356" s="185"/>
      <c r="P356" s="185"/>
      <c r="Q356" s="185"/>
      <c r="R356" s="185"/>
      <c r="S356" s="185"/>
      <c r="T356" s="185"/>
      <c r="U356" s="185"/>
      <c r="V356" s="185"/>
      <c r="W356" s="185"/>
      <c r="X356" s="185"/>
      <c r="Y356" s="185"/>
      <c r="Z356" s="185"/>
    </row>
    <row r="357" spans="1:26" ht="16" thickBot="1" x14ac:dyDescent="0.25">
      <c r="A357" s="185"/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5"/>
      <c r="O357" s="185"/>
      <c r="P357" s="185"/>
      <c r="Q357" s="185"/>
      <c r="R357" s="185"/>
      <c r="S357" s="185"/>
      <c r="T357" s="185"/>
      <c r="U357" s="185"/>
      <c r="V357" s="185"/>
      <c r="W357" s="185"/>
      <c r="X357" s="185"/>
      <c r="Y357" s="185"/>
      <c r="Z357" s="185"/>
    </row>
    <row r="358" spans="1:26" ht="16" thickBot="1" x14ac:dyDescent="0.25">
      <c r="A358" s="185"/>
      <c r="B358" s="185"/>
      <c r="C358" s="185"/>
      <c r="D358" s="185"/>
      <c r="E358" s="185"/>
      <c r="F358" s="185"/>
      <c r="G358" s="185"/>
      <c r="H358" s="185"/>
      <c r="I358" s="185"/>
      <c r="J358" s="185"/>
      <c r="K358" s="185"/>
      <c r="L358" s="185"/>
      <c r="M358" s="185"/>
      <c r="N358" s="185"/>
      <c r="O358" s="185"/>
      <c r="P358" s="185"/>
      <c r="Q358" s="185"/>
      <c r="R358" s="185"/>
      <c r="S358" s="185"/>
      <c r="T358" s="185"/>
      <c r="U358" s="185"/>
      <c r="V358" s="185"/>
      <c r="W358" s="185"/>
      <c r="X358" s="185"/>
      <c r="Y358" s="185"/>
      <c r="Z358" s="185"/>
    </row>
    <row r="359" spans="1:26" ht="16" thickBot="1" x14ac:dyDescent="0.25">
      <c r="A359" s="185"/>
      <c r="B359" s="185"/>
      <c r="C359" s="185"/>
      <c r="D359" s="185"/>
      <c r="E359" s="185"/>
      <c r="F359" s="185"/>
      <c r="G359" s="185"/>
      <c r="H359" s="185"/>
      <c r="I359" s="185"/>
      <c r="J359" s="185"/>
      <c r="K359" s="185"/>
      <c r="L359" s="185"/>
      <c r="M359" s="185"/>
      <c r="N359" s="185"/>
      <c r="O359" s="185"/>
      <c r="P359" s="185"/>
      <c r="Q359" s="185"/>
      <c r="R359" s="185"/>
      <c r="S359" s="185"/>
      <c r="T359" s="185"/>
      <c r="U359" s="185"/>
      <c r="V359" s="185"/>
      <c r="W359" s="185"/>
      <c r="X359" s="185"/>
      <c r="Y359" s="185"/>
      <c r="Z359" s="185"/>
    </row>
    <row r="360" spans="1:26" ht="16" thickBot="1" x14ac:dyDescent="0.25">
      <c r="A360" s="185"/>
      <c r="B360" s="185"/>
      <c r="C360" s="185"/>
      <c r="D360" s="185"/>
      <c r="E360" s="185"/>
      <c r="F360" s="185"/>
      <c r="G360" s="185"/>
      <c r="H360" s="185"/>
      <c r="I360" s="185"/>
      <c r="J360" s="185"/>
      <c r="K360" s="185"/>
      <c r="L360" s="185"/>
      <c r="M360" s="185"/>
      <c r="N360" s="185"/>
      <c r="O360" s="185"/>
      <c r="P360" s="185"/>
      <c r="Q360" s="185"/>
      <c r="R360" s="185"/>
      <c r="S360" s="185"/>
      <c r="T360" s="185"/>
      <c r="U360" s="185"/>
      <c r="V360" s="185"/>
      <c r="W360" s="185"/>
      <c r="X360" s="185"/>
      <c r="Y360" s="185"/>
      <c r="Z360" s="185"/>
    </row>
    <row r="361" spans="1:26" ht="16" thickBot="1" x14ac:dyDescent="0.25">
      <c r="A361" s="185"/>
      <c r="B361" s="185"/>
      <c r="C361" s="185"/>
      <c r="D361" s="185"/>
      <c r="E361" s="185"/>
      <c r="F361" s="185"/>
      <c r="G361" s="185"/>
      <c r="H361" s="185"/>
      <c r="I361" s="185"/>
      <c r="J361" s="185"/>
      <c r="K361" s="185"/>
      <c r="L361" s="185"/>
      <c r="M361" s="185"/>
      <c r="N361" s="185"/>
      <c r="O361" s="185"/>
      <c r="P361" s="185"/>
      <c r="Q361" s="185"/>
      <c r="R361" s="185"/>
      <c r="S361" s="185"/>
      <c r="T361" s="185"/>
      <c r="U361" s="185"/>
      <c r="V361" s="185"/>
      <c r="W361" s="185"/>
      <c r="X361" s="185"/>
      <c r="Y361" s="185"/>
      <c r="Z361" s="185"/>
    </row>
    <row r="362" spans="1:26" ht="16" thickBot="1" x14ac:dyDescent="0.25">
      <c r="A362" s="185"/>
      <c r="B362" s="185"/>
      <c r="C362" s="185"/>
      <c r="D362" s="185"/>
      <c r="E362" s="185"/>
      <c r="F362" s="185"/>
      <c r="G362" s="185"/>
      <c r="H362" s="185"/>
      <c r="I362" s="185"/>
      <c r="J362" s="185"/>
      <c r="K362" s="185"/>
      <c r="L362" s="185"/>
      <c r="M362" s="185"/>
      <c r="N362" s="185"/>
      <c r="O362" s="185"/>
      <c r="P362" s="185"/>
      <c r="Q362" s="185"/>
      <c r="R362" s="185"/>
      <c r="S362" s="185"/>
      <c r="T362" s="185"/>
      <c r="U362" s="185"/>
      <c r="V362" s="185"/>
      <c r="W362" s="185"/>
      <c r="X362" s="185"/>
      <c r="Y362" s="185"/>
      <c r="Z362" s="185"/>
    </row>
    <row r="363" spans="1:26" ht="16" thickBot="1" x14ac:dyDescent="0.25">
      <c r="A363" s="185"/>
      <c r="B363" s="185"/>
      <c r="C363" s="185"/>
      <c r="D363" s="185"/>
      <c r="E363" s="185"/>
      <c r="F363" s="185"/>
      <c r="G363" s="185"/>
      <c r="H363" s="185"/>
      <c r="I363" s="185"/>
      <c r="J363" s="185"/>
      <c r="K363" s="185"/>
      <c r="L363" s="185"/>
      <c r="M363" s="185"/>
      <c r="N363" s="185"/>
      <c r="O363" s="185"/>
      <c r="P363" s="185"/>
      <c r="Q363" s="185"/>
      <c r="R363" s="185"/>
      <c r="S363" s="185"/>
      <c r="T363" s="185"/>
      <c r="U363" s="185"/>
      <c r="V363" s="185"/>
      <c r="W363" s="185"/>
      <c r="X363" s="185"/>
      <c r="Y363" s="185"/>
      <c r="Z363" s="185"/>
    </row>
    <row r="364" spans="1:26" ht="16" thickBot="1" x14ac:dyDescent="0.25">
      <c r="A364" s="185"/>
      <c r="B364" s="185"/>
      <c r="C364" s="185"/>
      <c r="D364" s="185"/>
      <c r="E364" s="185"/>
      <c r="F364" s="185"/>
      <c r="G364" s="185"/>
      <c r="H364" s="185"/>
      <c r="I364" s="185"/>
      <c r="J364" s="185"/>
      <c r="K364" s="185"/>
      <c r="L364" s="185"/>
      <c r="M364" s="185"/>
      <c r="N364" s="185"/>
      <c r="O364" s="185"/>
      <c r="P364" s="185"/>
      <c r="Q364" s="185"/>
      <c r="R364" s="185"/>
      <c r="S364" s="185"/>
      <c r="T364" s="185"/>
      <c r="U364" s="185"/>
      <c r="V364" s="185"/>
      <c r="W364" s="185"/>
      <c r="X364" s="185"/>
      <c r="Y364" s="185"/>
      <c r="Z364" s="185"/>
    </row>
    <row r="365" spans="1:26" ht="16" thickBot="1" x14ac:dyDescent="0.25">
      <c r="A365" s="185"/>
      <c r="B365" s="185"/>
      <c r="C365" s="185"/>
      <c r="D365" s="185"/>
      <c r="E365" s="185"/>
      <c r="F365" s="185"/>
      <c r="G365" s="185"/>
      <c r="H365" s="185"/>
      <c r="I365" s="185"/>
      <c r="J365" s="185"/>
      <c r="K365" s="185"/>
      <c r="L365" s="185"/>
      <c r="M365" s="185"/>
      <c r="N365" s="185"/>
      <c r="O365" s="185"/>
      <c r="P365" s="185"/>
      <c r="Q365" s="185"/>
      <c r="R365" s="185"/>
      <c r="S365" s="185"/>
      <c r="T365" s="185"/>
      <c r="U365" s="185"/>
      <c r="V365" s="185"/>
      <c r="W365" s="185"/>
      <c r="X365" s="185"/>
      <c r="Y365" s="185"/>
      <c r="Z365" s="185"/>
    </row>
    <row r="366" spans="1:26" ht="16" thickBot="1" x14ac:dyDescent="0.25">
      <c r="A366" s="185"/>
      <c r="B366" s="185"/>
      <c r="C366" s="185"/>
      <c r="D366" s="185"/>
      <c r="E366" s="185"/>
      <c r="F366" s="185"/>
      <c r="G366" s="185"/>
      <c r="H366" s="185"/>
      <c r="I366" s="185"/>
      <c r="J366" s="185"/>
      <c r="K366" s="185"/>
      <c r="L366" s="185"/>
      <c r="M366" s="185"/>
      <c r="N366" s="185"/>
      <c r="O366" s="185"/>
      <c r="P366" s="185"/>
      <c r="Q366" s="185"/>
      <c r="R366" s="185"/>
      <c r="S366" s="185"/>
      <c r="T366" s="185"/>
      <c r="U366" s="185"/>
      <c r="V366" s="185"/>
      <c r="W366" s="185"/>
      <c r="X366" s="185"/>
      <c r="Y366" s="185"/>
      <c r="Z366" s="185"/>
    </row>
    <row r="367" spans="1:26" ht="16" thickBot="1" x14ac:dyDescent="0.25">
      <c r="A367" s="185"/>
      <c r="B367" s="185"/>
      <c r="C367" s="185"/>
      <c r="D367" s="185"/>
      <c r="E367" s="185"/>
      <c r="F367" s="185"/>
      <c r="G367" s="185"/>
      <c r="H367" s="185"/>
      <c r="I367" s="185"/>
      <c r="J367" s="185"/>
      <c r="K367" s="185"/>
      <c r="L367" s="185"/>
      <c r="M367" s="185"/>
      <c r="N367" s="185"/>
      <c r="O367" s="185"/>
      <c r="P367" s="185"/>
      <c r="Q367" s="185"/>
      <c r="R367" s="185"/>
      <c r="S367" s="185"/>
      <c r="T367" s="185"/>
      <c r="U367" s="185"/>
      <c r="V367" s="185"/>
      <c r="W367" s="185"/>
      <c r="X367" s="185"/>
      <c r="Y367" s="185"/>
      <c r="Z367" s="185"/>
    </row>
    <row r="368" spans="1:26" ht="16" thickBot="1" x14ac:dyDescent="0.25">
      <c r="A368" s="185"/>
      <c r="B368" s="185"/>
      <c r="C368" s="185"/>
      <c r="D368" s="185"/>
      <c r="E368" s="185"/>
      <c r="F368" s="185"/>
      <c r="G368" s="185"/>
      <c r="H368" s="185"/>
      <c r="I368" s="185"/>
      <c r="J368" s="185"/>
      <c r="K368" s="185"/>
      <c r="L368" s="185"/>
      <c r="M368" s="185"/>
      <c r="N368" s="185"/>
      <c r="O368" s="185"/>
      <c r="P368" s="185"/>
      <c r="Q368" s="185"/>
      <c r="R368" s="185"/>
      <c r="S368" s="185"/>
      <c r="T368" s="185"/>
      <c r="U368" s="185"/>
      <c r="V368" s="185"/>
      <c r="W368" s="185"/>
      <c r="X368" s="185"/>
      <c r="Y368" s="185"/>
      <c r="Z368" s="185"/>
    </row>
    <row r="369" spans="1:26" ht="16" thickBot="1" x14ac:dyDescent="0.25">
      <c r="A369" s="185"/>
      <c r="B369" s="185"/>
      <c r="C369" s="185"/>
      <c r="D369" s="185"/>
      <c r="E369" s="185"/>
      <c r="F369" s="185"/>
      <c r="G369" s="185"/>
      <c r="H369" s="185"/>
      <c r="I369" s="185"/>
      <c r="J369" s="185"/>
      <c r="K369" s="185"/>
      <c r="L369" s="185"/>
      <c r="M369" s="185"/>
      <c r="N369" s="185"/>
      <c r="O369" s="185"/>
      <c r="P369" s="185"/>
      <c r="Q369" s="185"/>
      <c r="R369" s="185"/>
      <c r="S369" s="185"/>
      <c r="T369" s="185"/>
      <c r="U369" s="185"/>
      <c r="V369" s="185"/>
      <c r="W369" s="185"/>
      <c r="X369" s="185"/>
      <c r="Y369" s="185"/>
      <c r="Z369" s="185"/>
    </row>
    <row r="370" spans="1:26" ht="16" thickBot="1" x14ac:dyDescent="0.25">
      <c r="A370" s="185"/>
      <c r="B370" s="185"/>
      <c r="C370" s="185"/>
      <c r="D370" s="185"/>
      <c r="E370" s="185"/>
      <c r="F370" s="185"/>
      <c r="G370" s="185"/>
      <c r="H370" s="185"/>
      <c r="I370" s="185"/>
      <c r="J370" s="185"/>
      <c r="K370" s="185"/>
      <c r="L370" s="185"/>
      <c r="M370" s="185"/>
      <c r="N370" s="185"/>
      <c r="O370" s="185"/>
      <c r="P370" s="185"/>
      <c r="Q370" s="185"/>
      <c r="R370" s="185"/>
      <c r="S370" s="185"/>
      <c r="T370" s="185"/>
      <c r="U370" s="185"/>
      <c r="V370" s="185"/>
      <c r="W370" s="185"/>
      <c r="X370" s="185"/>
      <c r="Y370" s="185"/>
      <c r="Z370" s="185"/>
    </row>
    <row r="371" spans="1:26" ht="16" thickBot="1" x14ac:dyDescent="0.25">
      <c r="A371" s="185"/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5"/>
      <c r="O371" s="185"/>
      <c r="P371" s="185"/>
      <c r="Q371" s="185"/>
      <c r="R371" s="185"/>
      <c r="S371" s="185"/>
      <c r="T371" s="185"/>
      <c r="U371" s="185"/>
      <c r="V371" s="185"/>
      <c r="W371" s="185"/>
      <c r="X371" s="185"/>
      <c r="Y371" s="185"/>
      <c r="Z371" s="185"/>
    </row>
    <row r="372" spans="1:26" ht="16" thickBot="1" x14ac:dyDescent="0.25">
      <c r="A372" s="185"/>
      <c r="B372" s="185"/>
      <c r="C372" s="185"/>
      <c r="D372" s="185"/>
      <c r="E372" s="185"/>
      <c r="F372" s="185"/>
      <c r="G372" s="185"/>
      <c r="H372" s="185"/>
      <c r="I372" s="185"/>
      <c r="J372" s="185"/>
      <c r="K372" s="185"/>
      <c r="L372" s="185"/>
      <c r="M372" s="185"/>
      <c r="N372" s="185"/>
      <c r="O372" s="185"/>
      <c r="P372" s="185"/>
      <c r="Q372" s="185"/>
      <c r="R372" s="185"/>
      <c r="S372" s="185"/>
      <c r="T372" s="185"/>
      <c r="U372" s="185"/>
      <c r="V372" s="185"/>
      <c r="W372" s="185"/>
      <c r="X372" s="185"/>
      <c r="Y372" s="185"/>
      <c r="Z372" s="185"/>
    </row>
    <row r="373" spans="1:26" ht="16" thickBot="1" x14ac:dyDescent="0.25">
      <c r="A373" s="185"/>
      <c r="B373" s="185"/>
      <c r="C373" s="185"/>
      <c r="D373" s="185"/>
      <c r="E373" s="185"/>
      <c r="F373" s="185"/>
      <c r="G373" s="185"/>
      <c r="H373" s="185"/>
      <c r="I373" s="185"/>
      <c r="J373" s="185"/>
      <c r="K373" s="185"/>
      <c r="L373" s="185"/>
      <c r="M373" s="185"/>
      <c r="N373" s="185"/>
      <c r="O373" s="185"/>
      <c r="P373" s="185"/>
      <c r="Q373" s="185"/>
      <c r="R373" s="185"/>
      <c r="S373" s="185"/>
      <c r="T373" s="185"/>
      <c r="U373" s="185"/>
      <c r="V373" s="185"/>
      <c r="W373" s="185"/>
      <c r="X373" s="185"/>
      <c r="Y373" s="185"/>
      <c r="Z373" s="185"/>
    </row>
    <row r="374" spans="1:26" ht="16" thickBot="1" x14ac:dyDescent="0.25">
      <c r="A374" s="185"/>
      <c r="B374" s="185"/>
      <c r="C374" s="185"/>
      <c r="D374" s="185"/>
      <c r="E374" s="185"/>
      <c r="F374" s="185"/>
      <c r="G374" s="185"/>
      <c r="H374" s="185"/>
      <c r="I374" s="185"/>
      <c r="J374" s="185"/>
      <c r="K374" s="185"/>
      <c r="L374" s="185"/>
      <c r="M374" s="185"/>
      <c r="N374" s="185"/>
      <c r="O374" s="185"/>
      <c r="P374" s="185"/>
      <c r="Q374" s="185"/>
      <c r="R374" s="185"/>
      <c r="S374" s="185"/>
      <c r="T374" s="185"/>
      <c r="U374" s="185"/>
      <c r="V374" s="185"/>
      <c r="W374" s="185"/>
      <c r="X374" s="185"/>
      <c r="Y374" s="185"/>
      <c r="Z374" s="185"/>
    </row>
    <row r="375" spans="1:26" ht="16" thickBot="1" x14ac:dyDescent="0.25">
      <c r="A375" s="185"/>
      <c r="B375" s="185"/>
      <c r="C375" s="185"/>
      <c r="D375" s="185"/>
      <c r="E375" s="185"/>
      <c r="F375" s="185"/>
      <c r="G375" s="185"/>
      <c r="H375" s="185"/>
      <c r="I375" s="185"/>
      <c r="J375" s="185"/>
      <c r="K375" s="185"/>
      <c r="L375" s="185"/>
      <c r="M375" s="185"/>
      <c r="N375" s="185"/>
      <c r="O375" s="185"/>
      <c r="P375" s="185"/>
      <c r="Q375" s="185"/>
      <c r="R375" s="185"/>
      <c r="S375" s="185"/>
      <c r="T375" s="185"/>
      <c r="U375" s="185"/>
      <c r="V375" s="185"/>
      <c r="W375" s="185"/>
      <c r="X375" s="185"/>
      <c r="Y375" s="185"/>
      <c r="Z375" s="185"/>
    </row>
    <row r="376" spans="1:26" ht="16" thickBot="1" x14ac:dyDescent="0.25">
      <c r="A376" s="185"/>
      <c r="B376" s="185"/>
      <c r="C376" s="185"/>
      <c r="D376" s="185"/>
      <c r="E376" s="185"/>
      <c r="F376" s="185"/>
      <c r="G376" s="185"/>
      <c r="H376" s="185"/>
      <c r="I376" s="185"/>
      <c r="J376" s="185"/>
      <c r="K376" s="185"/>
      <c r="L376" s="185"/>
      <c r="M376" s="185"/>
      <c r="N376" s="185"/>
      <c r="O376" s="185"/>
      <c r="P376" s="185"/>
      <c r="Q376" s="185"/>
      <c r="R376" s="185"/>
      <c r="S376" s="185"/>
      <c r="T376" s="185"/>
      <c r="U376" s="185"/>
      <c r="V376" s="185"/>
      <c r="W376" s="185"/>
      <c r="X376" s="185"/>
      <c r="Y376" s="185"/>
      <c r="Z376" s="185"/>
    </row>
    <row r="377" spans="1:26" ht="16" thickBot="1" x14ac:dyDescent="0.25">
      <c r="A377" s="185"/>
      <c r="B377" s="185"/>
      <c r="C377" s="185"/>
      <c r="D377" s="185"/>
      <c r="E377" s="185"/>
      <c r="F377" s="185"/>
      <c r="G377" s="185"/>
      <c r="H377" s="185"/>
      <c r="I377" s="185"/>
      <c r="J377" s="185"/>
      <c r="K377" s="185"/>
      <c r="L377" s="185"/>
      <c r="M377" s="185"/>
      <c r="N377" s="185"/>
      <c r="O377" s="185"/>
      <c r="P377" s="185"/>
      <c r="Q377" s="185"/>
      <c r="R377" s="185"/>
      <c r="S377" s="185"/>
      <c r="T377" s="185"/>
      <c r="U377" s="185"/>
      <c r="V377" s="185"/>
      <c r="W377" s="185"/>
      <c r="X377" s="185"/>
      <c r="Y377" s="185"/>
      <c r="Z377" s="185"/>
    </row>
    <row r="378" spans="1:26" ht="16" thickBot="1" x14ac:dyDescent="0.25">
      <c r="A378" s="185"/>
      <c r="B378" s="185"/>
      <c r="C378" s="185"/>
      <c r="D378" s="185"/>
      <c r="E378" s="185"/>
      <c r="F378" s="185"/>
      <c r="G378" s="185"/>
      <c r="H378" s="185"/>
      <c r="I378" s="185"/>
      <c r="J378" s="185"/>
      <c r="K378" s="185"/>
      <c r="L378" s="185"/>
      <c r="M378" s="185"/>
      <c r="N378" s="185"/>
      <c r="O378" s="185"/>
      <c r="P378" s="185"/>
      <c r="Q378" s="185"/>
      <c r="R378" s="185"/>
      <c r="S378" s="185"/>
      <c r="T378" s="185"/>
      <c r="U378" s="185"/>
      <c r="V378" s="185"/>
      <c r="W378" s="185"/>
      <c r="X378" s="185"/>
      <c r="Y378" s="185"/>
      <c r="Z378" s="185"/>
    </row>
    <row r="379" spans="1:26" ht="16" thickBot="1" x14ac:dyDescent="0.25">
      <c r="A379" s="185"/>
      <c r="B379" s="185"/>
      <c r="C379" s="185"/>
      <c r="D379" s="185"/>
      <c r="E379" s="185"/>
      <c r="F379" s="185"/>
      <c r="G379" s="185"/>
      <c r="H379" s="185"/>
      <c r="I379" s="185"/>
      <c r="J379" s="185"/>
      <c r="K379" s="185"/>
      <c r="L379" s="185"/>
      <c r="M379" s="185"/>
      <c r="N379" s="185"/>
      <c r="O379" s="185"/>
      <c r="P379" s="185"/>
      <c r="Q379" s="185"/>
      <c r="R379" s="185"/>
      <c r="S379" s="185"/>
      <c r="T379" s="185"/>
      <c r="U379" s="185"/>
      <c r="V379" s="185"/>
      <c r="W379" s="185"/>
      <c r="X379" s="185"/>
      <c r="Y379" s="185"/>
      <c r="Z379" s="185"/>
    </row>
    <row r="380" spans="1:26" ht="16" thickBot="1" x14ac:dyDescent="0.25">
      <c r="A380" s="185"/>
      <c r="B380" s="185"/>
      <c r="C380" s="185"/>
      <c r="D380" s="185"/>
      <c r="E380" s="185"/>
      <c r="F380" s="185"/>
      <c r="G380" s="185"/>
      <c r="H380" s="185"/>
      <c r="I380" s="185"/>
      <c r="J380" s="185"/>
      <c r="K380" s="185"/>
      <c r="L380" s="185"/>
      <c r="M380" s="185"/>
      <c r="N380" s="185"/>
      <c r="O380" s="185"/>
      <c r="P380" s="185"/>
      <c r="Q380" s="185"/>
      <c r="R380" s="185"/>
      <c r="S380" s="185"/>
      <c r="T380" s="185"/>
      <c r="U380" s="185"/>
      <c r="V380" s="185"/>
      <c r="W380" s="185"/>
      <c r="X380" s="185"/>
      <c r="Y380" s="185"/>
      <c r="Z380" s="185"/>
    </row>
    <row r="381" spans="1:26" ht="16" thickBot="1" x14ac:dyDescent="0.25">
      <c r="A381" s="185"/>
      <c r="B381" s="185"/>
      <c r="C381" s="185"/>
      <c r="D381" s="185"/>
      <c r="E381" s="185"/>
      <c r="F381" s="185"/>
      <c r="G381" s="185"/>
      <c r="H381" s="185"/>
      <c r="I381" s="185"/>
      <c r="J381" s="185"/>
      <c r="K381" s="185"/>
      <c r="L381" s="185"/>
      <c r="M381" s="185"/>
      <c r="N381" s="185"/>
      <c r="O381" s="185"/>
      <c r="P381" s="185"/>
      <c r="Q381" s="185"/>
      <c r="R381" s="185"/>
      <c r="S381" s="185"/>
      <c r="T381" s="185"/>
      <c r="U381" s="185"/>
      <c r="V381" s="185"/>
      <c r="W381" s="185"/>
      <c r="X381" s="185"/>
      <c r="Y381" s="185"/>
      <c r="Z381" s="185"/>
    </row>
    <row r="382" spans="1:26" ht="16" thickBot="1" x14ac:dyDescent="0.25">
      <c r="A382" s="185"/>
      <c r="B382" s="185"/>
      <c r="C382" s="185"/>
      <c r="D382" s="185"/>
      <c r="E382" s="185"/>
      <c r="F382" s="185"/>
      <c r="G382" s="185"/>
      <c r="H382" s="185"/>
      <c r="I382" s="185"/>
      <c r="J382" s="185"/>
      <c r="K382" s="185"/>
      <c r="L382" s="185"/>
      <c r="M382" s="185"/>
      <c r="N382" s="185"/>
      <c r="O382" s="185"/>
      <c r="P382" s="185"/>
      <c r="Q382" s="185"/>
      <c r="R382" s="185"/>
      <c r="S382" s="185"/>
      <c r="T382" s="185"/>
      <c r="U382" s="185"/>
      <c r="V382" s="185"/>
      <c r="W382" s="185"/>
      <c r="X382" s="185"/>
      <c r="Y382" s="185"/>
      <c r="Z382" s="185"/>
    </row>
    <row r="383" spans="1:26" ht="16" thickBot="1" x14ac:dyDescent="0.25">
      <c r="A383" s="185"/>
      <c r="B383" s="185"/>
      <c r="C383" s="185"/>
      <c r="D383" s="185"/>
      <c r="E383" s="185"/>
      <c r="F383" s="185"/>
      <c r="G383" s="185"/>
      <c r="H383" s="185"/>
      <c r="I383" s="185"/>
      <c r="J383" s="185"/>
      <c r="K383" s="185"/>
      <c r="L383" s="185"/>
      <c r="M383" s="185"/>
      <c r="N383" s="185"/>
      <c r="O383" s="185"/>
      <c r="P383" s="185"/>
      <c r="Q383" s="185"/>
      <c r="R383" s="185"/>
      <c r="S383" s="185"/>
      <c r="T383" s="185"/>
      <c r="U383" s="185"/>
      <c r="V383" s="185"/>
      <c r="W383" s="185"/>
      <c r="X383" s="185"/>
      <c r="Y383" s="185"/>
      <c r="Z383" s="185"/>
    </row>
    <row r="384" spans="1:26" ht="16" thickBot="1" x14ac:dyDescent="0.25">
      <c r="A384" s="185"/>
      <c r="B384" s="185"/>
      <c r="C384" s="185"/>
      <c r="D384" s="185"/>
      <c r="E384" s="185"/>
      <c r="F384" s="185"/>
      <c r="G384" s="185"/>
      <c r="H384" s="185"/>
      <c r="I384" s="185"/>
      <c r="J384" s="185"/>
      <c r="K384" s="185"/>
      <c r="L384" s="185"/>
      <c r="M384" s="185"/>
      <c r="N384" s="185"/>
      <c r="O384" s="185"/>
      <c r="P384" s="185"/>
      <c r="Q384" s="185"/>
      <c r="R384" s="185"/>
      <c r="S384" s="185"/>
      <c r="T384" s="185"/>
      <c r="U384" s="185"/>
      <c r="V384" s="185"/>
      <c r="W384" s="185"/>
      <c r="X384" s="185"/>
      <c r="Y384" s="185"/>
      <c r="Z384" s="185"/>
    </row>
    <row r="385" spans="1:26" ht="16" thickBot="1" x14ac:dyDescent="0.25">
      <c r="A385" s="185"/>
      <c r="B385" s="185"/>
      <c r="C385" s="185"/>
      <c r="D385" s="185"/>
      <c r="E385" s="185"/>
      <c r="F385" s="185"/>
      <c r="G385" s="185"/>
      <c r="H385" s="185"/>
      <c r="I385" s="185"/>
      <c r="J385" s="185"/>
      <c r="K385" s="185"/>
      <c r="L385" s="185"/>
      <c r="M385" s="185"/>
      <c r="N385" s="185"/>
      <c r="O385" s="185"/>
      <c r="P385" s="185"/>
      <c r="Q385" s="185"/>
      <c r="R385" s="185"/>
      <c r="S385" s="185"/>
      <c r="T385" s="185"/>
      <c r="U385" s="185"/>
      <c r="V385" s="185"/>
      <c r="W385" s="185"/>
      <c r="X385" s="185"/>
      <c r="Y385" s="185"/>
      <c r="Z385" s="185"/>
    </row>
    <row r="386" spans="1:26" ht="16" thickBot="1" x14ac:dyDescent="0.25">
      <c r="A386" s="185"/>
      <c r="B386" s="185"/>
      <c r="C386" s="185"/>
      <c r="D386" s="185"/>
      <c r="E386" s="185"/>
      <c r="F386" s="185"/>
      <c r="G386" s="185"/>
      <c r="H386" s="185"/>
      <c r="I386" s="185"/>
      <c r="J386" s="185"/>
      <c r="K386" s="185"/>
      <c r="L386" s="185"/>
      <c r="M386" s="185"/>
      <c r="N386" s="185"/>
      <c r="O386" s="185"/>
      <c r="P386" s="185"/>
      <c r="Q386" s="185"/>
      <c r="R386" s="185"/>
      <c r="S386" s="185"/>
      <c r="T386" s="185"/>
      <c r="U386" s="185"/>
      <c r="V386" s="185"/>
      <c r="W386" s="185"/>
      <c r="X386" s="185"/>
      <c r="Y386" s="185"/>
      <c r="Z386" s="185"/>
    </row>
    <row r="387" spans="1:26" ht="16" thickBot="1" x14ac:dyDescent="0.25">
      <c r="A387" s="185"/>
      <c r="B387" s="185"/>
      <c r="C387" s="185"/>
      <c r="D387" s="185"/>
      <c r="E387" s="185"/>
      <c r="F387" s="185"/>
      <c r="G387" s="185"/>
      <c r="H387" s="185"/>
      <c r="I387" s="185"/>
      <c r="J387" s="185"/>
      <c r="K387" s="185"/>
      <c r="L387" s="185"/>
      <c r="M387" s="185"/>
      <c r="N387" s="185"/>
      <c r="O387" s="185"/>
      <c r="P387" s="185"/>
      <c r="Q387" s="185"/>
      <c r="R387" s="185"/>
      <c r="S387" s="185"/>
      <c r="T387" s="185"/>
      <c r="U387" s="185"/>
      <c r="V387" s="185"/>
      <c r="W387" s="185"/>
      <c r="X387" s="185"/>
      <c r="Y387" s="185"/>
      <c r="Z387" s="185"/>
    </row>
    <row r="388" spans="1:26" ht="16" thickBot="1" x14ac:dyDescent="0.25">
      <c r="A388" s="185"/>
      <c r="B388" s="185"/>
      <c r="C388" s="185"/>
      <c r="D388" s="185"/>
      <c r="E388" s="185"/>
      <c r="F388" s="185"/>
      <c r="G388" s="185"/>
      <c r="H388" s="185"/>
      <c r="I388" s="185"/>
      <c r="J388" s="185"/>
      <c r="K388" s="185"/>
      <c r="L388" s="185"/>
      <c r="M388" s="185"/>
      <c r="N388" s="185"/>
      <c r="O388" s="185"/>
      <c r="P388" s="185"/>
      <c r="Q388" s="185"/>
      <c r="R388" s="185"/>
      <c r="S388" s="185"/>
      <c r="T388" s="185"/>
      <c r="U388" s="185"/>
      <c r="V388" s="185"/>
      <c r="W388" s="185"/>
      <c r="X388" s="185"/>
      <c r="Y388" s="185"/>
      <c r="Z388" s="185"/>
    </row>
    <row r="389" spans="1:26" ht="16" thickBot="1" x14ac:dyDescent="0.25">
      <c r="A389" s="185"/>
      <c r="B389" s="185"/>
      <c r="C389" s="185"/>
      <c r="D389" s="185"/>
      <c r="E389" s="185"/>
      <c r="F389" s="185"/>
      <c r="G389" s="185"/>
      <c r="H389" s="185"/>
      <c r="I389" s="185"/>
      <c r="J389" s="185"/>
      <c r="K389" s="185"/>
      <c r="L389" s="185"/>
      <c r="M389" s="185"/>
      <c r="N389" s="185"/>
      <c r="O389" s="185"/>
      <c r="P389" s="185"/>
      <c r="Q389" s="185"/>
      <c r="R389" s="185"/>
      <c r="S389" s="185"/>
      <c r="T389" s="185"/>
      <c r="U389" s="185"/>
      <c r="V389" s="185"/>
      <c r="W389" s="185"/>
      <c r="X389" s="185"/>
      <c r="Y389" s="185"/>
      <c r="Z389" s="185"/>
    </row>
    <row r="390" spans="1:26" ht="16" thickBot="1" x14ac:dyDescent="0.25">
      <c r="A390" s="185"/>
      <c r="B390" s="185"/>
      <c r="C390" s="185"/>
      <c r="D390" s="185"/>
      <c r="E390" s="185"/>
      <c r="F390" s="185"/>
      <c r="G390" s="185"/>
      <c r="H390" s="185"/>
      <c r="I390" s="185"/>
      <c r="J390" s="185"/>
      <c r="K390" s="185"/>
      <c r="L390" s="185"/>
      <c r="M390" s="185"/>
      <c r="N390" s="185"/>
      <c r="O390" s="185"/>
      <c r="P390" s="185"/>
      <c r="Q390" s="185"/>
      <c r="R390" s="185"/>
      <c r="S390" s="185"/>
      <c r="T390" s="185"/>
      <c r="U390" s="185"/>
      <c r="V390" s="185"/>
      <c r="W390" s="185"/>
      <c r="X390" s="185"/>
      <c r="Y390" s="185"/>
      <c r="Z390" s="185"/>
    </row>
    <row r="391" spans="1:26" ht="16" thickBot="1" x14ac:dyDescent="0.25">
      <c r="A391" s="185"/>
      <c r="B391" s="185"/>
      <c r="C391" s="185"/>
      <c r="D391" s="185"/>
      <c r="E391" s="185"/>
      <c r="F391" s="185"/>
      <c r="G391" s="185"/>
      <c r="H391" s="185"/>
      <c r="I391" s="185"/>
      <c r="J391" s="185"/>
      <c r="K391" s="185"/>
      <c r="L391" s="185"/>
      <c r="M391" s="185"/>
      <c r="N391" s="185"/>
      <c r="O391" s="185"/>
      <c r="P391" s="185"/>
      <c r="Q391" s="185"/>
      <c r="R391" s="185"/>
      <c r="S391" s="185"/>
      <c r="T391" s="185"/>
      <c r="U391" s="185"/>
      <c r="V391" s="185"/>
      <c r="W391" s="185"/>
      <c r="X391" s="185"/>
      <c r="Y391" s="185"/>
      <c r="Z391" s="185"/>
    </row>
    <row r="392" spans="1:26" ht="16" thickBot="1" x14ac:dyDescent="0.25">
      <c r="A392" s="185"/>
      <c r="B392" s="185"/>
      <c r="C392" s="185"/>
      <c r="D392" s="185"/>
      <c r="E392" s="185"/>
      <c r="F392" s="185"/>
      <c r="G392" s="185"/>
      <c r="H392" s="185"/>
      <c r="I392" s="185"/>
      <c r="J392" s="185"/>
      <c r="K392" s="185"/>
      <c r="L392" s="185"/>
      <c r="M392" s="185"/>
      <c r="N392" s="185"/>
      <c r="O392" s="185"/>
      <c r="P392" s="185"/>
      <c r="Q392" s="185"/>
      <c r="R392" s="185"/>
      <c r="S392" s="185"/>
      <c r="T392" s="185"/>
      <c r="U392" s="185"/>
      <c r="V392" s="185"/>
      <c r="W392" s="185"/>
      <c r="X392" s="185"/>
      <c r="Y392" s="185"/>
      <c r="Z392" s="185"/>
    </row>
    <row r="393" spans="1:26" ht="16" thickBot="1" x14ac:dyDescent="0.25">
      <c r="A393" s="185"/>
      <c r="B393" s="185"/>
      <c r="C393" s="185"/>
      <c r="D393" s="185"/>
      <c r="E393" s="185"/>
      <c r="F393" s="185"/>
      <c r="G393" s="185"/>
      <c r="H393" s="185"/>
      <c r="I393" s="185"/>
      <c r="J393" s="185"/>
      <c r="K393" s="185"/>
      <c r="L393" s="185"/>
      <c r="M393" s="185"/>
      <c r="N393" s="185"/>
      <c r="O393" s="185"/>
      <c r="P393" s="185"/>
      <c r="Q393" s="185"/>
      <c r="R393" s="185"/>
      <c r="S393" s="185"/>
      <c r="T393" s="185"/>
      <c r="U393" s="185"/>
      <c r="V393" s="185"/>
      <c r="W393" s="185"/>
      <c r="X393" s="185"/>
      <c r="Y393" s="185"/>
      <c r="Z393" s="185"/>
    </row>
    <row r="394" spans="1:26" ht="16" thickBot="1" x14ac:dyDescent="0.25">
      <c r="A394" s="185"/>
      <c r="B394" s="185"/>
      <c r="C394" s="185"/>
      <c r="D394" s="185"/>
      <c r="E394" s="185"/>
      <c r="F394" s="185"/>
      <c r="G394" s="185"/>
      <c r="H394" s="185"/>
      <c r="I394" s="185"/>
      <c r="J394" s="185"/>
      <c r="K394" s="185"/>
      <c r="L394" s="185"/>
      <c r="M394" s="185"/>
      <c r="N394" s="185"/>
      <c r="O394" s="185"/>
      <c r="P394" s="185"/>
      <c r="Q394" s="185"/>
      <c r="R394" s="185"/>
      <c r="S394" s="185"/>
      <c r="T394" s="185"/>
      <c r="U394" s="185"/>
      <c r="V394" s="185"/>
      <c r="W394" s="185"/>
      <c r="X394" s="185"/>
      <c r="Y394" s="185"/>
      <c r="Z394" s="185"/>
    </row>
    <row r="395" spans="1:26" ht="16" thickBot="1" x14ac:dyDescent="0.25">
      <c r="A395" s="185"/>
      <c r="B395" s="185"/>
      <c r="C395" s="185"/>
      <c r="D395" s="185"/>
      <c r="E395" s="185"/>
      <c r="F395" s="185"/>
      <c r="G395" s="185"/>
      <c r="H395" s="185"/>
      <c r="I395" s="185"/>
      <c r="J395" s="185"/>
      <c r="K395" s="185"/>
      <c r="L395" s="185"/>
      <c r="M395" s="185"/>
      <c r="N395" s="185"/>
      <c r="O395" s="185"/>
      <c r="P395" s="185"/>
      <c r="Q395" s="185"/>
      <c r="R395" s="185"/>
      <c r="S395" s="185"/>
      <c r="T395" s="185"/>
      <c r="U395" s="185"/>
      <c r="V395" s="185"/>
      <c r="W395" s="185"/>
      <c r="X395" s="185"/>
      <c r="Y395" s="185"/>
      <c r="Z395" s="185"/>
    </row>
    <row r="396" spans="1:26" ht="16" thickBot="1" x14ac:dyDescent="0.25">
      <c r="A396" s="185"/>
      <c r="B396" s="185"/>
      <c r="C396" s="185"/>
      <c r="D396" s="185"/>
      <c r="E396" s="185"/>
      <c r="F396" s="185"/>
      <c r="G396" s="185"/>
      <c r="H396" s="185"/>
      <c r="I396" s="185"/>
      <c r="J396" s="185"/>
      <c r="K396" s="185"/>
      <c r="L396" s="185"/>
      <c r="M396" s="185"/>
      <c r="N396" s="185"/>
      <c r="O396" s="185"/>
      <c r="P396" s="185"/>
      <c r="Q396" s="185"/>
      <c r="R396" s="185"/>
      <c r="S396" s="185"/>
      <c r="T396" s="185"/>
      <c r="U396" s="185"/>
      <c r="V396" s="185"/>
      <c r="W396" s="185"/>
      <c r="X396" s="185"/>
      <c r="Y396" s="185"/>
      <c r="Z396" s="185"/>
    </row>
    <row r="397" spans="1:26" ht="16" thickBot="1" x14ac:dyDescent="0.25">
      <c r="A397" s="185"/>
      <c r="B397" s="185"/>
      <c r="C397" s="185"/>
      <c r="D397" s="185"/>
      <c r="E397" s="185"/>
      <c r="F397" s="185"/>
      <c r="G397" s="185"/>
      <c r="H397" s="185"/>
      <c r="I397" s="185"/>
      <c r="J397" s="185"/>
      <c r="K397" s="185"/>
      <c r="L397" s="185"/>
      <c r="M397" s="185"/>
      <c r="N397" s="185"/>
      <c r="O397" s="185"/>
      <c r="P397" s="185"/>
      <c r="Q397" s="185"/>
      <c r="R397" s="185"/>
      <c r="S397" s="185"/>
      <c r="T397" s="185"/>
      <c r="U397" s="185"/>
      <c r="V397" s="185"/>
      <c r="W397" s="185"/>
      <c r="X397" s="185"/>
      <c r="Y397" s="185"/>
      <c r="Z397" s="185"/>
    </row>
    <row r="398" spans="1:26" ht="16" thickBot="1" x14ac:dyDescent="0.25">
      <c r="A398" s="185"/>
      <c r="B398" s="185"/>
      <c r="C398" s="185"/>
      <c r="D398" s="185"/>
      <c r="E398" s="185"/>
      <c r="F398" s="185"/>
      <c r="G398" s="185"/>
      <c r="H398" s="185"/>
      <c r="I398" s="185"/>
      <c r="J398" s="185"/>
      <c r="K398" s="185"/>
      <c r="L398" s="185"/>
      <c r="M398" s="185"/>
      <c r="N398" s="185"/>
      <c r="O398" s="185"/>
      <c r="P398" s="185"/>
      <c r="Q398" s="185"/>
      <c r="R398" s="185"/>
      <c r="S398" s="185"/>
      <c r="T398" s="185"/>
      <c r="U398" s="185"/>
      <c r="V398" s="185"/>
      <c r="W398" s="185"/>
      <c r="X398" s="185"/>
      <c r="Y398" s="185"/>
      <c r="Z398" s="185"/>
    </row>
    <row r="399" spans="1:26" ht="16" thickBot="1" x14ac:dyDescent="0.25">
      <c r="A399" s="185"/>
      <c r="B399" s="185"/>
      <c r="C399" s="185"/>
      <c r="D399" s="185"/>
      <c r="E399" s="185"/>
      <c r="F399" s="185"/>
      <c r="G399" s="185"/>
      <c r="H399" s="185"/>
      <c r="I399" s="185"/>
      <c r="J399" s="185"/>
      <c r="K399" s="185"/>
      <c r="L399" s="185"/>
      <c r="M399" s="185"/>
      <c r="N399" s="185"/>
      <c r="O399" s="185"/>
      <c r="P399" s="185"/>
      <c r="Q399" s="185"/>
      <c r="R399" s="185"/>
      <c r="S399" s="185"/>
      <c r="T399" s="185"/>
      <c r="U399" s="185"/>
      <c r="V399" s="185"/>
      <c r="W399" s="185"/>
      <c r="X399" s="185"/>
      <c r="Y399" s="185"/>
      <c r="Z399" s="185"/>
    </row>
    <row r="400" spans="1:26" ht="16" thickBot="1" x14ac:dyDescent="0.25">
      <c r="A400" s="185"/>
      <c r="B400" s="185"/>
      <c r="C400" s="185"/>
      <c r="D400" s="185"/>
      <c r="E400" s="185"/>
      <c r="F400" s="185"/>
      <c r="G400" s="185"/>
      <c r="H400" s="185"/>
      <c r="I400" s="185"/>
      <c r="J400" s="185"/>
      <c r="K400" s="185"/>
      <c r="L400" s="185"/>
      <c r="M400" s="185"/>
      <c r="N400" s="185"/>
      <c r="O400" s="185"/>
      <c r="P400" s="185"/>
      <c r="Q400" s="185"/>
      <c r="R400" s="185"/>
      <c r="S400" s="185"/>
      <c r="T400" s="185"/>
      <c r="U400" s="185"/>
      <c r="V400" s="185"/>
      <c r="W400" s="185"/>
      <c r="X400" s="185"/>
      <c r="Y400" s="185"/>
      <c r="Z400" s="185"/>
    </row>
    <row r="401" spans="1:26" ht="16" thickBot="1" x14ac:dyDescent="0.25">
      <c r="A401" s="185"/>
      <c r="B401" s="185"/>
      <c r="C401" s="185"/>
      <c r="D401" s="185"/>
      <c r="E401" s="185"/>
      <c r="F401" s="185"/>
      <c r="G401" s="185"/>
      <c r="H401" s="185"/>
      <c r="I401" s="185"/>
      <c r="J401" s="185"/>
      <c r="K401" s="185"/>
      <c r="L401" s="185"/>
      <c r="M401" s="185"/>
      <c r="N401" s="185"/>
      <c r="O401" s="185"/>
      <c r="P401" s="185"/>
      <c r="Q401" s="185"/>
      <c r="R401" s="185"/>
      <c r="S401" s="185"/>
      <c r="T401" s="185"/>
      <c r="U401" s="185"/>
      <c r="V401" s="185"/>
      <c r="W401" s="185"/>
      <c r="X401" s="185"/>
      <c r="Y401" s="185"/>
      <c r="Z401" s="185"/>
    </row>
    <row r="402" spans="1:26" ht="16" thickBot="1" x14ac:dyDescent="0.25">
      <c r="A402" s="185"/>
      <c r="B402" s="185"/>
      <c r="C402" s="185"/>
      <c r="D402" s="185"/>
      <c r="E402" s="185"/>
      <c r="F402" s="185"/>
      <c r="G402" s="185"/>
      <c r="H402" s="185"/>
      <c r="I402" s="185"/>
      <c r="J402" s="185"/>
      <c r="K402" s="185"/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  <c r="Z402" s="185"/>
    </row>
    <row r="403" spans="1:26" ht="16" thickBot="1" x14ac:dyDescent="0.25">
      <c r="A403" s="185"/>
      <c r="B403" s="185"/>
      <c r="C403" s="185"/>
      <c r="D403" s="185"/>
      <c r="E403" s="185"/>
      <c r="F403" s="185"/>
      <c r="G403" s="185"/>
      <c r="H403" s="185"/>
      <c r="I403" s="185"/>
      <c r="J403" s="185"/>
      <c r="K403" s="185"/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  <c r="Z403" s="185"/>
    </row>
    <row r="404" spans="1:26" ht="16" thickBot="1" x14ac:dyDescent="0.25">
      <c r="A404" s="185"/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  <c r="Z404" s="185"/>
    </row>
    <row r="405" spans="1:26" ht="16" thickBot="1" x14ac:dyDescent="0.25">
      <c r="A405" s="185"/>
      <c r="B405" s="185"/>
      <c r="C405" s="185"/>
      <c r="D405" s="185"/>
      <c r="E405" s="185"/>
      <c r="F405" s="185"/>
      <c r="G405" s="185"/>
      <c r="H405" s="185"/>
      <c r="I405" s="185"/>
      <c r="J405" s="185"/>
      <c r="K405" s="185"/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  <c r="Z405" s="185"/>
    </row>
    <row r="406" spans="1:26" ht="16" thickBot="1" x14ac:dyDescent="0.25">
      <c r="A406" s="185"/>
      <c r="B406" s="185"/>
      <c r="C406" s="185"/>
      <c r="D406" s="185"/>
      <c r="E406" s="185"/>
      <c r="F406" s="185"/>
      <c r="G406" s="185"/>
      <c r="H406" s="185"/>
      <c r="I406" s="185"/>
      <c r="J406" s="185"/>
      <c r="K406" s="185"/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  <c r="Z406" s="185"/>
    </row>
    <row r="407" spans="1:26" ht="16" thickBot="1" x14ac:dyDescent="0.25">
      <c r="A407" s="185"/>
      <c r="B407" s="185"/>
      <c r="C407" s="185"/>
      <c r="D407" s="185"/>
      <c r="E407" s="185"/>
      <c r="F407" s="185"/>
      <c r="G407" s="185"/>
      <c r="H407" s="185"/>
      <c r="I407" s="185"/>
      <c r="J407" s="185"/>
      <c r="K407" s="185"/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  <c r="Z407" s="185"/>
    </row>
    <row r="408" spans="1:26" ht="16" thickBot="1" x14ac:dyDescent="0.25">
      <c r="A408" s="185"/>
      <c r="B408" s="185"/>
      <c r="C408" s="185"/>
      <c r="D408" s="185"/>
      <c r="E408" s="185"/>
      <c r="F408" s="185"/>
      <c r="G408" s="185"/>
      <c r="H408" s="185"/>
      <c r="I408" s="185"/>
      <c r="J408" s="185"/>
      <c r="K408" s="185"/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  <c r="Z408" s="185"/>
    </row>
    <row r="409" spans="1:26" ht="16" thickBot="1" x14ac:dyDescent="0.25">
      <c r="A409" s="185"/>
      <c r="B409" s="185"/>
      <c r="C409" s="185"/>
      <c r="D409" s="185"/>
      <c r="E409" s="185"/>
      <c r="F409" s="185"/>
      <c r="G409" s="185"/>
      <c r="H409" s="185"/>
      <c r="I409" s="185"/>
      <c r="J409" s="185"/>
      <c r="K409" s="185"/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  <c r="Z409" s="185"/>
    </row>
    <row r="410" spans="1:26" ht="16" thickBot="1" x14ac:dyDescent="0.25">
      <c r="A410" s="185"/>
      <c r="B410" s="185"/>
      <c r="C410" s="185"/>
      <c r="D410" s="185"/>
      <c r="E410" s="185"/>
      <c r="F410" s="185"/>
      <c r="G410" s="185"/>
      <c r="H410" s="185"/>
      <c r="I410" s="185"/>
      <c r="J410" s="185"/>
      <c r="K410" s="185"/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  <c r="Z410" s="185"/>
    </row>
    <row r="411" spans="1:26" ht="16" thickBot="1" x14ac:dyDescent="0.25">
      <c r="A411" s="185"/>
      <c r="B411" s="185"/>
      <c r="C411" s="185"/>
      <c r="D411" s="185"/>
      <c r="E411" s="185"/>
      <c r="F411" s="185"/>
      <c r="G411" s="185"/>
      <c r="H411" s="185"/>
      <c r="I411" s="185"/>
      <c r="J411" s="185"/>
      <c r="K411" s="185"/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  <c r="Z411" s="185"/>
    </row>
    <row r="412" spans="1:26" ht="16" thickBot="1" x14ac:dyDescent="0.25">
      <c r="A412" s="185"/>
      <c r="B412" s="185"/>
      <c r="C412" s="185"/>
      <c r="D412" s="185"/>
      <c r="E412" s="185"/>
      <c r="F412" s="185"/>
      <c r="G412" s="185"/>
      <c r="H412" s="185"/>
      <c r="I412" s="185"/>
      <c r="J412" s="185"/>
      <c r="K412" s="185"/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  <c r="Z412" s="185"/>
    </row>
    <row r="413" spans="1:26" ht="16" thickBot="1" x14ac:dyDescent="0.25">
      <c r="A413" s="185"/>
      <c r="B413" s="185"/>
      <c r="C413" s="185"/>
      <c r="D413" s="185"/>
      <c r="E413" s="185"/>
      <c r="F413" s="185"/>
      <c r="G413" s="185"/>
      <c r="H413" s="185"/>
      <c r="I413" s="185"/>
      <c r="J413" s="185"/>
      <c r="K413" s="185"/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  <c r="Z413" s="185"/>
    </row>
    <row r="414" spans="1:26" ht="16" thickBot="1" x14ac:dyDescent="0.25">
      <c r="A414" s="185"/>
      <c r="B414" s="185"/>
      <c r="C414" s="185"/>
      <c r="D414" s="185"/>
      <c r="E414" s="185"/>
      <c r="F414" s="185"/>
      <c r="G414" s="185"/>
      <c r="H414" s="185"/>
      <c r="I414" s="185"/>
      <c r="J414" s="185"/>
      <c r="K414" s="185"/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  <c r="Z414" s="185"/>
    </row>
    <row r="415" spans="1:26" ht="16" thickBot="1" x14ac:dyDescent="0.25">
      <c r="A415" s="185"/>
      <c r="B415" s="185"/>
      <c r="C415" s="185"/>
      <c r="D415" s="185"/>
      <c r="E415" s="185"/>
      <c r="F415" s="185"/>
      <c r="G415" s="185"/>
      <c r="H415" s="185"/>
      <c r="I415" s="185"/>
      <c r="J415" s="185"/>
      <c r="K415" s="185"/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  <c r="Z415" s="185"/>
    </row>
    <row r="416" spans="1:26" ht="16" thickBot="1" x14ac:dyDescent="0.25">
      <c r="A416" s="185"/>
      <c r="B416" s="185"/>
      <c r="C416" s="185"/>
      <c r="D416" s="185"/>
      <c r="E416" s="185"/>
      <c r="F416" s="185"/>
      <c r="G416" s="185"/>
      <c r="H416" s="185"/>
      <c r="I416" s="185"/>
      <c r="J416" s="185"/>
      <c r="K416" s="185"/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  <c r="Z416" s="185"/>
    </row>
    <row r="417" spans="1:26" ht="16" thickBot="1" x14ac:dyDescent="0.25">
      <c r="A417" s="185"/>
      <c r="B417" s="185"/>
      <c r="C417" s="185"/>
      <c r="D417" s="185"/>
      <c r="E417" s="185"/>
      <c r="F417" s="185"/>
      <c r="G417" s="185"/>
      <c r="H417" s="185"/>
      <c r="I417" s="185"/>
      <c r="J417" s="185"/>
      <c r="K417" s="185"/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  <c r="Z417" s="185"/>
    </row>
    <row r="418" spans="1:26" ht="16" thickBot="1" x14ac:dyDescent="0.25">
      <c r="A418" s="185"/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  <c r="Z418" s="185"/>
    </row>
    <row r="419" spans="1:26" ht="16" thickBot="1" x14ac:dyDescent="0.25">
      <c r="A419" s="185"/>
      <c r="B419" s="185"/>
      <c r="C419" s="185"/>
      <c r="D419" s="185"/>
      <c r="E419" s="185"/>
      <c r="F419" s="185"/>
      <c r="G419" s="185"/>
      <c r="H419" s="185"/>
      <c r="I419" s="185"/>
      <c r="J419" s="185"/>
      <c r="K419" s="185"/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  <c r="Z419" s="185"/>
    </row>
    <row r="420" spans="1:26" ht="16" thickBot="1" x14ac:dyDescent="0.25">
      <c r="A420" s="185"/>
      <c r="B420" s="185"/>
      <c r="C420" s="185"/>
      <c r="D420" s="185"/>
      <c r="E420" s="185"/>
      <c r="F420" s="185"/>
      <c r="G420" s="185"/>
      <c r="H420" s="185"/>
      <c r="I420" s="185"/>
      <c r="J420" s="185"/>
      <c r="K420" s="185"/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  <c r="Z420" s="185"/>
    </row>
    <row r="421" spans="1:26" ht="16" thickBot="1" x14ac:dyDescent="0.25">
      <c r="A421" s="185"/>
      <c r="B421" s="185"/>
      <c r="C421" s="185"/>
      <c r="D421" s="185"/>
      <c r="E421" s="185"/>
      <c r="F421" s="185"/>
      <c r="G421" s="185"/>
      <c r="H421" s="185"/>
      <c r="I421" s="185"/>
      <c r="J421" s="185"/>
      <c r="K421" s="185"/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  <c r="Z421" s="185"/>
    </row>
    <row r="422" spans="1:26" ht="16" thickBot="1" x14ac:dyDescent="0.25">
      <c r="A422" s="185"/>
      <c r="B422" s="185"/>
      <c r="C422" s="185"/>
      <c r="D422" s="185"/>
      <c r="E422" s="185"/>
      <c r="F422" s="185"/>
      <c r="G422" s="185"/>
      <c r="H422" s="185"/>
      <c r="I422" s="185"/>
      <c r="J422" s="185"/>
      <c r="K422" s="185"/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  <c r="Z422" s="185"/>
    </row>
    <row r="423" spans="1:26" ht="16" thickBot="1" x14ac:dyDescent="0.25">
      <c r="A423" s="185"/>
      <c r="B423" s="185"/>
      <c r="C423" s="185"/>
      <c r="D423" s="185"/>
      <c r="E423" s="185"/>
      <c r="F423" s="185"/>
      <c r="G423" s="185"/>
      <c r="H423" s="185"/>
      <c r="I423" s="185"/>
      <c r="J423" s="185"/>
      <c r="K423" s="185"/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  <c r="Z423" s="185"/>
    </row>
    <row r="424" spans="1:26" ht="16" thickBot="1" x14ac:dyDescent="0.25">
      <c r="A424" s="185"/>
      <c r="B424" s="185"/>
      <c r="C424" s="185"/>
      <c r="D424" s="185"/>
      <c r="E424" s="185"/>
      <c r="F424" s="185"/>
      <c r="G424" s="185"/>
      <c r="H424" s="185"/>
      <c r="I424" s="185"/>
      <c r="J424" s="185"/>
      <c r="K424" s="185"/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  <c r="Z424" s="185"/>
    </row>
    <row r="425" spans="1:26" ht="16" thickBot="1" x14ac:dyDescent="0.25">
      <c r="A425" s="185"/>
      <c r="B425" s="185"/>
      <c r="C425" s="185"/>
      <c r="D425" s="185"/>
      <c r="E425" s="185"/>
      <c r="F425" s="185"/>
      <c r="G425" s="185"/>
      <c r="H425" s="185"/>
      <c r="I425" s="185"/>
      <c r="J425" s="185"/>
      <c r="K425" s="185"/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  <c r="Z425" s="185"/>
    </row>
    <row r="426" spans="1:26" ht="16" thickBot="1" x14ac:dyDescent="0.25">
      <c r="A426" s="185"/>
      <c r="B426" s="185"/>
      <c r="C426" s="185"/>
      <c r="D426" s="185"/>
      <c r="E426" s="185"/>
      <c r="F426" s="185"/>
      <c r="G426" s="185"/>
      <c r="H426" s="185"/>
      <c r="I426" s="185"/>
      <c r="J426" s="185"/>
      <c r="K426" s="185"/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  <c r="Z426" s="185"/>
    </row>
    <row r="427" spans="1:26" ht="16" thickBot="1" x14ac:dyDescent="0.25">
      <c r="A427" s="185"/>
      <c r="B427" s="185"/>
      <c r="C427" s="185"/>
      <c r="D427" s="185"/>
      <c r="E427" s="185"/>
      <c r="F427" s="185"/>
      <c r="G427" s="185"/>
      <c r="H427" s="185"/>
      <c r="I427" s="185"/>
      <c r="J427" s="185"/>
      <c r="K427" s="185"/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  <c r="Z427" s="185"/>
    </row>
    <row r="428" spans="1:26" ht="16" thickBot="1" x14ac:dyDescent="0.25">
      <c r="A428" s="185"/>
      <c r="B428" s="185"/>
      <c r="C428" s="185"/>
      <c r="D428" s="185"/>
      <c r="E428" s="185"/>
      <c r="F428" s="185"/>
      <c r="G428" s="185"/>
      <c r="H428" s="185"/>
      <c r="I428" s="185"/>
      <c r="J428" s="185"/>
      <c r="K428" s="185"/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  <c r="Z428" s="185"/>
    </row>
    <row r="429" spans="1:26" ht="16" thickBot="1" x14ac:dyDescent="0.25">
      <c r="A429" s="185"/>
      <c r="B429" s="185"/>
      <c r="C429" s="185"/>
      <c r="D429" s="185"/>
      <c r="E429" s="185"/>
      <c r="F429" s="185"/>
      <c r="G429" s="185"/>
      <c r="H429" s="185"/>
      <c r="I429" s="185"/>
      <c r="J429" s="185"/>
      <c r="K429" s="185"/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  <c r="Z429" s="185"/>
    </row>
    <row r="430" spans="1:26" ht="16" thickBot="1" x14ac:dyDescent="0.25">
      <c r="A430" s="185"/>
      <c r="B430" s="185"/>
      <c r="C430" s="185"/>
      <c r="D430" s="185"/>
      <c r="E430" s="185"/>
      <c r="F430" s="185"/>
      <c r="G430" s="185"/>
      <c r="H430" s="185"/>
      <c r="I430" s="185"/>
      <c r="J430" s="185"/>
      <c r="K430" s="185"/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  <c r="Z430" s="185"/>
    </row>
    <row r="431" spans="1:26" ht="16" thickBot="1" x14ac:dyDescent="0.25">
      <c r="A431" s="185"/>
      <c r="B431" s="185"/>
      <c r="C431" s="185"/>
      <c r="D431" s="185"/>
      <c r="E431" s="185"/>
      <c r="F431" s="185"/>
      <c r="G431" s="185"/>
      <c r="H431" s="185"/>
      <c r="I431" s="185"/>
      <c r="J431" s="185"/>
      <c r="K431" s="185"/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  <c r="Z431" s="185"/>
    </row>
    <row r="432" spans="1:26" ht="16" thickBot="1" x14ac:dyDescent="0.25">
      <c r="A432" s="185"/>
      <c r="B432" s="185"/>
      <c r="C432" s="185"/>
      <c r="D432" s="185"/>
      <c r="E432" s="185"/>
      <c r="F432" s="185"/>
      <c r="G432" s="185"/>
      <c r="H432" s="185"/>
      <c r="I432" s="185"/>
      <c r="J432" s="185"/>
      <c r="K432" s="185"/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  <c r="Z432" s="185"/>
    </row>
    <row r="433" spans="1:26" ht="16" thickBot="1" x14ac:dyDescent="0.25">
      <c r="A433" s="185"/>
      <c r="B433" s="185"/>
      <c r="C433" s="185"/>
      <c r="D433" s="185"/>
      <c r="E433" s="185"/>
      <c r="F433" s="185"/>
      <c r="G433" s="185"/>
      <c r="H433" s="185"/>
      <c r="I433" s="185"/>
      <c r="J433" s="185"/>
      <c r="K433" s="185"/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  <c r="Z433" s="185"/>
    </row>
    <row r="434" spans="1:26" ht="16" thickBot="1" x14ac:dyDescent="0.25">
      <c r="A434" s="185"/>
      <c r="B434" s="185"/>
      <c r="C434" s="185"/>
      <c r="D434" s="185"/>
      <c r="E434" s="185"/>
      <c r="F434" s="185"/>
      <c r="G434" s="185"/>
      <c r="H434" s="185"/>
      <c r="I434" s="185"/>
      <c r="J434" s="185"/>
      <c r="K434" s="185"/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  <c r="Z434" s="185"/>
    </row>
    <row r="435" spans="1:26" ht="16" thickBot="1" x14ac:dyDescent="0.25">
      <c r="A435" s="185"/>
      <c r="B435" s="185"/>
      <c r="C435" s="185"/>
      <c r="D435" s="185"/>
      <c r="E435" s="185"/>
      <c r="F435" s="185"/>
      <c r="G435" s="185"/>
      <c r="H435" s="185"/>
      <c r="I435" s="185"/>
      <c r="J435" s="185"/>
      <c r="K435" s="185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  <c r="Z435" s="185"/>
    </row>
    <row r="436" spans="1:26" ht="16" thickBot="1" x14ac:dyDescent="0.25">
      <c r="A436" s="185"/>
      <c r="B436" s="185"/>
      <c r="C436" s="185"/>
      <c r="D436" s="185"/>
      <c r="E436" s="185"/>
      <c r="F436" s="185"/>
      <c r="G436" s="185"/>
      <c r="H436" s="185"/>
      <c r="I436" s="185"/>
      <c r="J436" s="185"/>
      <c r="K436" s="185"/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  <c r="Z436" s="185"/>
    </row>
    <row r="437" spans="1:26" ht="16" thickBot="1" x14ac:dyDescent="0.25">
      <c r="A437" s="185"/>
      <c r="B437" s="185"/>
      <c r="C437" s="185"/>
      <c r="D437" s="185"/>
      <c r="E437" s="185"/>
      <c r="F437" s="185"/>
      <c r="G437" s="185"/>
      <c r="H437" s="185"/>
      <c r="I437" s="185"/>
      <c r="J437" s="185"/>
      <c r="K437" s="185"/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  <c r="Z437" s="185"/>
    </row>
    <row r="438" spans="1:26" ht="16" thickBot="1" x14ac:dyDescent="0.25">
      <c r="A438" s="185"/>
      <c r="B438" s="185"/>
      <c r="C438" s="185"/>
      <c r="D438" s="185"/>
      <c r="E438" s="185"/>
      <c r="F438" s="185"/>
      <c r="G438" s="185"/>
      <c r="H438" s="185"/>
      <c r="I438" s="185"/>
      <c r="J438" s="185"/>
      <c r="K438" s="185"/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  <c r="Z438" s="185"/>
    </row>
    <row r="439" spans="1:26" ht="16" thickBot="1" x14ac:dyDescent="0.25">
      <c r="A439" s="185"/>
      <c r="B439" s="185"/>
      <c r="C439" s="185"/>
      <c r="D439" s="185"/>
      <c r="E439" s="185"/>
      <c r="F439" s="185"/>
      <c r="G439" s="185"/>
      <c r="H439" s="185"/>
      <c r="I439" s="185"/>
      <c r="J439" s="185"/>
      <c r="K439" s="185"/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  <c r="Z439" s="185"/>
    </row>
    <row r="440" spans="1:26" ht="16" thickBot="1" x14ac:dyDescent="0.25">
      <c r="A440" s="185"/>
      <c r="B440" s="185"/>
      <c r="C440" s="185"/>
      <c r="D440" s="185"/>
      <c r="E440" s="185"/>
      <c r="F440" s="185"/>
      <c r="G440" s="185"/>
      <c r="H440" s="185"/>
      <c r="I440" s="185"/>
      <c r="J440" s="185"/>
      <c r="K440" s="185"/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  <c r="Z440" s="185"/>
    </row>
    <row r="441" spans="1:26" ht="16" thickBot="1" x14ac:dyDescent="0.25">
      <c r="A441" s="185"/>
      <c r="B441" s="185"/>
      <c r="C441" s="185"/>
      <c r="D441" s="185"/>
      <c r="E441" s="185"/>
      <c r="F441" s="185"/>
      <c r="G441" s="185"/>
      <c r="H441" s="185"/>
      <c r="I441" s="185"/>
      <c r="J441" s="185"/>
      <c r="K441" s="185"/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  <c r="Z441" s="185"/>
    </row>
    <row r="442" spans="1:26" ht="16" thickBot="1" x14ac:dyDescent="0.25">
      <c r="A442" s="185"/>
      <c r="B442" s="185"/>
      <c r="C442" s="185"/>
      <c r="D442" s="185"/>
      <c r="E442" s="185"/>
      <c r="F442" s="185"/>
      <c r="G442" s="185"/>
      <c r="H442" s="185"/>
      <c r="I442" s="185"/>
      <c r="J442" s="185"/>
      <c r="K442" s="185"/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  <c r="Z442" s="185"/>
    </row>
    <row r="443" spans="1:26" ht="16" thickBot="1" x14ac:dyDescent="0.25">
      <c r="A443" s="185"/>
      <c r="B443" s="185"/>
      <c r="C443" s="185"/>
      <c r="D443" s="185"/>
      <c r="E443" s="185"/>
      <c r="F443" s="185"/>
      <c r="G443" s="185"/>
      <c r="H443" s="185"/>
      <c r="I443" s="185"/>
      <c r="J443" s="185"/>
      <c r="K443" s="185"/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  <c r="Z443" s="185"/>
    </row>
    <row r="444" spans="1:26" ht="16" thickBot="1" x14ac:dyDescent="0.25">
      <c r="A444" s="185"/>
      <c r="B444" s="185"/>
      <c r="C444" s="185"/>
      <c r="D444" s="185"/>
      <c r="E444" s="185"/>
      <c r="F444" s="185"/>
      <c r="G444" s="185"/>
      <c r="H444" s="185"/>
      <c r="I444" s="185"/>
      <c r="J444" s="185"/>
      <c r="K444" s="185"/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  <c r="Z444" s="185"/>
    </row>
    <row r="445" spans="1:26" ht="16" thickBot="1" x14ac:dyDescent="0.25">
      <c r="A445" s="185"/>
      <c r="B445" s="185"/>
      <c r="C445" s="185"/>
      <c r="D445" s="185"/>
      <c r="E445" s="185"/>
      <c r="F445" s="185"/>
      <c r="G445" s="185"/>
      <c r="H445" s="185"/>
      <c r="I445" s="185"/>
      <c r="J445" s="185"/>
      <c r="K445" s="185"/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  <c r="Z445" s="185"/>
    </row>
    <row r="446" spans="1:26" ht="16" thickBot="1" x14ac:dyDescent="0.25">
      <c r="A446" s="185"/>
      <c r="B446" s="185"/>
      <c r="C446" s="185"/>
      <c r="D446" s="185"/>
      <c r="E446" s="185"/>
      <c r="F446" s="185"/>
      <c r="G446" s="185"/>
      <c r="H446" s="185"/>
      <c r="I446" s="185"/>
      <c r="J446" s="185"/>
      <c r="K446" s="185"/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  <c r="Z446" s="185"/>
    </row>
    <row r="447" spans="1:26" ht="16" thickBot="1" x14ac:dyDescent="0.25">
      <c r="A447" s="185"/>
      <c r="B447" s="185"/>
      <c r="C447" s="185"/>
      <c r="D447" s="185"/>
      <c r="E447" s="185"/>
      <c r="F447" s="185"/>
      <c r="G447" s="185"/>
      <c r="H447" s="185"/>
      <c r="I447" s="185"/>
      <c r="J447" s="185"/>
      <c r="K447" s="185"/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  <c r="Z447" s="185"/>
    </row>
    <row r="448" spans="1:26" ht="16" thickBot="1" x14ac:dyDescent="0.25">
      <c r="A448" s="185"/>
      <c r="B448" s="185"/>
      <c r="C448" s="185"/>
      <c r="D448" s="185"/>
      <c r="E448" s="185"/>
      <c r="F448" s="185"/>
      <c r="G448" s="185"/>
      <c r="H448" s="185"/>
      <c r="I448" s="185"/>
      <c r="J448" s="185"/>
      <c r="K448" s="185"/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  <c r="Z448" s="185"/>
    </row>
    <row r="449" spans="1:26" ht="16" thickBot="1" x14ac:dyDescent="0.25">
      <c r="A449" s="185"/>
      <c r="B449" s="185"/>
      <c r="C449" s="185"/>
      <c r="D449" s="185"/>
      <c r="E449" s="185"/>
      <c r="F449" s="185"/>
      <c r="G449" s="185"/>
      <c r="H449" s="185"/>
      <c r="I449" s="185"/>
      <c r="J449" s="185"/>
      <c r="K449" s="185"/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  <c r="Z449" s="185"/>
    </row>
    <row r="450" spans="1:26" ht="16" thickBot="1" x14ac:dyDescent="0.25">
      <c r="A450" s="185"/>
      <c r="B450" s="185"/>
      <c r="C450" s="185"/>
      <c r="D450" s="185"/>
      <c r="E450" s="185"/>
      <c r="F450" s="185"/>
      <c r="G450" s="185"/>
      <c r="H450" s="185"/>
      <c r="I450" s="185"/>
      <c r="J450" s="185"/>
      <c r="K450" s="185"/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  <c r="Z450" s="185"/>
    </row>
    <row r="451" spans="1:26" ht="16" thickBot="1" x14ac:dyDescent="0.25">
      <c r="A451" s="185"/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5"/>
      <c r="O451" s="185"/>
      <c r="P451" s="185"/>
      <c r="Q451" s="185"/>
      <c r="R451" s="185"/>
      <c r="S451" s="185"/>
      <c r="T451" s="185"/>
      <c r="U451" s="185"/>
      <c r="V451" s="185"/>
      <c r="W451" s="185"/>
      <c r="X451" s="185"/>
      <c r="Y451" s="185"/>
      <c r="Z451" s="185"/>
    </row>
    <row r="452" spans="1:26" ht="16" thickBot="1" x14ac:dyDescent="0.25">
      <c r="A452" s="185"/>
      <c r="B452" s="185"/>
      <c r="C452" s="185"/>
      <c r="D452" s="185"/>
      <c r="E452" s="185"/>
      <c r="F452" s="185"/>
      <c r="G452" s="185"/>
      <c r="H452" s="185"/>
      <c r="I452" s="185"/>
      <c r="J452" s="185"/>
      <c r="K452" s="185"/>
      <c r="L452" s="185"/>
      <c r="M452" s="185"/>
      <c r="N452" s="185"/>
      <c r="O452" s="185"/>
      <c r="P452" s="185"/>
      <c r="Q452" s="185"/>
      <c r="R452" s="185"/>
      <c r="S452" s="185"/>
      <c r="T452" s="185"/>
      <c r="U452" s="185"/>
      <c r="V452" s="185"/>
      <c r="W452" s="185"/>
      <c r="X452" s="185"/>
      <c r="Y452" s="185"/>
      <c r="Z452" s="185"/>
    </row>
    <row r="453" spans="1:26" ht="16" thickBot="1" x14ac:dyDescent="0.25">
      <c r="A453" s="185"/>
      <c r="B453" s="185"/>
      <c r="C453" s="185"/>
      <c r="D453" s="185"/>
      <c r="E453" s="185"/>
      <c r="F453" s="185"/>
      <c r="G453" s="185"/>
      <c r="H453" s="185"/>
      <c r="I453" s="185"/>
      <c r="J453" s="185"/>
      <c r="K453" s="185"/>
      <c r="L453" s="185"/>
      <c r="M453" s="185"/>
      <c r="N453" s="185"/>
      <c r="O453" s="185"/>
      <c r="P453" s="185"/>
      <c r="Q453" s="185"/>
      <c r="R453" s="185"/>
      <c r="S453" s="185"/>
      <c r="T453" s="185"/>
      <c r="U453" s="185"/>
      <c r="V453" s="185"/>
      <c r="W453" s="185"/>
      <c r="X453" s="185"/>
      <c r="Y453" s="185"/>
      <c r="Z453" s="185"/>
    </row>
    <row r="454" spans="1:26" ht="16" thickBot="1" x14ac:dyDescent="0.25">
      <c r="A454" s="185"/>
      <c r="B454" s="185"/>
      <c r="C454" s="185"/>
      <c r="D454" s="185"/>
      <c r="E454" s="185"/>
      <c r="F454" s="185"/>
      <c r="G454" s="185"/>
      <c r="H454" s="185"/>
      <c r="I454" s="185"/>
      <c r="J454" s="185"/>
      <c r="K454" s="185"/>
      <c r="L454" s="185"/>
      <c r="M454" s="185"/>
      <c r="N454" s="185"/>
      <c r="O454" s="185"/>
      <c r="P454" s="185"/>
      <c r="Q454" s="185"/>
      <c r="R454" s="185"/>
      <c r="S454" s="185"/>
      <c r="T454" s="185"/>
      <c r="U454" s="185"/>
      <c r="V454" s="185"/>
      <c r="W454" s="185"/>
      <c r="X454" s="185"/>
      <c r="Y454" s="185"/>
      <c r="Z454" s="185"/>
    </row>
    <row r="455" spans="1:26" ht="16" thickBot="1" x14ac:dyDescent="0.25">
      <c r="A455" s="185"/>
      <c r="B455" s="185"/>
      <c r="C455" s="185"/>
      <c r="D455" s="185"/>
      <c r="E455" s="185"/>
      <c r="F455" s="185"/>
      <c r="G455" s="185"/>
      <c r="H455" s="185"/>
      <c r="I455" s="185"/>
      <c r="J455" s="185"/>
      <c r="K455" s="185"/>
      <c r="L455" s="185"/>
      <c r="M455" s="185"/>
      <c r="N455" s="185"/>
      <c r="O455" s="185"/>
      <c r="P455" s="185"/>
      <c r="Q455" s="185"/>
      <c r="R455" s="185"/>
      <c r="S455" s="185"/>
      <c r="T455" s="185"/>
      <c r="U455" s="185"/>
      <c r="V455" s="185"/>
      <c r="W455" s="185"/>
      <c r="X455" s="185"/>
      <c r="Y455" s="185"/>
      <c r="Z455" s="185"/>
    </row>
    <row r="456" spans="1:26" ht="16" thickBot="1" x14ac:dyDescent="0.25">
      <c r="A456" s="185"/>
      <c r="B456" s="185"/>
      <c r="C456" s="185"/>
      <c r="D456" s="185"/>
      <c r="E456" s="185"/>
      <c r="F456" s="185"/>
      <c r="G456" s="185"/>
      <c r="H456" s="185"/>
      <c r="I456" s="185"/>
      <c r="J456" s="185"/>
      <c r="K456" s="185"/>
      <c r="L456" s="185"/>
      <c r="M456" s="185"/>
      <c r="N456" s="185"/>
      <c r="O456" s="185"/>
      <c r="P456" s="185"/>
      <c r="Q456" s="185"/>
      <c r="R456" s="185"/>
      <c r="S456" s="185"/>
      <c r="T456" s="185"/>
      <c r="U456" s="185"/>
      <c r="V456" s="185"/>
      <c r="W456" s="185"/>
      <c r="X456" s="185"/>
      <c r="Y456" s="185"/>
      <c r="Z456" s="185"/>
    </row>
    <row r="457" spans="1:26" ht="16" thickBot="1" x14ac:dyDescent="0.25">
      <c r="A457" s="185"/>
      <c r="B457" s="185"/>
      <c r="C457" s="185"/>
      <c r="D457" s="185"/>
      <c r="E457" s="185"/>
      <c r="F457" s="185"/>
      <c r="G457" s="185"/>
      <c r="H457" s="185"/>
      <c r="I457" s="185"/>
      <c r="J457" s="185"/>
      <c r="K457" s="185"/>
      <c r="L457" s="185"/>
      <c r="M457" s="185"/>
      <c r="N457" s="185"/>
      <c r="O457" s="185"/>
      <c r="P457" s="185"/>
      <c r="Q457" s="185"/>
      <c r="R457" s="185"/>
      <c r="S457" s="185"/>
      <c r="T457" s="185"/>
      <c r="U457" s="185"/>
      <c r="V457" s="185"/>
      <c r="W457" s="185"/>
      <c r="X457" s="185"/>
      <c r="Y457" s="185"/>
      <c r="Z457" s="185"/>
    </row>
    <row r="458" spans="1:26" ht="16" thickBot="1" x14ac:dyDescent="0.25">
      <c r="A458" s="185"/>
      <c r="B458" s="185"/>
      <c r="C458" s="185"/>
      <c r="D458" s="185"/>
      <c r="E458" s="185"/>
      <c r="F458" s="185"/>
      <c r="G458" s="185"/>
      <c r="H458" s="185"/>
      <c r="I458" s="185"/>
      <c r="J458" s="185"/>
      <c r="K458" s="185"/>
      <c r="L458" s="185"/>
      <c r="M458" s="185"/>
      <c r="N458" s="185"/>
      <c r="O458" s="185"/>
      <c r="P458" s="185"/>
      <c r="Q458" s="185"/>
      <c r="R458" s="185"/>
      <c r="S458" s="185"/>
      <c r="T458" s="185"/>
      <c r="U458" s="185"/>
      <c r="V458" s="185"/>
      <c r="W458" s="185"/>
      <c r="X458" s="185"/>
      <c r="Y458" s="185"/>
      <c r="Z458" s="185"/>
    </row>
    <row r="459" spans="1:26" ht="16" thickBot="1" x14ac:dyDescent="0.25">
      <c r="A459" s="185"/>
      <c r="B459" s="185"/>
      <c r="C459" s="185"/>
      <c r="D459" s="185"/>
      <c r="E459" s="185"/>
      <c r="F459" s="185"/>
      <c r="G459" s="185"/>
      <c r="H459" s="185"/>
      <c r="I459" s="185"/>
      <c r="J459" s="185"/>
      <c r="K459" s="185"/>
      <c r="L459" s="185"/>
      <c r="M459" s="185"/>
      <c r="N459" s="185"/>
      <c r="O459" s="185"/>
      <c r="P459" s="185"/>
      <c r="Q459" s="185"/>
      <c r="R459" s="185"/>
      <c r="S459" s="185"/>
      <c r="T459" s="185"/>
      <c r="U459" s="185"/>
      <c r="V459" s="185"/>
      <c r="W459" s="185"/>
      <c r="X459" s="185"/>
      <c r="Y459" s="185"/>
      <c r="Z459" s="185"/>
    </row>
    <row r="460" spans="1:26" ht="16" thickBot="1" x14ac:dyDescent="0.25">
      <c r="A460" s="185"/>
      <c r="B460" s="185"/>
      <c r="C460" s="185"/>
      <c r="D460" s="185"/>
      <c r="E460" s="185"/>
      <c r="F460" s="185"/>
      <c r="G460" s="185"/>
      <c r="H460" s="185"/>
      <c r="I460" s="185"/>
      <c r="J460" s="185"/>
      <c r="K460" s="185"/>
      <c r="L460" s="185"/>
      <c r="M460" s="185"/>
      <c r="N460" s="185"/>
      <c r="O460" s="185"/>
      <c r="P460" s="185"/>
      <c r="Q460" s="185"/>
      <c r="R460" s="185"/>
      <c r="S460" s="185"/>
      <c r="T460" s="185"/>
      <c r="U460" s="185"/>
      <c r="V460" s="185"/>
      <c r="W460" s="185"/>
      <c r="X460" s="185"/>
      <c r="Y460" s="185"/>
      <c r="Z460" s="185"/>
    </row>
    <row r="461" spans="1:26" ht="16" thickBot="1" x14ac:dyDescent="0.25">
      <c r="A461" s="185"/>
      <c r="B461" s="185"/>
      <c r="C461" s="185"/>
      <c r="D461" s="185"/>
      <c r="E461" s="185"/>
      <c r="F461" s="185"/>
      <c r="G461" s="185"/>
      <c r="H461" s="185"/>
      <c r="I461" s="185"/>
      <c r="J461" s="185"/>
      <c r="K461" s="185"/>
      <c r="L461" s="185"/>
      <c r="M461" s="185"/>
      <c r="N461" s="185"/>
      <c r="O461" s="185"/>
      <c r="P461" s="185"/>
      <c r="Q461" s="185"/>
      <c r="R461" s="185"/>
      <c r="S461" s="185"/>
      <c r="T461" s="185"/>
      <c r="U461" s="185"/>
      <c r="V461" s="185"/>
      <c r="W461" s="185"/>
      <c r="X461" s="185"/>
      <c r="Y461" s="185"/>
      <c r="Z461" s="185"/>
    </row>
    <row r="462" spans="1:26" ht="16" thickBot="1" x14ac:dyDescent="0.25">
      <c r="A462" s="185"/>
      <c r="B462" s="185"/>
      <c r="C462" s="185"/>
      <c r="D462" s="185"/>
      <c r="E462" s="185"/>
      <c r="F462" s="185"/>
      <c r="G462" s="185"/>
      <c r="H462" s="185"/>
      <c r="I462" s="185"/>
      <c r="J462" s="185"/>
      <c r="K462" s="185"/>
      <c r="L462" s="185"/>
      <c r="M462" s="185"/>
      <c r="N462" s="185"/>
      <c r="O462" s="185"/>
      <c r="P462" s="185"/>
      <c r="Q462" s="185"/>
      <c r="R462" s="185"/>
      <c r="S462" s="185"/>
      <c r="T462" s="185"/>
      <c r="U462" s="185"/>
      <c r="V462" s="185"/>
      <c r="W462" s="185"/>
      <c r="X462" s="185"/>
      <c r="Y462" s="185"/>
      <c r="Z462" s="185"/>
    </row>
    <row r="463" spans="1:26" ht="16" thickBot="1" x14ac:dyDescent="0.25">
      <c r="A463" s="185"/>
      <c r="B463" s="185"/>
      <c r="C463" s="185"/>
      <c r="D463" s="185"/>
      <c r="E463" s="185"/>
      <c r="F463" s="185"/>
      <c r="G463" s="185"/>
      <c r="H463" s="185"/>
      <c r="I463" s="185"/>
      <c r="J463" s="185"/>
      <c r="K463" s="185"/>
      <c r="L463" s="185"/>
      <c r="M463" s="185"/>
      <c r="N463" s="185"/>
      <c r="O463" s="185"/>
      <c r="P463" s="185"/>
      <c r="Q463" s="185"/>
      <c r="R463" s="185"/>
      <c r="S463" s="185"/>
      <c r="T463" s="185"/>
      <c r="U463" s="185"/>
      <c r="V463" s="185"/>
      <c r="W463" s="185"/>
      <c r="X463" s="185"/>
      <c r="Y463" s="185"/>
      <c r="Z463" s="185"/>
    </row>
    <row r="464" spans="1:26" ht="16" thickBot="1" x14ac:dyDescent="0.25">
      <c r="A464" s="185"/>
      <c r="B464" s="185"/>
      <c r="C464" s="185"/>
      <c r="D464" s="185"/>
      <c r="E464" s="185"/>
      <c r="F464" s="185"/>
      <c r="G464" s="185"/>
      <c r="H464" s="185"/>
      <c r="I464" s="185"/>
      <c r="J464" s="185"/>
      <c r="K464" s="185"/>
      <c r="L464" s="185"/>
      <c r="M464" s="185"/>
      <c r="N464" s="185"/>
      <c r="O464" s="185"/>
      <c r="P464" s="185"/>
      <c r="Q464" s="185"/>
      <c r="R464" s="185"/>
      <c r="S464" s="185"/>
      <c r="T464" s="185"/>
      <c r="U464" s="185"/>
      <c r="V464" s="185"/>
      <c r="W464" s="185"/>
      <c r="X464" s="185"/>
      <c r="Y464" s="185"/>
      <c r="Z464" s="185"/>
    </row>
    <row r="465" spans="1:26" ht="16" thickBot="1" x14ac:dyDescent="0.25">
      <c r="A465" s="185"/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5"/>
      <c r="O465" s="185"/>
      <c r="P465" s="185"/>
      <c r="Q465" s="185"/>
      <c r="R465" s="185"/>
      <c r="S465" s="185"/>
      <c r="T465" s="185"/>
      <c r="U465" s="185"/>
      <c r="V465" s="185"/>
      <c r="W465" s="185"/>
      <c r="X465" s="185"/>
      <c r="Y465" s="185"/>
      <c r="Z465" s="185"/>
    </row>
    <row r="466" spans="1:26" ht="16" thickBot="1" x14ac:dyDescent="0.25">
      <c r="A466" s="185"/>
      <c r="B466" s="185"/>
      <c r="C466" s="185"/>
      <c r="D466" s="185"/>
      <c r="E466" s="185"/>
      <c r="F466" s="185"/>
      <c r="G466" s="185"/>
      <c r="H466" s="185"/>
      <c r="I466" s="185"/>
      <c r="J466" s="185"/>
      <c r="K466" s="185"/>
      <c r="L466" s="185"/>
      <c r="M466" s="185"/>
      <c r="N466" s="185"/>
      <c r="O466" s="185"/>
      <c r="P466" s="185"/>
      <c r="Q466" s="185"/>
      <c r="R466" s="185"/>
      <c r="S466" s="185"/>
      <c r="T466" s="185"/>
      <c r="U466" s="185"/>
      <c r="V466" s="185"/>
      <c r="W466" s="185"/>
      <c r="X466" s="185"/>
      <c r="Y466" s="185"/>
      <c r="Z466" s="185"/>
    </row>
    <row r="467" spans="1:26" ht="16" thickBot="1" x14ac:dyDescent="0.25">
      <c r="A467" s="185"/>
      <c r="B467" s="185"/>
      <c r="C467" s="185"/>
      <c r="D467" s="185"/>
      <c r="E467" s="185"/>
      <c r="F467" s="185"/>
      <c r="G467" s="185"/>
      <c r="H467" s="185"/>
      <c r="I467" s="185"/>
      <c r="J467" s="185"/>
      <c r="K467" s="185"/>
      <c r="L467" s="185"/>
      <c r="M467" s="185"/>
      <c r="N467" s="185"/>
      <c r="O467" s="185"/>
      <c r="P467" s="185"/>
      <c r="Q467" s="185"/>
      <c r="R467" s="185"/>
      <c r="S467" s="185"/>
      <c r="T467" s="185"/>
      <c r="U467" s="185"/>
      <c r="V467" s="185"/>
      <c r="W467" s="185"/>
      <c r="X467" s="185"/>
      <c r="Y467" s="185"/>
      <c r="Z467" s="185"/>
    </row>
    <row r="468" spans="1:26" ht="16" thickBot="1" x14ac:dyDescent="0.25">
      <c r="A468" s="185"/>
      <c r="B468" s="185"/>
      <c r="C468" s="185"/>
      <c r="D468" s="185"/>
      <c r="E468" s="185"/>
      <c r="F468" s="185"/>
      <c r="G468" s="185"/>
      <c r="H468" s="185"/>
      <c r="I468" s="185"/>
      <c r="J468" s="185"/>
      <c r="K468" s="185"/>
      <c r="L468" s="185"/>
      <c r="M468" s="185"/>
      <c r="N468" s="185"/>
      <c r="O468" s="185"/>
      <c r="P468" s="185"/>
      <c r="Q468" s="185"/>
      <c r="R468" s="185"/>
      <c r="S468" s="185"/>
      <c r="T468" s="185"/>
      <c r="U468" s="185"/>
      <c r="V468" s="185"/>
      <c r="W468" s="185"/>
      <c r="X468" s="185"/>
      <c r="Y468" s="185"/>
      <c r="Z468" s="185"/>
    </row>
    <row r="469" spans="1:26" ht="16" thickBot="1" x14ac:dyDescent="0.25">
      <c r="A469" s="185"/>
      <c r="B469" s="185"/>
      <c r="C469" s="185"/>
      <c r="D469" s="185"/>
      <c r="E469" s="185"/>
      <c r="F469" s="185"/>
      <c r="G469" s="185"/>
      <c r="H469" s="185"/>
      <c r="I469" s="185"/>
      <c r="J469" s="185"/>
      <c r="K469" s="185"/>
      <c r="L469" s="185"/>
      <c r="M469" s="185"/>
      <c r="N469" s="185"/>
      <c r="O469" s="185"/>
      <c r="P469" s="185"/>
      <c r="Q469" s="185"/>
      <c r="R469" s="185"/>
      <c r="S469" s="185"/>
      <c r="T469" s="185"/>
      <c r="U469" s="185"/>
      <c r="V469" s="185"/>
      <c r="W469" s="185"/>
      <c r="X469" s="185"/>
      <c r="Y469" s="185"/>
      <c r="Z469" s="185"/>
    </row>
    <row r="470" spans="1:26" ht="16" thickBot="1" x14ac:dyDescent="0.25">
      <c r="A470" s="185"/>
      <c r="B470" s="185"/>
      <c r="C470" s="185"/>
      <c r="D470" s="185"/>
      <c r="E470" s="185"/>
      <c r="F470" s="185"/>
      <c r="G470" s="185"/>
      <c r="H470" s="185"/>
      <c r="I470" s="185"/>
      <c r="J470" s="185"/>
      <c r="K470" s="185"/>
      <c r="L470" s="185"/>
      <c r="M470" s="185"/>
      <c r="N470" s="185"/>
      <c r="O470" s="185"/>
      <c r="P470" s="185"/>
      <c r="Q470" s="185"/>
      <c r="R470" s="185"/>
      <c r="S470" s="185"/>
      <c r="T470" s="185"/>
      <c r="U470" s="185"/>
      <c r="V470" s="185"/>
      <c r="W470" s="185"/>
      <c r="X470" s="185"/>
      <c r="Y470" s="185"/>
      <c r="Z470" s="185"/>
    </row>
    <row r="471" spans="1:26" ht="16" thickBot="1" x14ac:dyDescent="0.25">
      <c r="A471" s="185"/>
      <c r="B471" s="185"/>
      <c r="C471" s="185"/>
      <c r="D471" s="185"/>
      <c r="E471" s="185"/>
      <c r="F471" s="185"/>
      <c r="G471" s="185"/>
      <c r="H471" s="185"/>
      <c r="I471" s="185"/>
      <c r="J471" s="185"/>
      <c r="K471" s="185"/>
      <c r="L471" s="185"/>
      <c r="M471" s="185"/>
      <c r="N471" s="185"/>
      <c r="O471" s="185"/>
      <c r="P471" s="185"/>
      <c r="Q471" s="185"/>
      <c r="R471" s="185"/>
      <c r="S471" s="185"/>
      <c r="T471" s="185"/>
      <c r="U471" s="185"/>
      <c r="V471" s="185"/>
      <c r="W471" s="185"/>
      <c r="X471" s="185"/>
      <c r="Y471" s="185"/>
      <c r="Z471" s="185"/>
    </row>
    <row r="472" spans="1:26" ht="16" thickBot="1" x14ac:dyDescent="0.25">
      <c r="A472" s="185"/>
      <c r="B472" s="185"/>
      <c r="C472" s="185"/>
      <c r="D472" s="185"/>
      <c r="E472" s="185"/>
      <c r="F472" s="185"/>
      <c r="G472" s="185"/>
      <c r="H472" s="185"/>
      <c r="I472" s="185"/>
      <c r="J472" s="185"/>
      <c r="K472" s="185"/>
      <c r="L472" s="185"/>
      <c r="M472" s="185"/>
      <c r="N472" s="185"/>
      <c r="O472" s="185"/>
      <c r="P472" s="185"/>
      <c r="Q472" s="185"/>
      <c r="R472" s="185"/>
      <c r="S472" s="185"/>
      <c r="T472" s="185"/>
      <c r="U472" s="185"/>
      <c r="V472" s="185"/>
      <c r="W472" s="185"/>
      <c r="X472" s="185"/>
      <c r="Y472" s="185"/>
      <c r="Z472" s="185"/>
    </row>
    <row r="473" spans="1:26" ht="16" thickBot="1" x14ac:dyDescent="0.25">
      <c r="A473" s="185"/>
      <c r="B473" s="185"/>
      <c r="C473" s="185"/>
      <c r="D473" s="185"/>
      <c r="E473" s="185"/>
      <c r="F473" s="185"/>
      <c r="G473" s="185"/>
      <c r="H473" s="185"/>
      <c r="I473" s="185"/>
      <c r="J473" s="185"/>
      <c r="K473" s="185"/>
      <c r="L473" s="185"/>
      <c r="M473" s="185"/>
      <c r="N473" s="185"/>
      <c r="O473" s="185"/>
      <c r="P473" s="185"/>
      <c r="Q473" s="185"/>
      <c r="R473" s="185"/>
      <c r="S473" s="185"/>
      <c r="T473" s="185"/>
      <c r="U473" s="185"/>
      <c r="V473" s="185"/>
      <c r="W473" s="185"/>
      <c r="X473" s="185"/>
      <c r="Y473" s="185"/>
      <c r="Z473" s="185"/>
    </row>
    <row r="474" spans="1:26" ht="16" thickBot="1" x14ac:dyDescent="0.25">
      <c r="A474" s="185"/>
      <c r="B474" s="185"/>
      <c r="C474" s="185"/>
      <c r="D474" s="185"/>
      <c r="E474" s="185"/>
      <c r="F474" s="185"/>
      <c r="G474" s="185"/>
      <c r="H474" s="185"/>
      <c r="I474" s="185"/>
      <c r="J474" s="185"/>
      <c r="K474" s="185"/>
      <c r="L474" s="185"/>
      <c r="M474" s="185"/>
      <c r="N474" s="185"/>
      <c r="O474" s="185"/>
      <c r="P474" s="185"/>
      <c r="Q474" s="185"/>
      <c r="R474" s="185"/>
      <c r="S474" s="185"/>
      <c r="T474" s="185"/>
      <c r="U474" s="185"/>
      <c r="V474" s="185"/>
      <c r="W474" s="185"/>
      <c r="X474" s="185"/>
      <c r="Y474" s="185"/>
      <c r="Z474" s="185"/>
    </row>
    <row r="475" spans="1:26" ht="16" thickBot="1" x14ac:dyDescent="0.25">
      <c r="A475" s="185"/>
      <c r="B475" s="185"/>
      <c r="C475" s="185"/>
      <c r="D475" s="185"/>
      <c r="E475" s="185"/>
      <c r="F475" s="185"/>
      <c r="G475" s="185"/>
      <c r="H475" s="185"/>
      <c r="I475" s="185"/>
      <c r="J475" s="185"/>
      <c r="K475" s="185"/>
      <c r="L475" s="185"/>
      <c r="M475" s="185"/>
      <c r="N475" s="185"/>
      <c r="O475" s="185"/>
      <c r="P475" s="185"/>
      <c r="Q475" s="185"/>
      <c r="R475" s="185"/>
      <c r="S475" s="185"/>
      <c r="T475" s="185"/>
      <c r="U475" s="185"/>
      <c r="V475" s="185"/>
      <c r="W475" s="185"/>
      <c r="X475" s="185"/>
      <c r="Y475" s="185"/>
      <c r="Z475" s="185"/>
    </row>
    <row r="476" spans="1:26" ht="16" thickBot="1" x14ac:dyDescent="0.25">
      <c r="A476" s="185"/>
      <c r="B476" s="185"/>
      <c r="C476" s="185"/>
      <c r="D476" s="185"/>
      <c r="E476" s="185"/>
      <c r="F476" s="185"/>
      <c r="G476" s="185"/>
      <c r="H476" s="185"/>
      <c r="I476" s="185"/>
      <c r="J476" s="185"/>
      <c r="K476" s="185"/>
      <c r="L476" s="185"/>
      <c r="M476" s="185"/>
      <c r="N476" s="185"/>
      <c r="O476" s="185"/>
      <c r="P476" s="185"/>
      <c r="Q476" s="185"/>
      <c r="R476" s="185"/>
      <c r="S476" s="185"/>
      <c r="T476" s="185"/>
      <c r="U476" s="185"/>
      <c r="V476" s="185"/>
      <c r="W476" s="185"/>
      <c r="X476" s="185"/>
      <c r="Y476" s="185"/>
      <c r="Z476" s="185"/>
    </row>
    <row r="477" spans="1:26" ht="16" thickBot="1" x14ac:dyDescent="0.25">
      <c r="A477" s="185"/>
      <c r="B477" s="185"/>
      <c r="C477" s="185"/>
      <c r="D477" s="185"/>
      <c r="E477" s="185"/>
      <c r="F477" s="185"/>
      <c r="G477" s="185"/>
      <c r="H477" s="185"/>
      <c r="I477" s="185"/>
      <c r="J477" s="185"/>
      <c r="K477" s="185"/>
      <c r="L477" s="185"/>
      <c r="M477" s="185"/>
      <c r="N477" s="185"/>
      <c r="O477" s="185"/>
      <c r="P477" s="185"/>
      <c r="Q477" s="185"/>
      <c r="R477" s="185"/>
      <c r="S477" s="185"/>
      <c r="T477" s="185"/>
      <c r="U477" s="185"/>
      <c r="V477" s="185"/>
      <c r="W477" s="185"/>
      <c r="X477" s="185"/>
      <c r="Y477" s="185"/>
      <c r="Z477" s="185"/>
    </row>
    <row r="478" spans="1:26" ht="16" thickBot="1" x14ac:dyDescent="0.25">
      <c r="A478" s="185"/>
      <c r="B478" s="185"/>
      <c r="C478" s="185"/>
      <c r="D478" s="185"/>
      <c r="E478" s="185"/>
      <c r="F478" s="185"/>
      <c r="G478" s="185"/>
      <c r="H478" s="185"/>
      <c r="I478" s="185"/>
      <c r="J478" s="185"/>
      <c r="K478" s="185"/>
      <c r="L478" s="185"/>
      <c r="M478" s="185"/>
      <c r="N478" s="185"/>
      <c r="O478" s="185"/>
      <c r="P478" s="185"/>
      <c r="Q478" s="185"/>
      <c r="R478" s="185"/>
      <c r="S478" s="185"/>
      <c r="T478" s="185"/>
      <c r="U478" s="185"/>
      <c r="V478" s="185"/>
      <c r="W478" s="185"/>
      <c r="X478" s="185"/>
      <c r="Y478" s="185"/>
      <c r="Z478" s="185"/>
    </row>
    <row r="479" spans="1:26" ht="16" thickBot="1" x14ac:dyDescent="0.25">
      <c r="A479" s="185"/>
      <c r="B479" s="185"/>
      <c r="C479" s="185"/>
      <c r="D479" s="185"/>
      <c r="E479" s="185"/>
      <c r="F479" s="185"/>
      <c r="G479" s="185"/>
      <c r="H479" s="185"/>
      <c r="I479" s="185"/>
      <c r="J479" s="185"/>
      <c r="K479" s="185"/>
      <c r="L479" s="185"/>
      <c r="M479" s="185"/>
      <c r="N479" s="185"/>
      <c r="O479" s="185"/>
      <c r="P479" s="185"/>
      <c r="Q479" s="185"/>
      <c r="R479" s="185"/>
      <c r="S479" s="185"/>
      <c r="T479" s="185"/>
      <c r="U479" s="185"/>
      <c r="V479" s="185"/>
      <c r="W479" s="185"/>
      <c r="X479" s="185"/>
      <c r="Y479" s="185"/>
      <c r="Z479" s="185"/>
    </row>
    <row r="480" spans="1:26" ht="16" thickBot="1" x14ac:dyDescent="0.25">
      <c r="A480" s="185"/>
      <c r="B480" s="185"/>
      <c r="C480" s="185"/>
      <c r="D480" s="185"/>
      <c r="E480" s="185"/>
      <c r="F480" s="185"/>
      <c r="G480" s="185"/>
      <c r="H480" s="185"/>
      <c r="I480" s="185"/>
      <c r="J480" s="185"/>
      <c r="K480" s="185"/>
      <c r="L480" s="185"/>
      <c r="M480" s="185"/>
      <c r="N480" s="185"/>
      <c r="O480" s="185"/>
      <c r="P480" s="185"/>
      <c r="Q480" s="185"/>
      <c r="R480" s="185"/>
      <c r="S480" s="185"/>
      <c r="T480" s="185"/>
      <c r="U480" s="185"/>
      <c r="V480" s="185"/>
      <c r="W480" s="185"/>
      <c r="X480" s="185"/>
      <c r="Y480" s="185"/>
      <c r="Z480" s="185"/>
    </row>
    <row r="481" spans="1:26" ht="16" thickBot="1" x14ac:dyDescent="0.25">
      <c r="A481" s="185"/>
      <c r="B481" s="185"/>
      <c r="C481" s="185"/>
      <c r="D481" s="185"/>
      <c r="E481" s="185"/>
      <c r="F481" s="185"/>
      <c r="G481" s="185"/>
      <c r="H481" s="185"/>
      <c r="I481" s="185"/>
      <c r="J481" s="185"/>
      <c r="K481" s="185"/>
      <c r="L481" s="185"/>
      <c r="M481" s="185"/>
      <c r="N481" s="185"/>
      <c r="O481" s="185"/>
      <c r="P481" s="185"/>
      <c r="Q481" s="185"/>
      <c r="R481" s="185"/>
      <c r="S481" s="185"/>
      <c r="T481" s="185"/>
      <c r="U481" s="185"/>
      <c r="V481" s="185"/>
      <c r="W481" s="185"/>
      <c r="X481" s="185"/>
      <c r="Y481" s="185"/>
      <c r="Z481" s="185"/>
    </row>
    <row r="482" spans="1:26" ht="16" thickBot="1" x14ac:dyDescent="0.25">
      <c r="A482" s="185"/>
      <c r="B482" s="185"/>
      <c r="C482" s="185"/>
      <c r="D482" s="185"/>
      <c r="E482" s="185"/>
      <c r="F482" s="185"/>
      <c r="G482" s="185"/>
      <c r="H482" s="185"/>
      <c r="I482" s="185"/>
      <c r="J482" s="185"/>
      <c r="K482" s="185"/>
      <c r="L482" s="185"/>
      <c r="M482" s="185"/>
      <c r="N482" s="185"/>
      <c r="O482" s="185"/>
      <c r="P482" s="185"/>
      <c r="Q482" s="185"/>
      <c r="R482" s="185"/>
      <c r="S482" s="185"/>
      <c r="T482" s="185"/>
      <c r="U482" s="185"/>
      <c r="V482" s="185"/>
      <c r="W482" s="185"/>
      <c r="X482" s="185"/>
      <c r="Y482" s="185"/>
      <c r="Z482" s="185"/>
    </row>
    <row r="483" spans="1:26" ht="16" thickBot="1" x14ac:dyDescent="0.25">
      <c r="A483" s="185"/>
      <c r="B483" s="185"/>
      <c r="C483" s="185"/>
      <c r="D483" s="185"/>
      <c r="E483" s="185"/>
      <c r="F483" s="185"/>
      <c r="G483" s="185"/>
      <c r="H483" s="185"/>
      <c r="I483" s="185"/>
      <c r="J483" s="185"/>
      <c r="K483" s="185"/>
      <c r="L483" s="185"/>
      <c r="M483" s="185"/>
      <c r="N483" s="185"/>
      <c r="O483" s="185"/>
      <c r="P483" s="185"/>
      <c r="Q483" s="185"/>
      <c r="R483" s="185"/>
      <c r="S483" s="185"/>
      <c r="T483" s="185"/>
      <c r="U483" s="185"/>
      <c r="V483" s="185"/>
      <c r="W483" s="185"/>
      <c r="X483" s="185"/>
      <c r="Y483" s="185"/>
      <c r="Z483" s="185"/>
    </row>
    <row r="484" spans="1:26" ht="16" thickBot="1" x14ac:dyDescent="0.25">
      <c r="A484" s="185"/>
      <c r="B484" s="185"/>
      <c r="C484" s="185"/>
      <c r="D484" s="185"/>
      <c r="E484" s="185"/>
      <c r="F484" s="185"/>
      <c r="G484" s="185"/>
      <c r="H484" s="185"/>
      <c r="I484" s="185"/>
      <c r="J484" s="185"/>
      <c r="K484" s="185"/>
      <c r="L484" s="185"/>
      <c r="M484" s="185"/>
      <c r="N484" s="185"/>
      <c r="O484" s="185"/>
      <c r="P484" s="185"/>
      <c r="Q484" s="185"/>
      <c r="R484" s="185"/>
      <c r="S484" s="185"/>
      <c r="T484" s="185"/>
      <c r="U484" s="185"/>
      <c r="V484" s="185"/>
      <c r="W484" s="185"/>
      <c r="X484" s="185"/>
      <c r="Y484" s="185"/>
      <c r="Z484" s="185"/>
    </row>
    <row r="485" spans="1:26" ht="16" thickBot="1" x14ac:dyDescent="0.25">
      <c r="A485" s="185"/>
      <c r="B485" s="185"/>
      <c r="C485" s="185"/>
      <c r="D485" s="185"/>
      <c r="E485" s="185"/>
      <c r="F485" s="185"/>
      <c r="G485" s="185"/>
      <c r="H485" s="185"/>
      <c r="I485" s="185"/>
      <c r="J485" s="185"/>
      <c r="K485" s="185"/>
      <c r="L485" s="185"/>
      <c r="M485" s="185"/>
      <c r="N485" s="185"/>
      <c r="O485" s="185"/>
      <c r="P485" s="185"/>
      <c r="Q485" s="185"/>
      <c r="R485" s="185"/>
      <c r="S485" s="185"/>
      <c r="T485" s="185"/>
      <c r="U485" s="185"/>
      <c r="V485" s="185"/>
      <c r="W485" s="185"/>
      <c r="X485" s="185"/>
      <c r="Y485" s="185"/>
      <c r="Z485" s="185"/>
    </row>
    <row r="486" spans="1:26" ht="16" thickBot="1" x14ac:dyDescent="0.25">
      <c r="A486" s="185"/>
      <c r="B486" s="185"/>
      <c r="C486" s="185"/>
      <c r="D486" s="185"/>
      <c r="E486" s="185"/>
      <c r="F486" s="185"/>
      <c r="G486" s="185"/>
      <c r="H486" s="185"/>
      <c r="I486" s="185"/>
      <c r="J486" s="185"/>
      <c r="K486" s="185"/>
      <c r="L486" s="185"/>
      <c r="M486" s="185"/>
      <c r="N486" s="185"/>
      <c r="O486" s="185"/>
      <c r="P486" s="185"/>
      <c r="Q486" s="185"/>
      <c r="R486" s="185"/>
      <c r="S486" s="185"/>
      <c r="T486" s="185"/>
      <c r="U486" s="185"/>
      <c r="V486" s="185"/>
      <c r="W486" s="185"/>
      <c r="X486" s="185"/>
      <c r="Y486" s="185"/>
      <c r="Z486" s="185"/>
    </row>
    <row r="487" spans="1:26" ht="16" thickBot="1" x14ac:dyDescent="0.25">
      <c r="A487" s="185"/>
      <c r="B487" s="185"/>
      <c r="C487" s="185"/>
      <c r="D487" s="185"/>
      <c r="E487" s="185"/>
      <c r="F487" s="185"/>
      <c r="G487" s="185"/>
      <c r="H487" s="185"/>
      <c r="I487" s="185"/>
      <c r="J487" s="185"/>
      <c r="K487" s="185"/>
      <c r="L487" s="185"/>
      <c r="M487" s="185"/>
      <c r="N487" s="185"/>
      <c r="O487" s="185"/>
      <c r="P487" s="185"/>
      <c r="Q487" s="185"/>
      <c r="R487" s="185"/>
      <c r="S487" s="185"/>
      <c r="T487" s="185"/>
      <c r="U487" s="185"/>
      <c r="V487" s="185"/>
      <c r="W487" s="185"/>
      <c r="X487" s="185"/>
      <c r="Y487" s="185"/>
      <c r="Z487" s="185"/>
    </row>
    <row r="488" spans="1:26" ht="16" thickBot="1" x14ac:dyDescent="0.25">
      <c r="A488" s="185"/>
      <c r="B488" s="185"/>
      <c r="C488" s="185"/>
      <c r="D488" s="185"/>
      <c r="E488" s="185"/>
      <c r="F488" s="185"/>
      <c r="G488" s="185"/>
      <c r="H488" s="185"/>
      <c r="I488" s="185"/>
      <c r="J488" s="185"/>
      <c r="K488" s="185"/>
      <c r="L488" s="185"/>
      <c r="M488" s="185"/>
      <c r="N488" s="185"/>
      <c r="O488" s="185"/>
      <c r="P488" s="185"/>
      <c r="Q488" s="185"/>
      <c r="R488" s="185"/>
      <c r="S488" s="185"/>
      <c r="T488" s="185"/>
      <c r="U488" s="185"/>
      <c r="V488" s="185"/>
      <c r="W488" s="185"/>
      <c r="X488" s="185"/>
      <c r="Y488" s="185"/>
      <c r="Z488" s="185"/>
    </row>
    <row r="489" spans="1:26" ht="16" thickBot="1" x14ac:dyDescent="0.25">
      <c r="A489" s="185"/>
      <c r="B489" s="185"/>
      <c r="C489" s="185"/>
      <c r="D489" s="185"/>
      <c r="E489" s="185"/>
      <c r="F489" s="185"/>
      <c r="G489" s="185"/>
      <c r="H489" s="185"/>
      <c r="I489" s="185"/>
      <c r="J489" s="185"/>
      <c r="K489" s="185"/>
      <c r="L489" s="185"/>
      <c r="M489" s="185"/>
      <c r="N489" s="185"/>
      <c r="O489" s="185"/>
      <c r="P489" s="185"/>
      <c r="Q489" s="185"/>
      <c r="R489" s="185"/>
      <c r="S489" s="185"/>
      <c r="T489" s="185"/>
      <c r="U489" s="185"/>
      <c r="V489" s="185"/>
      <c r="W489" s="185"/>
      <c r="X489" s="185"/>
      <c r="Y489" s="185"/>
      <c r="Z489" s="185"/>
    </row>
    <row r="490" spans="1:26" ht="16" thickBot="1" x14ac:dyDescent="0.25">
      <c r="A490" s="185"/>
      <c r="B490" s="185"/>
      <c r="C490" s="185"/>
      <c r="D490" s="185"/>
      <c r="E490" s="185"/>
      <c r="F490" s="185"/>
      <c r="G490" s="185"/>
      <c r="H490" s="185"/>
      <c r="I490" s="185"/>
      <c r="J490" s="185"/>
      <c r="K490" s="185"/>
      <c r="L490" s="185"/>
      <c r="M490" s="185"/>
      <c r="N490" s="185"/>
      <c r="O490" s="185"/>
      <c r="P490" s="185"/>
      <c r="Q490" s="185"/>
      <c r="R490" s="185"/>
      <c r="S490" s="185"/>
      <c r="T490" s="185"/>
      <c r="U490" s="185"/>
      <c r="V490" s="185"/>
      <c r="W490" s="185"/>
      <c r="X490" s="185"/>
      <c r="Y490" s="185"/>
      <c r="Z490" s="185"/>
    </row>
    <row r="491" spans="1:26" ht="16" thickBot="1" x14ac:dyDescent="0.25">
      <c r="A491" s="185"/>
      <c r="B491" s="185"/>
      <c r="C491" s="185"/>
      <c r="D491" s="185"/>
      <c r="E491" s="185"/>
      <c r="F491" s="185"/>
      <c r="G491" s="185"/>
      <c r="H491" s="185"/>
      <c r="I491" s="185"/>
      <c r="J491" s="185"/>
      <c r="K491" s="185"/>
      <c r="L491" s="185"/>
      <c r="M491" s="185"/>
      <c r="N491" s="185"/>
      <c r="O491" s="185"/>
      <c r="P491" s="185"/>
      <c r="Q491" s="185"/>
      <c r="R491" s="185"/>
      <c r="S491" s="185"/>
      <c r="T491" s="185"/>
      <c r="U491" s="185"/>
      <c r="V491" s="185"/>
      <c r="W491" s="185"/>
      <c r="X491" s="185"/>
      <c r="Y491" s="185"/>
      <c r="Z491" s="185"/>
    </row>
    <row r="492" spans="1:26" ht="16" thickBot="1" x14ac:dyDescent="0.25">
      <c r="A492" s="185"/>
      <c r="B492" s="185"/>
      <c r="C492" s="185"/>
      <c r="D492" s="185"/>
      <c r="E492" s="185"/>
      <c r="F492" s="185"/>
      <c r="G492" s="185"/>
      <c r="H492" s="185"/>
      <c r="I492" s="185"/>
      <c r="J492" s="185"/>
      <c r="K492" s="185"/>
      <c r="L492" s="185"/>
      <c r="M492" s="185"/>
      <c r="N492" s="185"/>
      <c r="O492" s="185"/>
      <c r="P492" s="185"/>
      <c r="Q492" s="185"/>
      <c r="R492" s="185"/>
      <c r="S492" s="185"/>
      <c r="T492" s="185"/>
      <c r="U492" s="185"/>
      <c r="V492" s="185"/>
      <c r="W492" s="185"/>
      <c r="X492" s="185"/>
      <c r="Y492" s="185"/>
      <c r="Z492" s="185"/>
    </row>
    <row r="493" spans="1:26" ht="16" thickBot="1" x14ac:dyDescent="0.25">
      <c r="A493" s="185"/>
      <c r="B493" s="185"/>
      <c r="C493" s="185"/>
      <c r="D493" s="185"/>
      <c r="E493" s="185"/>
      <c r="F493" s="185"/>
      <c r="G493" s="185"/>
      <c r="H493" s="185"/>
      <c r="I493" s="185"/>
      <c r="J493" s="185"/>
      <c r="K493" s="185"/>
      <c r="L493" s="185"/>
      <c r="M493" s="185"/>
      <c r="N493" s="185"/>
      <c r="O493" s="185"/>
      <c r="P493" s="185"/>
      <c r="Q493" s="185"/>
      <c r="R493" s="185"/>
      <c r="S493" s="185"/>
      <c r="T493" s="185"/>
      <c r="U493" s="185"/>
      <c r="V493" s="185"/>
      <c r="W493" s="185"/>
      <c r="X493" s="185"/>
      <c r="Y493" s="185"/>
      <c r="Z493" s="185"/>
    </row>
    <row r="494" spans="1:26" ht="16" thickBot="1" x14ac:dyDescent="0.25">
      <c r="A494" s="185"/>
      <c r="B494" s="185"/>
      <c r="C494" s="185"/>
      <c r="D494" s="185"/>
      <c r="E494" s="185"/>
      <c r="F494" s="185"/>
      <c r="G494" s="185"/>
      <c r="H494" s="185"/>
      <c r="I494" s="185"/>
      <c r="J494" s="185"/>
      <c r="K494" s="185"/>
      <c r="L494" s="185"/>
      <c r="M494" s="185"/>
      <c r="N494" s="185"/>
      <c r="O494" s="185"/>
      <c r="P494" s="185"/>
      <c r="Q494" s="185"/>
      <c r="R494" s="185"/>
      <c r="S494" s="185"/>
      <c r="T494" s="185"/>
      <c r="U494" s="185"/>
      <c r="V494" s="185"/>
      <c r="W494" s="185"/>
      <c r="X494" s="185"/>
      <c r="Y494" s="185"/>
      <c r="Z494" s="185"/>
    </row>
    <row r="495" spans="1:26" ht="16" thickBot="1" x14ac:dyDescent="0.25">
      <c r="A495" s="185"/>
      <c r="B495" s="185"/>
      <c r="C495" s="185"/>
      <c r="D495" s="185"/>
      <c r="E495" s="185"/>
      <c r="F495" s="185"/>
      <c r="G495" s="185"/>
      <c r="H495" s="185"/>
      <c r="I495" s="185"/>
      <c r="J495" s="185"/>
      <c r="K495" s="185"/>
      <c r="L495" s="185"/>
      <c r="M495" s="185"/>
      <c r="N495" s="185"/>
      <c r="O495" s="185"/>
      <c r="P495" s="185"/>
      <c r="Q495" s="185"/>
      <c r="R495" s="185"/>
      <c r="S495" s="185"/>
      <c r="T495" s="185"/>
      <c r="U495" s="185"/>
      <c r="V495" s="185"/>
      <c r="W495" s="185"/>
      <c r="X495" s="185"/>
      <c r="Y495" s="185"/>
      <c r="Z495" s="185"/>
    </row>
    <row r="496" spans="1:26" ht="16" thickBot="1" x14ac:dyDescent="0.25">
      <c r="A496" s="185"/>
      <c r="B496" s="185"/>
      <c r="C496" s="185"/>
      <c r="D496" s="185"/>
      <c r="E496" s="185"/>
      <c r="F496" s="185"/>
      <c r="G496" s="185"/>
      <c r="H496" s="185"/>
      <c r="I496" s="185"/>
      <c r="J496" s="185"/>
      <c r="K496" s="185"/>
      <c r="L496" s="185"/>
      <c r="M496" s="185"/>
      <c r="N496" s="185"/>
      <c r="O496" s="185"/>
      <c r="P496" s="185"/>
      <c r="Q496" s="185"/>
      <c r="R496" s="185"/>
      <c r="S496" s="185"/>
      <c r="T496" s="185"/>
      <c r="U496" s="185"/>
      <c r="V496" s="185"/>
      <c r="W496" s="185"/>
      <c r="X496" s="185"/>
      <c r="Y496" s="185"/>
      <c r="Z496" s="185"/>
    </row>
    <row r="497" spans="1:26" ht="16" thickBot="1" x14ac:dyDescent="0.25">
      <c r="A497" s="185"/>
      <c r="B497" s="185"/>
      <c r="C497" s="185"/>
      <c r="D497" s="185"/>
      <c r="E497" s="185"/>
      <c r="F497" s="185"/>
      <c r="G497" s="185"/>
      <c r="H497" s="185"/>
      <c r="I497" s="185"/>
      <c r="J497" s="185"/>
      <c r="K497" s="185"/>
      <c r="L497" s="185"/>
      <c r="M497" s="185"/>
      <c r="N497" s="185"/>
      <c r="O497" s="185"/>
      <c r="P497" s="185"/>
      <c r="Q497" s="185"/>
      <c r="R497" s="185"/>
      <c r="S497" s="185"/>
      <c r="T497" s="185"/>
      <c r="U497" s="185"/>
      <c r="V497" s="185"/>
      <c r="W497" s="185"/>
      <c r="X497" s="185"/>
      <c r="Y497" s="185"/>
      <c r="Z497" s="185"/>
    </row>
    <row r="498" spans="1:26" ht="16" thickBot="1" x14ac:dyDescent="0.25">
      <c r="A498" s="185"/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5"/>
      <c r="O498" s="185"/>
      <c r="P498" s="185"/>
      <c r="Q498" s="185"/>
      <c r="R498" s="185"/>
      <c r="S498" s="185"/>
      <c r="T498" s="185"/>
      <c r="U498" s="185"/>
      <c r="V498" s="185"/>
      <c r="W498" s="185"/>
      <c r="X498" s="185"/>
      <c r="Y498" s="185"/>
      <c r="Z498" s="185"/>
    </row>
    <row r="499" spans="1:26" ht="16" thickBot="1" x14ac:dyDescent="0.25">
      <c r="A499" s="185"/>
      <c r="B499" s="185"/>
      <c r="C499" s="185"/>
      <c r="D499" s="185"/>
      <c r="E499" s="185"/>
      <c r="F499" s="185"/>
      <c r="G499" s="185"/>
      <c r="H499" s="185"/>
      <c r="I499" s="185"/>
      <c r="J499" s="185"/>
      <c r="K499" s="185"/>
      <c r="L499" s="185"/>
      <c r="M499" s="185"/>
      <c r="N499" s="185"/>
      <c r="O499" s="185"/>
      <c r="P499" s="185"/>
      <c r="Q499" s="185"/>
      <c r="R499" s="185"/>
      <c r="S499" s="185"/>
      <c r="T499" s="185"/>
      <c r="U499" s="185"/>
      <c r="V499" s="185"/>
      <c r="W499" s="185"/>
      <c r="X499" s="185"/>
      <c r="Y499" s="185"/>
      <c r="Z499" s="185"/>
    </row>
    <row r="500" spans="1:26" ht="16" thickBot="1" x14ac:dyDescent="0.25">
      <c r="A500" s="185"/>
      <c r="B500" s="185"/>
      <c r="C500" s="185"/>
      <c r="D500" s="185"/>
      <c r="E500" s="185"/>
      <c r="F500" s="185"/>
      <c r="G500" s="185"/>
      <c r="H500" s="185"/>
      <c r="I500" s="185"/>
      <c r="J500" s="185"/>
      <c r="K500" s="185"/>
      <c r="L500" s="185"/>
      <c r="M500" s="185"/>
      <c r="N500" s="185"/>
      <c r="O500" s="185"/>
      <c r="P500" s="185"/>
      <c r="Q500" s="185"/>
      <c r="R500" s="185"/>
      <c r="S500" s="185"/>
      <c r="T500" s="185"/>
      <c r="U500" s="185"/>
      <c r="V500" s="185"/>
      <c r="W500" s="185"/>
      <c r="X500" s="185"/>
      <c r="Y500" s="185"/>
      <c r="Z500" s="185"/>
    </row>
    <row r="501" spans="1:26" ht="16" thickBot="1" x14ac:dyDescent="0.25">
      <c r="A501" s="185"/>
      <c r="B501" s="185"/>
      <c r="C501" s="185"/>
      <c r="D501" s="185"/>
      <c r="E501" s="185"/>
      <c r="F501" s="185"/>
      <c r="G501" s="185"/>
      <c r="H501" s="185"/>
      <c r="I501" s="185"/>
      <c r="J501" s="185"/>
      <c r="K501" s="185"/>
      <c r="L501" s="185"/>
      <c r="M501" s="185"/>
      <c r="N501" s="185"/>
      <c r="O501" s="185"/>
      <c r="P501" s="185"/>
      <c r="Q501" s="185"/>
      <c r="R501" s="185"/>
      <c r="S501" s="185"/>
      <c r="T501" s="185"/>
      <c r="U501" s="185"/>
      <c r="V501" s="185"/>
      <c r="W501" s="185"/>
      <c r="X501" s="185"/>
      <c r="Y501" s="185"/>
      <c r="Z501" s="185"/>
    </row>
    <row r="502" spans="1:26" ht="16" thickBot="1" x14ac:dyDescent="0.25">
      <c r="A502" s="185"/>
      <c r="B502" s="185"/>
      <c r="C502" s="185"/>
      <c r="D502" s="185"/>
      <c r="E502" s="185"/>
      <c r="F502" s="185"/>
      <c r="G502" s="185"/>
      <c r="H502" s="185"/>
      <c r="I502" s="185"/>
      <c r="J502" s="185"/>
      <c r="K502" s="185"/>
      <c r="L502" s="185"/>
      <c r="M502" s="185"/>
      <c r="N502" s="185"/>
      <c r="O502" s="185"/>
      <c r="P502" s="185"/>
      <c r="Q502" s="185"/>
      <c r="R502" s="185"/>
      <c r="S502" s="185"/>
      <c r="T502" s="185"/>
      <c r="U502" s="185"/>
      <c r="V502" s="185"/>
      <c r="W502" s="185"/>
      <c r="X502" s="185"/>
      <c r="Y502" s="185"/>
      <c r="Z502" s="185"/>
    </row>
    <row r="503" spans="1:26" ht="16" thickBot="1" x14ac:dyDescent="0.25">
      <c r="A503" s="185"/>
      <c r="B503" s="185"/>
      <c r="C503" s="185"/>
      <c r="D503" s="185"/>
      <c r="E503" s="185"/>
      <c r="F503" s="185"/>
      <c r="G503" s="185"/>
      <c r="H503" s="185"/>
      <c r="I503" s="185"/>
      <c r="J503" s="185"/>
      <c r="K503" s="185"/>
      <c r="L503" s="185"/>
      <c r="M503" s="185"/>
      <c r="N503" s="185"/>
      <c r="O503" s="185"/>
      <c r="P503" s="185"/>
      <c r="Q503" s="185"/>
      <c r="R503" s="185"/>
      <c r="S503" s="185"/>
      <c r="T503" s="185"/>
      <c r="U503" s="185"/>
      <c r="V503" s="185"/>
      <c r="W503" s="185"/>
      <c r="X503" s="185"/>
      <c r="Y503" s="185"/>
      <c r="Z503" s="185"/>
    </row>
    <row r="504" spans="1:26" ht="16" thickBot="1" x14ac:dyDescent="0.25">
      <c r="A504" s="185"/>
      <c r="B504" s="185"/>
      <c r="C504" s="185"/>
      <c r="D504" s="185"/>
      <c r="E504" s="185"/>
      <c r="F504" s="185"/>
      <c r="G504" s="185"/>
      <c r="H504" s="185"/>
      <c r="I504" s="185"/>
      <c r="J504" s="185"/>
      <c r="K504" s="185"/>
      <c r="L504" s="185"/>
      <c r="M504" s="185"/>
      <c r="N504" s="185"/>
      <c r="O504" s="185"/>
      <c r="P504" s="185"/>
      <c r="Q504" s="185"/>
      <c r="R504" s="185"/>
      <c r="S504" s="185"/>
      <c r="T504" s="185"/>
      <c r="U504" s="185"/>
      <c r="V504" s="185"/>
      <c r="W504" s="185"/>
      <c r="X504" s="185"/>
      <c r="Y504" s="185"/>
      <c r="Z504" s="185"/>
    </row>
    <row r="505" spans="1:26" ht="16" thickBot="1" x14ac:dyDescent="0.25">
      <c r="A505" s="185"/>
      <c r="B505" s="185"/>
      <c r="C505" s="185"/>
      <c r="D505" s="185"/>
      <c r="E505" s="185"/>
      <c r="F505" s="185"/>
      <c r="G505" s="185"/>
      <c r="H505" s="185"/>
      <c r="I505" s="185"/>
      <c r="J505" s="185"/>
      <c r="K505" s="185"/>
      <c r="L505" s="185"/>
      <c r="M505" s="185"/>
      <c r="N505" s="185"/>
      <c r="O505" s="185"/>
      <c r="P505" s="185"/>
      <c r="Q505" s="185"/>
      <c r="R505" s="185"/>
      <c r="S505" s="185"/>
      <c r="T505" s="185"/>
      <c r="U505" s="185"/>
      <c r="V505" s="185"/>
      <c r="W505" s="185"/>
      <c r="X505" s="185"/>
      <c r="Y505" s="185"/>
      <c r="Z505" s="185"/>
    </row>
    <row r="506" spans="1:26" ht="16" thickBot="1" x14ac:dyDescent="0.25">
      <c r="A506" s="185"/>
      <c r="B506" s="185"/>
      <c r="C506" s="185"/>
      <c r="D506" s="185"/>
      <c r="E506" s="185"/>
      <c r="F506" s="185"/>
      <c r="G506" s="185"/>
      <c r="H506" s="185"/>
      <c r="I506" s="185"/>
      <c r="J506" s="185"/>
      <c r="K506" s="185"/>
      <c r="L506" s="185"/>
      <c r="M506" s="185"/>
      <c r="N506" s="185"/>
      <c r="O506" s="185"/>
      <c r="P506" s="185"/>
      <c r="Q506" s="185"/>
      <c r="R506" s="185"/>
      <c r="S506" s="185"/>
      <c r="T506" s="185"/>
      <c r="U506" s="185"/>
      <c r="V506" s="185"/>
      <c r="W506" s="185"/>
      <c r="X506" s="185"/>
      <c r="Y506" s="185"/>
      <c r="Z506" s="185"/>
    </row>
    <row r="507" spans="1:26" ht="16" thickBot="1" x14ac:dyDescent="0.25">
      <c r="A507" s="185"/>
      <c r="B507" s="185"/>
      <c r="C507" s="185"/>
      <c r="D507" s="185"/>
      <c r="E507" s="185"/>
      <c r="F507" s="185"/>
      <c r="G507" s="185"/>
      <c r="H507" s="185"/>
      <c r="I507" s="185"/>
      <c r="J507" s="185"/>
      <c r="K507" s="185"/>
      <c r="L507" s="185"/>
      <c r="M507" s="185"/>
      <c r="N507" s="185"/>
      <c r="O507" s="185"/>
      <c r="P507" s="185"/>
      <c r="Q507" s="185"/>
      <c r="R507" s="185"/>
      <c r="S507" s="185"/>
      <c r="T507" s="185"/>
      <c r="U507" s="185"/>
      <c r="V507" s="185"/>
      <c r="W507" s="185"/>
      <c r="X507" s="185"/>
      <c r="Y507" s="185"/>
      <c r="Z507" s="185"/>
    </row>
    <row r="508" spans="1:26" ht="16" thickBot="1" x14ac:dyDescent="0.25">
      <c r="A508" s="185"/>
      <c r="B508" s="185"/>
      <c r="C508" s="185"/>
      <c r="D508" s="185"/>
      <c r="E508" s="185"/>
      <c r="F508" s="185"/>
      <c r="G508" s="185"/>
      <c r="H508" s="185"/>
      <c r="I508" s="185"/>
      <c r="J508" s="185"/>
      <c r="K508" s="185"/>
      <c r="L508" s="185"/>
      <c r="M508" s="185"/>
      <c r="N508" s="185"/>
      <c r="O508" s="185"/>
      <c r="P508" s="185"/>
      <c r="Q508" s="185"/>
      <c r="R508" s="185"/>
      <c r="S508" s="185"/>
      <c r="T508" s="185"/>
      <c r="U508" s="185"/>
      <c r="V508" s="185"/>
      <c r="W508" s="185"/>
      <c r="X508" s="185"/>
      <c r="Y508" s="185"/>
      <c r="Z508" s="185"/>
    </row>
    <row r="509" spans="1:26" ht="16" thickBot="1" x14ac:dyDescent="0.25">
      <c r="A509" s="185"/>
      <c r="B509" s="185"/>
      <c r="C509" s="185"/>
      <c r="D509" s="185"/>
      <c r="E509" s="185"/>
      <c r="F509" s="185"/>
      <c r="G509" s="185"/>
      <c r="H509" s="185"/>
      <c r="I509" s="185"/>
      <c r="J509" s="185"/>
      <c r="K509" s="185"/>
      <c r="L509" s="185"/>
      <c r="M509" s="185"/>
      <c r="N509" s="185"/>
      <c r="O509" s="185"/>
      <c r="P509" s="185"/>
      <c r="Q509" s="185"/>
      <c r="R509" s="185"/>
      <c r="S509" s="185"/>
      <c r="T509" s="185"/>
      <c r="U509" s="185"/>
      <c r="V509" s="185"/>
      <c r="W509" s="185"/>
      <c r="X509" s="185"/>
      <c r="Y509" s="185"/>
      <c r="Z509" s="185"/>
    </row>
    <row r="510" spans="1:26" ht="16" thickBot="1" x14ac:dyDescent="0.25">
      <c r="A510" s="185"/>
      <c r="B510" s="185"/>
      <c r="C510" s="185"/>
      <c r="D510" s="185"/>
      <c r="E510" s="185"/>
      <c r="F510" s="185"/>
      <c r="G510" s="185"/>
      <c r="H510" s="185"/>
      <c r="I510" s="185"/>
      <c r="J510" s="185"/>
      <c r="K510" s="185"/>
      <c r="L510" s="185"/>
      <c r="M510" s="185"/>
      <c r="N510" s="185"/>
      <c r="O510" s="185"/>
      <c r="P510" s="185"/>
      <c r="Q510" s="185"/>
      <c r="R510" s="185"/>
      <c r="S510" s="185"/>
      <c r="T510" s="185"/>
      <c r="U510" s="185"/>
      <c r="V510" s="185"/>
      <c r="W510" s="185"/>
      <c r="X510" s="185"/>
      <c r="Y510" s="185"/>
      <c r="Z510" s="185"/>
    </row>
    <row r="511" spans="1:26" ht="16" thickBot="1" x14ac:dyDescent="0.25">
      <c r="A511" s="185"/>
      <c r="B511" s="185"/>
      <c r="C511" s="185"/>
      <c r="D511" s="185"/>
      <c r="E511" s="185"/>
      <c r="F511" s="185"/>
      <c r="G511" s="185"/>
      <c r="H511" s="185"/>
      <c r="I511" s="185"/>
      <c r="J511" s="185"/>
      <c r="K511" s="185"/>
      <c r="L511" s="185"/>
      <c r="M511" s="185"/>
      <c r="N511" s="185"/>
      <c r="O511" s="185"/>
      <c r="P511" s="185"/>
      <c r="Q511" s="185"/>
      <c r="R511" s="185"/>
      <c r="S511" s="185"/>
      <c r="T511" s="185"/>
      <c r="U511" s="185"/>
      <c r="V511" s="185"/>
      <c r="W511" s="185"/>
      <c r="X511" s="185"/>
      <c r="Y511" s="185"/>
      <c r="Z511" s="185"/>
    </row>
    <row r="512" spans="1:26" ht="16" thickBot="1" x14ac:dyDescent="0.25">
      <c r="A512" s="185"/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5"/>
      <c r="O512" s="185"/>
      <c r="P512" s="185"/>
      <c r="Q512" s="185"/>
      <c r="R512" s="185"/>
      <c r="S512" s="185"/>
      <c r="T512" s="185"/>
      <c r="U512" s="185"/>
      <c r="V512" s="185"/>
      <c r="W512" s="185"/>
      <c r="X512" s="185"/>
      <c r="Y512" s="185"/>
      <c r="Z512" s="185"/>
    </row>
    <row r="513" spans="1:26" ht="16" thickBot="1" x14ac:dyDescent="0.25">
      <c r="A513" s="185"/>
      <c r="B513" s="185"/>
      <c r="C513" s="185"/>
      <c r="D513" s="185"/>
      <c r="E513" s="185"/>
      <c r="F513" s="185"/>
      <c r="G513" s="185"/>
      <c r="H513" s="185"/>
      <c r="I513" s="185"/>
      <c r="J513" s="185"/>
      <c r="K513" s="185"/>
      <c r="L513" s="185"/>
      <c r="M513" s="185"/>
      <c r="N513" s="185"/>
      <c r="O513" s="185"/>
      <c r="P513" s="185"/>
      <c r="Q513" s="185"/>
      <c r="R513" s="185"/>
      <c r="S513" s="185"/>
      <c r="T513" s="185"/>
      <c r="U513" s="185"/>
      <c r="V513" s="185"/>
      <c r="W513" s="185"/>
      <c r="X513" s="185"/>
      <c r="Y513" s="185"/>
      <c r="Z513" s="185"/>
    </row>
    <row r="514" spans="1:26" ht="16" thickBot="1" x14ac:dyDescent="0.25">
      <c r="A514" s="185"/>
      <c r="B514" s="185"/>
      <c r="C514" s="185"/>
      <c r="D514" s="185"/>
      <c r="E514" s="185"/>
      <c r="F514" s="185"/>
      <c r="G514" s="185"/>
      <c r="H514" s="185"/>
      <c r="I514" s="185"/>
      <c r="J514" s="185"/>
      <c r="K514" s="185"/>
      <c r="L514" s="185"/>
      <c r="M514" s="185"/>
      <c r="N514" s="185"/>
      <c r="O514" s="185"/>
      <c r="P514" s="185"/>
      <c r="Q514" s="185"/>
      <c r="R514" s="185"/>
      <c r="S514" s="185"/>
      <c r="T514" s="185"/>
      <c r="U514" s="185"/>
      <c r="V514" s="185"/>
      <c r="W514" s="185"/>
      <c r="X514" s="185"/>
      <c r="Y514" s="185"/>
      <c r="Z514" s="185"/>
    </row>
    <row r="515" spans="1:26" ht="16" thickBot="1" x14ac:dyDescent="0.25">
      <c r="A515" s="185"/>
      <c r="B515" s="185"/>
      <c r="C515" s="185"/>
      <c r="D515" s="185"/>
      <c r="E515" s="185"/>
      <c r="F515" s="185"/>
      <c r="G515" s="185"/>
      <c r="H515" s="185"/>
      <c r="I515" s="185"/>
      <c r="J515" s="185"/>
      <c r="K515" s="185"/>
      <c r="L515" s="185"/>
      <c r="M515" s="185"/>
      <c r="N515" s="185"/>
      <c r="O515" s="185"/>
      <c r="P515" s="185"/>
      <c r="Q515" s="185"/>
      <c r="R515" s="185"/>
      <c r="S515" s="185"/>
      <c r="T515" s="185"/>
      <c r="U515" s="185"/>
      <c r="V515" s="185"/>
      <c r="W515" s="185"/>
      <c r="X515" s="185"/>
      <c r="Y515" s="185"/>
      <c r="Z515" s="185"/>
    </row>
    <row r="516" spans="1:26" ht="16" thickBot="1" x14ac:dyDescent="0.25">
      <c r="A516" s="185"/>
      <c r="B516" s="185"/>
      <c r="C516" s="185"/>
      <c r="D516" s="185"/>
      <c r="E516" s="185"/>
      <c r="F516" s="185"/>
      <c r="G516" s="185"/>
      <c r="H516" s="185"/>
      <c r="I516" s="185"/>
      <c r="J516" s="185"/>
      <c r="K516" s="185"/>
      <c r="L516" s="185"/>
      <c r="M516" s="185"/>
      <c r="N516" s="185"/>
      <c r="O516" s="185"/>
      <c r="P516" s="185"/>
      <c r="Q516" s="185"/>
      <c r="R516" s="185"/>
      <c r="S516" s="185"/>
      <c r="T516" s="185"/>
      <c r="U516" s="185"/>
      <c r="V516" s="185"/>
      <c r="W516" s="185"/>
      <c r="X516" s="185"/>
      <c r="Y516" s="185"/>
      <c r="Z516" s="185"/>
    </row>
    <row r="517" spans="1:26" ht="16" thickBot="1" x14ac:dyDescent="0.25">
      <c r="A517" s="185"/>
      <c r="B517" s="185"/>
      <c r="C517" s="185"/>
      <c r="D517" s="185"/>
      <c r="E517" s="185"/>
      <c r="F517" s="185"/>
      <c r="G517" s="185"/>
      <c r="H517" s="185"/>
      <c r="I517" s="185"/>
      <c r="J517" s="185"/>
      <c r="K517" s="185"/>
      <c r="L517" s="185"/>
      <c r="M517" s="185"/>
      <c r="N517" s="185"/>
      <c r="O517" s="185"/>
      <c r="P517" s="185"/>
      <c r="Q517" s="185"/>
      <c r="R517" s="185"/>
      <c r="S517" s="185"/>
      <c r="T517" s="185"/>
      <c r="U517" s="185"/>
      <c r="V517" s="185"/>
      <c r="W517" s="185"/>
      <c r="X517" s="185"/>
      <c r="Y517" s="185"/>
      <c r="Z517" s="185"/>
    </row>
    <row r="518" spans="1:26" ht="16" thickBot="1" x14ac:dyDescent="0.25">
      <c r="A518" s="185"/>
      <c r="B518" s="185"/>
      <c r="C518" s="185"/>
      <c r="D518" s="185"/>
      <c r="E518" s="185"/>
      <c r="F518" s="185"/>
      <c r="G518" s="185"/>
      <c r="H518" s="185"/>
      <c r="I518" s="185"/>
      <c r="J518" s="185"/>
      <c r="K518" s="185"/>
      <c r="L518" s="185"/>
      <c r="M518" s="185"/>
      <c r="N518" s="185"/>
      <c r="O518" s="185"/>
      <c r="P518" s="185"/>
      <c r="Q518" s="185"/>
      <c r="R518" s="185"/>
      <c r="S518" s="185"/>
      <c r="T518" s="185"/>
      <c r="U518" s="185"/>
      <c r="V518" s="185"/>
      <c r="W518" s="185"/>
      <c r="X518" s="185"/>
      <c r="Y518" s="185"/>
      <c r="Z518" s="185"/>
    </row>
    <row r="519" spans="1:26" ht="16" thickBot="1" x14ac:dyDescent="0.25">
      <c r="A519" s="185"/>
      <c r="B519" s="185"/>
      <c r="C519" s="185"/>
      <c r="D519" s="185"/>
      <c r="E519" s="185"/>
      <c r="F519" s="185"/>
      <c r="G519" s="185"/>
      <c r="H519" s="185"/>
      <c r="I519" s="185"/>
      <c r="J519" s="185"/>
      <c r="K519" s="185"/>
      <c r="L519" s="185"/>
      <c r="M519" s="185"/>
      <c r="N519" s="185"/>
      <c r="O519" s="185"/>
      <c r="P519" s="185"/>
      <c r="Q519" s="185"/>
      <c r="R519" s="185"/>
      <c r="S519" s="185"/>
      <c r="T519" s="185"/>
      <c r="U519" s="185"/>
      <c r="V519" s="185"/>
      <c r="W519" s="185"/>
      <c r="X519" s="185"/>
      <c r="Y519" s="185"/>
      <c r="Z519" s="185"/>
    </row>
    <row r="520" spans="1:26" ht="16" thickBot="1" x14ac:dyDescent="0.25">
      <c r="A520" s="185"/>
      <c r="B520" s="185"/>
      <c r="C520" s="185"/>
      <c r="D520" s="185"/>
      <c r="E520" s="185"/>
      <c r="F520" s="185"/>
      <c r="G520" s="185"/>
      <c r="H520" s="185"/>
      <c r="I520" s="185"/>
      <c r="J520" s="185"/>
      <c r="K520" s="185"/>
      <c r="L520" s="185"/>
      <c r="M520" s="185"/>
      <c r="N520" s="185"/>
      <c r="O520" s="185"/>
      <c r="P520" s="185"/>
      <c r="Q520" s="185"/>
      <c r="R520" s="185"/>
      <c r="S520" s="185"/>
      <c r="T520" s="185"/>
      <c r="U520" s="185"/>
      <c r="V520" s="185"/>
      <c r="W520" s="185"/>
      <c r="X520" s="185"/>
      <c r="Y520" s="185"/>
      <c r="Z520" s="185"/>
    </row>
    <row r="521" spans="1:26" ht="16" thickBot="1" x14ac:dyDescent="0.25">
      <c r="A521" s="185"/>
      <c r="B521" s="185"/>
      <c r="C521" s="185"/>
      <c r="D521" s="185"/>
      <c r="E521" s="185"/>
      <c r="F521" s="185"/>
      <c r="G521" s="185"/>
      <c r="H521" s="185"/>
      <c r="I521" s="185"/>
      <c r="J521" s="185"/>
      <c r="K521" s="185"/>
      <c r="L521" s="185"/>
      <c r="M521" s="185"/>
      <c r="N521" s="185"/>
      <c r="O521" s="185"/>
      <c r="P521" s="185"/>
      <c r="Q521" s="185"/>
      <c r="R521" s="185"/>
      <c r="S521" s="185"/>
      <c r="T521" s="185"/>
      <c r="U521" s="185"/>
      <c r="V521" s="185"/>
      <c r="W521" s="185"/>
      <c r="X521" s="185"/>
      <c r="Y521" s="185"/>
      <c r="Z521" s="185"/>
    </row>
    <row r="522" spans="1:26" ht="16" thickBot="1" x14ac:dyDescent="0.25">
      <c r="A522" s="185"/>
      <c r="B522" s="185"/>
      <c r="C522" s="185"/>
      <c r="D522" s="185"/>
      <c r="E522" s="185"/>
      <c r="F522" s="185"/>
      <c r="G522" s="185"/>
      <c r="H522" s="185"/>
      <c r="I522" s="185"/>
      <c r="J522" s="185"/>
      <c r="K522" s="185"/>
      <c r="L522" s="185"/>
      <c r="M522" s="185"/>
      <c r="N522" s="185"/>
      <c r="O522" s="185"/>
      <c r="P522" s="185"/>
      <c r="Q522" s="185"/>
      <c r="R522" s="185"/>
      <c r="S522" s="185"/>
      <c r="T522" s="185"/>
      <c r="U522" s="185"/>
      <c r="V522" s="185"/>
      <c r="W522" s="185"/>
      <c r="X522" s="185"/>
      <c r="Y522" s="185"/>
      <c r="Z522" s="185"/>
    </row>
    <row r="523" spans="1:26" ht="16" thickBot="1" x14ac:dyDescent="0.25">
      <c r="A523" s="185"/>
      <c r="B523" s="185"/>
      <c r="C523" s="185"/>
      <c r="D523" s="185"/>
      <c r="E523" s="185"/>
      <c r="F523" s="185"/>
      <c r="G523" s="185"/>
      <c r="H523" s="185"/>
      <c r="I523" s="185"/>
      <c r="J523" s="185"/>
      <c r="K523" s="185"/>
      <c r="L523" s="185"/>
      <c r="M523" s="185"/>
      <c r="N523" s="185"/>
      <c r="O523" s="185"/>
      <c r="P523" s="185"/>
      <c r="Q523" s="185"/>
      <c r="R523" s="185"/>
      <c r="S523" s="185"/>
      <c r="T523" s="185"/>
      <c r="U523" s="185"/>
      <c r="V523" s="185"/>
      <c r="W523" s="185"/>
      <c r="X523" s="185"/>
      <c r="Y523" s="185"/>
      <c r="Z523" s="185"/>
    </row>
    <row r="524" spans="1:26" ht="16" thickBot="1" x14ac:dyDescent="0.25">
      <c r="A524" s="185"/>
      <c r="B524" s="185"/>
      <c r="C524" s="185"/>
      <c r="D524" s="185"/>
      <c r="E524" s="185"/>
      <c r="F524" s="185"/>
      <c r="G524" s="185"/>
      <c r="H524" s="185"/>
      <c r="I524" s="185"/>
      <c r="J524" s="185"/>
      <c r="K524" s="185"/>
      <c r="L524" s="185"/>
      <c r="M524" s="185"/>
      <c r="N524" s="185"/>
      <c r="O524" s="185"/>
      <c r="P524" s="185"/>
      <c r="Q524" s="185"/>
      <c r="R524" s="185"/>
      <c r="S524" s="185"/>
      <c r="T524" s="185"/>
      <c r="U524" s="185"/>
      <c r="V524" s="185"/>
      <c r="W524" s="185"/>
      <c r="X524" s="185"/>
      <c r="Y524" s="185"/>
      <c r="Z524" s="185"/>
    </row>
    <row r="525" spans="1:26" ht="16" thickBot="1" x14ac:dyDescent="0.25">
      <c r="A525" s="185"/>
      <c r="B525" s="185"/>
      <c r="C525" s="185"/>
      <c r="D525" s="185"/>
      <c r="E525" s="185"/>
      <c r="F525" s="185"/>
      <c r="G525" s="185"/>
      <c r="H525" s="185"/>
      <c r="I525" s="185"/>
      <c r="J525" s="185"/>
      <c r="K525" s="185"/>
      <c r="L525" s="185"/>
      <c r="M525" s="185"/>
      <c r="N525" s="185"/>
      <c r="O525" s="185"/>
      <c r="P525" s="185"/>
      <c r="Q525" s="185"/>
      <c r="R525" s="185"/>
      <c r="S525" s="185"/>
      <c r="T525" s="185"/>
      <c r="U525" s="185"/>
      <c r="V525" s="185"/>
      <c r="W525" s="185"/>
      <c r="X525" s="185"/>
      <c r="Y525" s="185"/>
      <c r="Z525" s="185"/>
    </row>
    <row r="526" spans="1:26" ht="16" thickBot="1" x14ac:dyDescent="0.25">
      <c r="A526" s="185"/>
      <c r="B526" s="185"/>
      <c r="C526" s="185"/>
      <c r="D526" s="185"/>
      <c r="E526" s="185"/>
      <c r="F526" s="185"/>
      <c r="G526" s="185"/>
      <c r="H526" s="185"/>
      <c r="I526" s="185"/>
      <c r="J526" s="185"/>
      <c r="K526" s="185"/>
      <c r="L526" s="185"/>
      <c r="M526" s="185"/>
      <c r="N526" s="185"/>
      <c r="O526" s="185"/>
      <c r="P526" s="185"/>
      <c r="Q526" s="185"/>
      <c r="R526" s="185"/>
      <c r="S526" s="185"/>
      <c r="T526" s="185"/>
      <c r="U526" s="185"/>
      <c r="V526" s="185"/>
      <c r="W526" s="185"/>
      <c r="X526" s="185"/>
      <c r="Y526" s="185"/>
      <c r="Z526" s="185"/>
    </row>
    <row r="527" spans="1:26" ht="16" thickBot="1" x14ac:dyDescent="0.25">
      <c r="A527" s="185"/>
      <c r="B527" s="185"/>
      <c r="C527" s="185"/>
      <c r="D527" s="185"/>
      <c r="E527" s="185"/>
      <c r="F527" s="185"/>
      <c r="G527" s="185"/>
      <c r="H527" s="185"/>
      <c r="I527" s="185"/>
      <c r="J527" s="185"/>
      <c r="K527" s="185"/>
      <c r="L527" s="185"/>
      <c r="M527" s="185"/>
      <c r="N527" s="185"/>
      <c r="O527" s="185"/>
      <c r="P527" s="185"/>
      <c r="Q527" s="185"/>
      <c r="R527" s="185"/>
      <c r="S527" s="185"/>
      <c r="T527" s="185"/>
      <c r="U527" s="185"/>
      <c r="V527" s="185"/>
      <c r="W527" s="185"/>
      <c r="X527" s="185"/>
      <c r="Y527" s="185"/>
      <c r="Z527" s="185"/>
    </row>
    <row r="528" spans="1:26" ht="16" thickBot="1" x14ac:dyDescent="0.25">
      <c r="A528" s="185"/>
      <c r="B528" s="185"/>
      <c r="C528" s="185"/>
      <c r="D528" s="185"/>
      <c r="E528" s="185"/>
      <c r="F528" s="185"/>
      <c r="G528" s="185"/>
      <c r="H528" s="185"/>
      <c r="I528" s="185"/>
      <c r="J528" s="185"/>
      <c r="K528" s="185"/>
      <c r="L528" s="185"/>
      <c r="M528" s="185"/>
      <c r="N528" s="185"/>
      <c r="O528" s="185"/>
      <c r="P528" s="185"/>
      <c r="Q528" s="185"/>
      <c r="R528" s="185"/>
      <c r="S528" s="185"/>
      <c r="T528" s="185"/>
      <c r="U528" s="185"/>
      <c r="V528" s="185"/>
      <c r="W528" s="185"/>
      <c r="X528" s="185"/>
      <c r="Y528" s="185"/>
      <c r="Z528" s="185"/>
    </row>
    <row r="529" spans="1:26" ht="16" thickBot="1" x14ac:dyDescent="0.25">
      <c r="A529" s="185"/>
      <c r="B529" s="185"/>
      <c r="C529" s="185"/>
      <c r="D529" s="185"/>
      <c r="E529" s="185"/>
      <c r="F529" s="185"/>
      <c r="G529" s="185"/>
      <c r="H529" s="185"/>
      <c r="I529" s="185"/>
      <c r="J529" s="185"/>
      <c r="K529" s="185"/>
      <c r="L529" s="185"/>
      <c r="M529" s="185"/>
      <c r="N529" s="185"/>
      <c r="O529" s="185"/>
      <c r="P529" s="185"/>
      <c r="Q529" s="185"/>
      <c r="R529" s="185"/>
      <c r="S529" s="185"/>
      <c r="T529" s="185"/>
      <c r="U529" s="185"/>
      <c r="V529" s="185"/>
      <c r="W529" s="185"/>
      <c r="X529" s="185"/>
      <c r="Y529" s="185"/>
      <c r="Z529" s="185"/>
    </row>
    <row r="530" spans="1:26" ht="16" thickBot="1" x14ac:dyDescent="0.25">
      <c r="A530" s="185"/>
      <c r="B530" s="185"/>
      <c r="C530" s="185"/>
      <c r="D530" s="185"/>
      <c r="E530" s="185"/>
      <c r="F530" s="185"/>
      <c r="G530" s="185"/>
      <c r="H530" s="185"/>
      <c r="I530" s="185"/>
      <c r="J530" s="185"/>
      <c r="K530" s="185"/>
      <c r="L530" s="185"/>
      <c r="M530" s="185"/>
      <c r="N530" s="185"/>
      <c r="O530" s="185"/>
      <c r="P530" s="185"/>
      <c r="Q530" s="185"/>
      <c r="R530" s="185"/>
      <c r="S530" s="185"/>
      <c r="T530" s="185"/>
      <c r="U530" s="185"/>
      <c r="V530" s="185"/>
      <c r="W530" s="185"/>
      <c r="X530" s="185"/>
      <c r="Y530" s="185"/>
      <c r="Z530" s="185"/>
    </row>
    <row r="531" spans="1:26" ht="16" thickBot="1" x14ac:dyDescent="0.25">
      <c r="A531" s="185"/>
      <c r="B531" s="185"/>
      <c r="C531" s="185"/>
      <c r="D531" s="185"/>
      <c r="E531" s="185"/>
      <c r="F531" s="185"/>
      <c r="G531" s="185"/>
      <c r="H531" s="185"/>
      <c r="I531" s="185"/>
      <c r="J531" s="185"/>
      <c r="K531" s="185"/>
      <c r="L531" s="185"/>
      <c r="M531" s="185"/>
      <c r="N531" s="185"/>
      <c r="O531" s="185"/>
      <c r="P531" s="185"/>
      <c r="Q531" s="185"/>
      <c r="R531" s="185"/>
      <c r="S531" s="185"/>
      <c r="T531" s="185"/>
      <c r="U531" s="185"/>
      <c r="V531" s="185"/>
      <c r="W531" s="185"/>
      <c r="X531" s="185"/>
      <c r="Y531" s="185"/>
      <c r="Z531" s="185"/>
    </row>
    <row r="532" spans="1:26" ht="16" thickBot="1" x14ac:dyDescent="0.25">
      <c r="A532" s="185"/>
      <c r="B532" s="185"/>
      <c r="C532" s="185"/>
      <c r="D532" s="185"/>
      <c r="E532" s="185"/>
      <c r="F532" s="185"/>
      <c r="G532" s="185"/>
      <c r="H532" s="185"/>
      <c r="I532" s="185"/>
      <c r="J532" s="185"/>
      <c r="K532" s="185"/>
      <c r="L532" s="185"/>
      <c r="M532" s="185"/>
      <c r="N532" s="185"/>
      <c r="O532" s="185"/>
      <c r="P532" s="185"/>
      <c r="Q532" s="185"/>
      <c r="R532" s="185"/>
      <c r="S532" s="185"/>
      <c r="T532" s="185"/>
      <c r="U532" s="185"/>
      <c r="V532" s="185"/>
      <c r="W532" s="185"/>
      <c r="X532" s="185"/>
      <c r="Y532" s="185"/>
      <c r="Z532" s="185"/>
    </row>
    <row r="533" spans="1:26" ht="16" thickBot="1" x14ac:dyDescent="0.25">
      <c r="A533" s="185"/>
      <c r="B533" s="185"/>
      <c r="C533" s="185"/>
      <c r="D533" s="185"/>
      <c r="E533" s="185"/>
      <c r="F533" s="185"/>
      <c r="G533" s="185"/>
      <c r="H533" s="185"/>
      <c r="I533" s="185"/>
      <c r="J533" s="185"/>
      <c r="K533" s="185"/>
      <c r="L533" s="185"/>
      <c r="M533" s="185"/>
      <c r="N533" s="185"/>
      <c r="O533" s="185"/>
      <c r="P533" s="185"/>
      <c r="Q533" s="185"/>
      <c r="R533" s="185"/>
      <c r="S533" s="185"/>
      <c r="T533" s="185"/>
      <c r="U533" s="185"/>
      <c r="V533" s="185"/>
      <c r="W533" s="185"/>
      <c r="X533" s="185"/>
      <c r="Y533" s="185"/>
      <c r="Z533" s="185"/>
    </row>
    <row r="534" spans="1:26" ht="16" thickBot="1" x14ac:dyDescent="0.25">
      <c r="A534" s="185"/>
      <c r="B534" s="185"/>
      <c r="C534" s="185"/>
      <c r="D534" s="185"/>
      <c r="E534" s="185"/>
      <c r="F534" s="185"/>
      <c r="G534" s="185"/>
      <c r="H534" s="185"/>
      <c r="I534" s="185"/>
      <c r="J534" s="185"/>
      <c r="K534" s="185"/>
      <c r="L534" s="185"/>
      <c r="M534" s="185"/>
      <c r="N534" s="185"/>
      <c r="O534" s="185"/>
      <c r="P534" s="185"/>
      <c r="Q534" s="185"/>
      <c r="R534" s="185"/>
      <c r="S534" s="185"/>
      <c r="T534" s="185"/>
      <c r="U534" s="185"/>
      <c r="V534" s="185"/>
      <c r="W534" s="185"/>
      <c r="X534" s="185"/>
      <c r="Y534" s="185"/>
      <c r="Z534" s="185"/>
    </row>
    <row r="535" spans="1:26" ht="16" thickBot="1" x14ac:dyDescent="0.25">
      <c r="A535" s="185"/>
      <c r="B535" s="185"/>
      <c r="C535" s="185"/>
      <c r="D535" s="185"/>
      <c r="E535" s="185"/>
      <c r="F535" s="185"/>
      <c r="G535" s="185"/>
      <c r="H535" s="185"/>
      <c r="I535" s="185"/>
      <c r="J535" s="185"/>
      <c r="K535" s="185"/>
      <c r="L535" s="185"/>
      <c r="M535" s="185"/>
      <c r="N535" s="185"/>
      <c r="O535" s="185"/>
      <c r="P535" s="185"/>
      <c r="Q535" s="185"/>
      <c r="R535" s="185"/>
      <c r="S535" s="185"/>
      <c r="T535" s="185"/>
      <c r="U535" s="185"/>
      <c r="V535" s="185"/>
      <c r="W535" s="185"/>
      <c r="X535" s="185"/>
      <c r="Y535" s="185"/>
      <c r="Z535" s="185"/>
    </row>
    <row r="536" spans="1:26" ht="16" thickBot="1" x14ac:dyDescent="0.25">
      <c r="A536" s="185"/>
      <c r="B536" s="185"/>
      <c r="C536" s="185"/>
      <c r="D536" s="185"/>
      <c r="E536" s="185"/>
      <c r="F536" s="185"/>
      <c r="G536" s="185"/>
      <c r="H536" s="185"/>
      <c r="I536" s="185"/>
      <c r="J536" s="185"/>
      <c r="K536" s="185"/>
      <c r="L536" s="185"/>
      <c r="M536" s="185"/>
      <c r="N536" s="185"/>
      <c r="O536" s="185"/>
      <c r="P536" s="185"/>
      <c r="Q536" s="185"/>
      <c r="R536" s="185"/>
      <c r="S536" s="185"/>
      <c r="T536" s="185"/>
      <c r="U536" s="185"/>
      <c r="V536" s="185"/>
      <c r="W536" s="185"/>
      <c r="X536" s="185"/>
      <c r="Y536" s="185"/>
      <c r="Z536" s="185"/>
    </row>
    <row r="537" spans="1:26" ht="16" thickBot="1" x14ac:dyDescent="0.25">
      <c r="A537" s="185"/>
      <c r="B537" s="185"/>
      <c r="C537" s="185"/>
      <c r="D537" s="185"/>
      <c r="E537" s="185"/>
      <c r="F537" s="185"/>
      <c r="G537" s="185"/>
      <c r="H537" s="185"/>
      <c r="I537" s="185"/>
      <c r="J537" s="185"/>
      <c r="K537" s="185"/>
      <c r="L537" s="185"/>
      <c r="M537" s="185"/>
      <c r="N537" s="185"/>
      <c r="O537" s="185"/>
      <c r="P537" s="185"/>
      <c r="Q537" s="185"/>
      <c r="R537" s="185"/>
      <c r="S537" s="185"/>
      <c r="T537" s="185"/>
      <c r="U537" s="185"/>
      <c r="V537" s="185"/>
      <c r="W537" s="185"/>
      <c r="X537" s="185"/>
      <c r="Y537" s="185"/>
      <c r="Z537" s="185"/>
    </row>
    <row r="538" spans="1:26" ht="16" thickBot="1" x14ac:dyDescent="0.25">
      <c r="A538" s="185"/>
      <c r="B538" s="185"/>
      <c r="C538" s="185"/>
      <c r="D538" s="185"/>
      <c r="E538" s="185"/>
      <c r="F538" s="185"/>
      <c r="G538" s="185"/>
      <c r="H538" s="185"/>
      <c r="I538" s="185"/>
      <c r="J538" s="185"/>
      <c r="K538" s="185"/>
      <c r="L538" s="185"/>
      <c r="M538" s="185"/>
      <c r="N538" s="185"/>
      <c r="O538" s="185"/>
      <c r="P538" s="185"/>
      <c r="Q538" s="185"/>
      <c r="R538" s="185"/>
      <c r="S538" s="185"/>
      <c r="T538" s="185"/>
      <c r="U538" s="185"/>
      <c r="V538" s="185"/>
      <c r="W538" s="185"/>
      <c r="X538" s="185"/>
      <c r="Y538" s="185"/>
      <c r="Z538" s="185"/>
    </row>
    <row r="539" spans="1:26" ht="16" thickBot="1" x14ac:dyDescent="0.25">
      <c r="A539" s="185"/>
      <c r="B539" s="185"/>
      <c r="C539" s="185"/>
      <c r="D539" s="185"/>
      <c r="E539" s="185"/>
      <c r="F539" s="185"/>
      <c r="G539" s="185"/>
      <c r="H539" s="185"/>
      <c r="I539" s="185"/>
      <c r="J539" s="185"/>
      <c r="K539" s="185"/>
      <c r="L539" s="185"/>
      <c r="M539" s="185"/>
      <c r="N539" s="185"/>
      <c r="O539" s="185"/>
      <c r="P539" s="185"/>
      <c r="Q539" s="185"/>
      <c r="R539" s="185"/>
      <c r="S539" s="185"/>
      <c r="T539" s="185"/>
      <c r="U539" s="185"/>
      <c r="V539" s="185"/>
      <c r="W539" s="185"/>
      <c r="X539" s="185"/>
      <c r="Y539" s="185"/>
      <c r="Z539" s="185"/>
    </row>
    <row r="540" spans="1:26" ht="16" thickBot="1" x14ac:dyDescent="0.25">
      <c r="A540" s="185"/>
      <c r="B540" s="185"/>
      <c r="C540" s="185"/>
      <c r="D540" s="185"/>
      <c r="E540" s="185"/>
      <c r="F540" s="185"/>
      <c r="G540" s="185"/>
      <c r="H540" s="185"/>
      <c r="I540" s="185"/>
      <c r="J540" s="185"/>
      <c r="K540" s="185"/>
      <c r="L540" s="185"/>
      <c r="M540" s="185"/>
      <c r="N540" s="185"/>
      <c r="O540" s="185"/>
      <c r="P540" s="185"/>
      <c r="Q540" s="185"/>
      <c r="R540" s="185"/>
      <c r="S540" s="185"/>
      <c r="T540" s="185"/>
      <c r="U540" s="185"/>
      <c r="V540" s="185"/>
      <c r="W540" s="185"/>
      <c r="X540" s="185"/>
      <c r="Y540" s="185"/>
      <c r="Z540" s="185"/>
    </row>
    <row r="541" spans="1:26" ht="16" thickBot="1" x14ac:dyDescent="0.25">
      <c r="A541" s="185"/>
      <c r="B541" s="185"/>
      <c r="C541" s="185"/>
      <c r="D541" s="185"/>
      <c r="E541" s="185"/>
      <c r="F541" s="185"/>
      <c r="G541" s="185"/>
      <c r="H541" s="185"/>
      <c r="I541" s="185"/>
      <c r="J541" s="185"/>
      <c r="K541" s="185"/>
      <c r="L541" s="185"/>
      <c r="M541" s="185"/>
      <c r="N541" s="185"/>
      <c r="O541" s="185"/>
      <c r="P541" s="185"/>
      <c r="Q541" s="185"/>
      <c r="R541" s="185"/>
      <c r="S541" s="185"/>
      <c r="T541" s="185"/>
      <c r="U541" s="185"/>
      <c r="V541" s="185"/>
      <c r="W541" s="185"/>
      <c r="X541" s="185"/>
      <c r="Y541" s="185"/>
      <c r="Z541" s="185"/>
    </row>
    <row r="542" spans="1:26" ht="16" thickBot="1" x14ac:dyDescent="0.25">
      <c r="A542" s="185"/>
      <c r="B542" s="185"/>
      <c r="C542" s="185"/>
      <c r="D542" s="185"/>
      <c r="E542" s="185"/>
      <c r="F542" s="185"/>
      <c r="G542" s="185"/>
      <c r="H542" s="185"/>
      <c r="I542" s="185"/>
      <c r="J542" s="185"/>
      <c r="K542" s="185"/>
      <c r="L542" s="185"/>
      <c r="M542" s="185"/>
      <c r="N542" s="185"/>
      <c r="O542" s="185"/>
      <c r="P542" s="185"/>
      <c r="Q542" s="185"/>
      <c r="R542" s="185"/>
      <c r="S542" s="185"/>
      <c r="T542" s="185"/>
      <c r="U542" s="185"/>
      <c r="V542" s="185"/>
      <c r="W542" s="185"/>
      <c r="X542" s="185"/>
      <c r="Y542" s="185"/>
      <c r="Z542" s="185"/>
    </row>
    <row r="543" spans="1:26" ht="16" thickBot="1" x14ac:dyDescent="0.25">
      <c r="A543" s="185"/>
      <c r="B543" s="185"/>
      <c r="C543" s="185"/>
      <c r="D543" s="185"/>
      <c r="E543" s="185"/>
      <c r="F543" s="185"/>
      <c r="G543" s="185"/>
      <c r="H543" s="185"/>
      <c r="I543" s="185"/>
      <c r="J543" s="185"/>
      <c r="K543" s="185"/>
      <c r="L543" s="185"/>
      <c r="M543" s="185"/>
      <c r="N543" s="185"/>
      <c r="O543" s="185"/>
      <c r="P543" s="185"/>
      <c r="Q543" s="185"/>
      <c r="R543" s="185"/>
      <c r="S543" s="185"/>
      <c r="T543" s="185"/>
      <c r="U543" s="185"/>
      <c r="V543" s="185"/>
      <c r="W543" s="185"/>
      <c r="X543" s="185"/>
      <c r="Y543" s="185"/>
      <c r="Z543" s="185"/>
    </row>
    <row r="544" spans="1:26" ht="16" thickBot="1" x14ac:dyDescent="0.25">
      <c r="A544" s="185"/>
      <c r="B544" s="185"/>
      <c r="C544" s="185"/>
      <c r="D544" s="185"/>
      <c r="E544" s="185"/>
      <c r="F544" s="185"/>
      <c r="G544" s="185"/>
      <c r="H544" s="185"/>
      <c r="I544" s="185"/>
      <c r="J544" s="185"/>
      <c r="K544" s="185"/>
      <c r="L544" s="185"/>
      <c r="M544" s="185"/>
      <c r="N544" s="185"/>
      <c r="O544" s="185"/>
      <c r="P544" s="185"/>
      <c r="Q544" s="185"/>
      <c r="R544" s="185"/>
      <c r="S544" s="185"/>
      <c r="T544" s="185"/>
      <c r="U544" s="185"/>
      <c r="V544" s="185"/>
      <c r="W544" s="185"/>
      <c r="X544" s="185"/>
      <c r="Y544" s="185"/>
      <c r="Z544" s="185"/>
    </row>
    <row r="545" spans="1:26" ht="16" thickBot="1" x14ac:dyDescent="0.25">
      <c r="A545" s="185"/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5"/>
      <c r="O545" s="185"/>
      <c r="P545" s="185"/>
      <c r="Q545" s="185"/>
      <c r="R545" s="185"/>
      <c r="S545" s="185"/>
      <c r="T545" s="185"/>
      <c r="U545" s="185"/>
      <c r="V545" s="185"/>
      <c r="W545" s="185"/>
      <c r="X545" s="185"/>
      <c r="Y545" s="185"/>
      <c r="Z545" s="185"/>
    </row>
    <row r="546" spans="1:26" ht="16" thickBot="1" x14ac:dyDescent="0.25">
      <c r="A546" s="185"/>
      <c r="B546" s="185"/>
      <c r="C546" s="185"/>
      <c r="D546" s="185"/>
      <c r="E546" s="185"/>
      <c r="F546" s="185"/>
      <c r="G546" s="185"/>
      <c r="H546" s="185"/>
      <c r="I546" s="185"/>
      <c r="J546" s="185"/>
      <c r="K546" s="185"/>
      <c r="L546" s="185"/>
      <c r="M546" s="185"/>
      <c r="N546" s="185"/>
      <c r="O546" s="185"/>
      <c r="P546" s="185"/>
      <c r="Q546" s="185"/>
      <c r="R546" s="185"/>
      <c r="S546" s="185"/>
      <c r="T546" s="185"/>
      <c r="U546" s="185"/>
      <c r="V546" s="185"/>
      <c r="W546" s="185"/>
      <c r="X546" s="185"/>
      <c r="Y546" s="185"/>
      <c r="Z546" s="185"/>
    </row>
    <row r="547" spans="1:26" ht="16" thickBot="1" x14ac:dyDescent="0.25">
      <c r="A547" s="185"/>
      <c r="B547" s="185"/>
      <c r="C547" s="185"/>
      <c r="D547" s="185"/>
      <c r="E547" s="185"/>
      <c r="F547" s="185"/>
      <c r="G547" s="185"/>
      <c r="H547" s="185"/>
      <c r="I547" s="185"/>
      <c r="J547" s="185"/>
      <c r="K547" s="185"/>
      <c r="L547" s="185"/>
      <c r="M547" s="185"/>
      <c r="N547" s="185"/>
      <c r="O547" s="185"/>
      <c r="P547" s="185"/>
      <c r="Q547" s="185"/>
      <c r="R547" s="185"/>
      <c r="S547" s="185"/>
      <c r="T547" s="185"/>
      <c r="U547" s="185"/>
      <c r="V547" s="185"/>
      <c r="W547" s="185"/>
      <c r="X547" s="185"/>
      <c r="Y547" s="185"/>
      <c r="Z547" s="185"/>
    </row>
    <row r="548" spans="1:26" ht="16" thickBot="1" x14ac:dyDescent="0.25">
      <c r="A548" s="185"/>
      <c r="B548" s="185"/>
      <c r="C548" s="185"/>
      <c r="D548" s="185"/>
      <c r="E548" s="185"/>
      <c r="F548" s="185"/>
      <c r="G548" s="185"/>
      <c r="H548" s="185"/>
      <c r="I548" s="185"/>
      <c r="J548" s="185"/>
      <c r="K548" s="185"/>
      <c r="L548" s="185"/>
      <c r="M548" s="185"/>
      <c r="N548" s="185"/>
      <c r="O548" s="185"/>
      <c r="P548" s="185"/>
      <c r="Q548" s="185"/>
      <c r="R548" s="185"/>
      <c r="S548" s="185"/>
      <c r="T548" s="185"/>
      <c r="U548" s="185"/>
      <c r="V548" s="185"/>
      <c r="W548" s="185"/>
      <c r="X548" s="185"/>
      <c r="Y548" s="185"/>
      <c r="Z548" s="185"/>
    </row>
    <row r="549" spans="1:26" ht="16" thickBot="1" x14ac:dyDescent="0.25">
      <c r="A549" s="185"/>
      <c r="B549" s="185"/>
      <c r="C549" s="185"/>
      <c r="D549" s="185"/>
      <c r="E549" s="185"/>
      <c r="F549" s="185"/>
      <c r="G549" s="185"/>
      <c r="H549" s="185"/>
      <c r="I549" s="185"/>
      <c r="J549" s="185"/>
      <c r="K549" s="185"/>
      <c r="L549" s="185"/>
      <c r="M549" s="185"/>
      <c r="N549" s="185"/>
      <c r="O549" s="185"/>
      <c r="P549" s="185"/>
      <c r="Q549" s="185"/>
      <c r="R549" s="185"/>
      <c r="S549" s="185"/>
      <c r="T549" s="185"/>
      <c r="U549" s="185"/>
      <c r="V549" s="185"/>
      <c r="W549" s="185"/>
      <c r="X549" s="185"/>
      <c r="Y549" s="185"/>
      <c r="Z549" s="185"/>
    </row>
    <row r="550" spans="1:26" ht="16" thickBot="1" x14ac:dyDescent="0.25">
      <c r="A550" s="185"/>
      <c r="B550" s="185"/>
      <c r="C550" s="185"/>
      <c r="D550" s="185"/>
      <c r="E550" s="185"/>
      <c r="F550" s="185"/>
      <c r="G550" s="185"/>
      <c r="H550" s="185"/>
      <c r="I550" s="185"/>
      <c r="J550" s="185"/>
      <c r="K550" s="185"/>
      <c r="L550" s="185"/>
      <c r="M550" s="185"/>
      <c r="N550" s="185"/>
      <c r="O550" s="185"/>
      <c r="P550" s="185"/>
      <c r="Q550" s="185"/>
      <c r="R550" s="185"/>
      <c r="S550" s="185"/>
      <c r="T550" s="185"/>
      <c r="U550" s="185"/>
      <c r="V550" s="185"/>
      <c r="W550" s="185"/>
      <c r="X550" s="185"/>
      <c r="Y550" s="185"/>
      <c r="Z550" s="185"/>
    </row>
    <row r="551" spans="1:26" ht="16" thickBot="1" x14ac:dyDescent="0.25">
      <c r="A551" s="185"/>
      <c r="B551" s="185"/>
      <c r="C551" s="185"/>
      <c r="D551" s="185"/>
      <c r="E551" s="185"/>
      <c r="F551" s="185"/>
      <c r="G551" s="185"/>
      <c r="H551" s="185"/>
      <c r="I551" s="185"/>
      <c r="J551" s="185"/>
      <c r="K551" s="185"/>
      <c r="L551" s="185"/>
      <c r="M551" s="185"/>
      <c r="N551" s="185"/>
      <c r="O551" s="185"/>
      <c r="P551" s="185"/>
      <c r="Q551" s="185"/>
      <c r="R551" s="185"/>
      <c r="S551" s="185"/>
      <c r="T551" s="185"/>
      <c r="U551" s="185"/>
      <c r="V551" s="185"/>
      <c r="W551" s="185"/>
      <c r="X551" s="185"/>
      <c r="Y551" s="185"/>
      <c r="Z551" s="185"/>
    </row>
    <row r="552" spans="1:26" ht="16" thickBot="1" x14ac:dyDescent="0.25">
      <c r="A552" s="185"/>
      <c r="B552" s="185"/>
      <c r="C552" s="185"/>
      <c r="D552" s="185"/>
      <c r="E552" s="185"/>
      <c r="F552" s="185"/>
      <c r="G552" s="185"/>
      <c r="H552" s="185"/>
      <c r="I552" s="185"/>
      <c r="J552" s="185"/>
      <c r="K552" s="185"/>
      <c r="L552" s="185"/>
      <c r="M552" s="185"/>
      <c r="N552" s="185"/>
      <c r="O552" s="185"/>
      <c r="P552" s="185"/>
      <c r="Q552" s="185"/>
      <c r="R552" s="185"/>
      <c r="S552" s="185"/>
      <c r="T552" s="185"/>
      <c r="U552" s="185"/>
      <c r="V552" s="185"/>
      <c r="W552" s="185"/>
      <c r="X552" s="185"/>
      <c r="Y552" s="185"/>
      <c r="Z552" s="185"/>
    </row>
    <row r="553" spans="1:26" ht="16" thickBot="1" x14ac:dyDescent="0.25">
      <c r="A553" s="185"/>
      <c r="B553" s="185"/>
      <c r="C553" s="185"/>
      <c r="D553" s="185"/>
      <c r="E553" s="185"/>
      <c r="F553" s="185"/>
      <c r="G553" s="185"/>
      <c r="H553" s="185"/>
      <c r="I553" s="185"/>
      <c r="J553" s="185"/>
      <c r="K553" s="185"/>
      <c r="L553" s="185"/>
      <c r="M553" s="185"/>
      <c r="N553" s="185"/>
      <c r="O553" s="185"/>
      <c r="P553" s="185"/>
      <c r="Q553" s="185"/>
      <c r="R553" s="185"/>
      <c r="S553" s="185"/>
      <c r="T553" s="185"/>
      <c r="U553" s="185"/>
      <c r="V553" s="185"/>
      <c r="W553" s="185"/>
      <c r="X553" s="185"/>
      <c r="Y553" s="185"/>
      <c r="Z553" s="185"/>
    </row>
    <row r="554" spans="1:26" ht="16" thickBot="1" x14ac:dyDescent="0.25">
      <c r="A554" s="185"/>
      <c r="B554" s="185"/>
      <c r="C554" s="185"/>
      <c r="D554" s="185"/>
      <c r="E554" s="185"/>
      <c r="F554" s="185"/>
      <c r="G554" s="185"/>
      <c r="H554" s="185"/>
      <c r="I554" s="185"/>
      <c r="J554" s="185"/>
      <c r="K554" s="185"/>
      <c r="L554" s="185"/>
      <c r="M554" s="185"/>
      <c r="N554" s="185"/>
      <c r="O554" s="185"/>
      <c r="P554" s="185"/>
      <c r="Q554" s="185"/>
      <c r="R554" s="185"/>
      <c r="S554" s="185"/>
      <c r="T554" s="185"/>
      <c r="U554" s="185"/>
      <c r="V554" s="185"/>
      <c r="W554" s="185"/>
      <c r="X554" s="185"/>
      <c r="Y554" s="185"/>
      <c r="Z554" s="185"/>
    </row>
    <row r="555" spans="1:26" ht="16" thickBot="1" x14ac:dyDescent="0.25">
      <c r="A555" s="185"/>
      <c r="B555" s="185"/>
      <c r="C555" s="185"/>
      <c r="D555" s="185"/>
      <c r="E555" s="185"/>
      <c r="F555" s="185"/>
      <c r="G555" s="185"/>
      <c r="H555" s="185"/>
      <c r="I555" s="185"/>
      <c r="J555" s="185"/>
      <c r="K555" s="185"/>
      <c r="L555" s="185"/>
      <c r="M555" s="185"/>
      <c r="N555" s="185"/>
      <c r="O555" s="185"/>
      <c r="P555" s="185"/>
      <c r="Q555" s="185"/>
      <c r="R555" s="185"/>
      <c r="S555" s="185"/>
      <c r="T555" s="185"/>
      <c r="U555" s="185"/>
      <c r="V555" s="185"/>
      <c r="W555" s="185"/>
      <c r="X555" s="185"/>
      <c r="Y555" s="185"/>
      <c r="Z555" s="185"/>
    </row>
    <row r="556" spans="1:26" ht="16" thickBot="1" x14ac:dyDescent="0.25">
      <c r="A556" s="185"/>
      <c r="B556" s="185"/>
      <c r="C556" s="185"/>
      <c r="D556" s="185"/>
      <c r="E556" s="185"/>
      <c r="F556" s="185"/>
      <c r="G556" s="185"/>
      <c r="H556" s="185"/>
      <c r="I556" s="185"/>
      <c r="J556" s="185"/>
      <c r="K556" s="185"/>
      <c r="L556" s="185"/>
      <c r="M556" s="185"/>
      <c r="N556" s="185"/>
      <c r="O556" s="185"/>
      <c r="P556" s="185"/>
      <c r="Q556" s="185"/>
      <c r="R556" s="185"/>
      <c r="S556" s="185"/>
      <c r="T556" s="185"/>
      <c r="U556" s="185"/>
      <c r="V556" s="185"/>
      <c r="W556" s="185"/>
      <c r="X556" s="185"/>
      <c r="Y556" s="185"/>
      <c r="Z556" s="185"/>
    </row>
    <row r="557" spans="1:26" ht="16" thickBot="1" x14ac:dyDescent="0.25">
      <c r="A557" s="185"/>
      <c r="B557" s="185"/>
      <c r="C557" s="185"/>
      <c r="D557" s="185"/>
      <c r="E557" s="185"/>
      <c r="F557" s="185"/>
      <c r="G557" s="185"/>
      <c r="H557" s="185"/>
      <c r="I557" s="185"/>
      <c r="J557" s="185"/>
      <c r="K557" s="185"/>
      <c r="L557" s="185"/>
      <c r="M557" s="185"/>
      <c r="N557" s="185"/>
      <c r="O557" s="185"/>
      <c r="P557" s="185"/>
      <c r="Q557" s="185"/>
      <c r="R557" s="185"/>
      <c r="S557" s="185"/>
      <c r="T557" s="185"/>
      <c r="U557" s="185"/>
      <c r="V557" s="185"/>
      <c r="W557" s="185"/>
      <c r="X557" s="185"/>
      <c r="Y557" s="185"/>
      <c r="Z557" s="185"/>
    </row>
    <row r="558" spans="1:26" ht="16" thickBot="1" x14ac:dyDescent="0.25">
      <c r="A558" s="185"/>
      <c r="B558" s="185"/>
      <c r="C558" s="185"/>
      <c r="D558" s="185"/>
      <c r="E558" s="185"/>
      <c r="F558" s="185"/>
      <c r="G558" s="185"/>
      <c r="H558" s="185"/>
      <c r="I558" s="185"/>
      <c r="J558" s="185"/>
      <c r="K558" s="185"/>
      <c r="L558" s="185"/>
      <c r="M558" s="185"/>
      <c r="N558" s="185"/>
      <c r="O558" s="185"/>
      <c r="P558" s="185"/>
      <c r="Q558" s="185"/>
      <c r="R558" s="185"/>
      <c r="S558" s="185"/>
      <c r="T558" s="185"/>
      <c r="U558" s="185"/>
      <c r="V558" s="185"/>
      <c r="W558" s="185"/>
      <c r="X558" s="185"/>
      <c r="Y558" s="185"/>
      <c r="Z558" s="185"/>
    </row>
    <row r="559" spans="1:26" ht="16" thickBot="1" x14ac:dyDescent="0.25">
      <c r="A559" s="185"/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5"/>
      <c r="O559" s="185"/>
      <c r="P559" s="185"/>
      <c r="Q559" s="185"/>
      <c r="R559" s="185"/>
      <c r="S559" s="185"/>
      <c r="T559" s="185"/>
      <c r="U559" s="185"/>
      <c r="V559" s="185"/>
      <c r="W559" s="185"/>
      <c r="X559" s="185"/>
      <c r="Y559" s="185"/>
      <c r="Z559" s="185"/>
    </row>
    <row r="560" spans="1:26" ht="16" thickBot="1" x14ac:dyDescent="0.25">
      <c r="A560" s="185"/>
      <c r="B560" s="185"/>
      <c r="C560" s="185"/>
      <c r="D560" s="185"/>
      <c r="E560" s="185"/>
      <c r="F560" s="185"/>
      <c r="G560" s="185"/>
      <c r="H560" s="185"/>
      <c r="I560" s="185"/>
      <c r="J560" s="185"/>
      <c r="K560" s="185"/>
      <c r="L560" s="185"/>
      <c r="M560" s="185"/>
      <c r="N560" s="185"/>
      <c r="O560" s="185"/>
      <c r="P560" s="185"/>
      <c r="Q560" s="185"/>
      <c r="R560" s="185"/>
      <c r="S560" s="185"/>
      <c r="T560" s="185"/>
      <c r="U560" s="185"/>
      <c r="V560" s="185"/>
      <c r="W560" s="185"/>
      <c r="X560" s="185"/>
      <c r="Y560" s="185"/>
      <c r="Z560" s="185"/>
    </row>
    <row r="561" spans="1:26" ht="16" thickBot="1" x14ac:dyDescent="0.25">
      <c r="A561" s="185"/>
      <c r="B561" s="185"/>
      <c r="C561" s="185"/>
      <c r="D561" s="185"/>
      <c r="E561" s="185"/>
      <c r="F561" s="185"/>
      <c r="G561" s="185"/>
      <c r="H561" s="185"/>
      <c r="I561" s="185"/>
      <c r="J561" s="185"/>
      <c r="K561" s="185"/>
      <c r="L561" s="185"/>
      <c r="M561" s="185"/>
      <c r="N561" s="185"/>
      <c r="O561" s="185"/>
      <c r="P561" s="185"/>
      <c r="Q561" s="185"/>
      <c r="R561" s="185"/>
      <c r="S561" s="185"/>
      <c r="T561" s="185"/>
      <c r="U561" s="185"/>
      <c r="V561" s="185"/>
      <c r="W561" s="185"/>
      <c r="X561" s="185"/>
      <c r="Y561" s="185"/>
      <c r="Z561" s="185"/>
    </row>
    <row r="562" spans="1:26" ht="16" thickBot="1" x14ac:dyDescent="0.25">
      <c r="A562" s="185"/>
      <c r="B562" s="185"/>
      <c r="C562" s="185"/>
      <c r="D562" s="185"/>
      <c r="E562" s="185"/>
      <c r="F562" s="185"/>
      <c r="G562" s="185"/>
      <c r="H562" s="185"/>
      <c r="I562" s="185"/>
      <c r="J562" s="185"/>
      <c r="K562" s="185"/>
      <c r="L562" s="185"/>
      <c r="M562" s="185"/>
      <c r="N562" s="185"/>
      <c r="O562" s="185"/>
      <c r="P562" s="185"/>
      <c r="Q562" s="185"/>
      <c r="R562" s="185"/>
      <c r="S562" s="185"/>
      <c r="T562" s="185"/>
      <c r="U562" s="185"/>
      <c r="V562" s="185"/>
      <c r="W562" s="185"/>
      <c r="X562" s="185"/>
      <c r="Y562" s="185"/>
      <c r="Z562" s="185"/>
    </row>
    <row r="563" spans="1:26" ht="16" thickBot="1" x14ac:dyDescent="0.25">
      <c r="A563" s="185"/>
      <c r="B563" s="185"/>
      <c r="C563" s="185"/>
      <c r="D563" s="185"/>
      <c r="E563" s="185"/>
      <c r="F563" s="185"/>
      <c r="G563" s="185"/>
      <c r="H563" s="185"/>
      <c r="I563" s="185"/>
      <c r="J563" s="185"/>
      <c r="K563" s="185"/>
      <c r="L563" s="185"/>
      <c r="M563" s="185"/>
      <c r="N563" s="185"/>
      <c r="O563" s="185"/>
      <c r="P563" s="185"/>
      <c r="Q563" s="185"/>
      <c r="R563" s="185"/>
      <c r="S563" s="185"/>
      <c r="T563" s="185"/>
      <c r="U563" s="185"/>
      <c r="V563" s="185"/>
      <c r="W563" s="185"/>
      <c r="X563" s="185"/>
      <c r="Y563" s="185"/>
      <c r="Z563" s="185"/>
    </row>
    <row r="564" spans="1:26" ht="16" thickBot="1" x14ac:dyDescent="0.25">
      <c r="A564" s="185"/>
      <c r="B564" s="185"/>
      <c r="C564" s="185"/>
      <c r="D564" s="185"/>
      <c r="E564" s="185"/>
      <c r="F564" s="185"/>
      <c r="G564" s="185"/>
      <c r="H564" s="185"/>
      <c r="I564" s="185"/>
      <c r="J564" s="185"/>
      <c r="K564" s="185"/>
      <c r="L564" s="185"/>
      <c r="M564" s="185"/>
      <c r="N564" s="185"/>
      <c r="O564" s="185"/>
      <c r="P564" s="185"/>
      <c r="Q564" s="185"/>
      <c r="R564" s="185"/>
      <c r="S564" s="185"/>
      <c r="T564" s="185"/>
      <c r="U564" s="185"/>
      <c r="V564" s="185"/>
      <c r="W564" s="185"/>
      <c r="X564" s="185"/>
      <c r="Y564" s="185"/>
      <c r="Z564" s="185"/>
    </row>
    <row r="565" spans="1:26" ht="16" thickBot="1" x14ac:dyDescent="0.25">
      <c r="A565" s="185"/>
      <c r="B565" s="185"/>
      <c r="C565" s="185"/>
      <c r="D565" s="185"/>
      <c r="E565" s="185"/>
      <c r="F565" s="185"/>
      <c r="G565" s="185"/>
      <c r="H565" s="185"/>
      <c r="I565" s="185"/>
      <c r="J565" s="185"/>
      <c r="K565" s="185"/>
      <c r="L565" s="185"/>
      <c r="M565" s="185"/>
      <c r="N565" s="185"/>
      <c r="O565" s="185"/>
      <c r="P565" s="185"/>
      <c r="Q565" s="185"/>
      <c r="R565" s="185"/>
      <c r="S565" s="185"/>
      <c r="T565" s="185"/>
      <c r="U565" s="185"/>
      <c r="V565" s="185"/>
      <c r="W565" s="185"/>
      <c r="X565" s="185"/>
      <c r="Y565" s="185"/>
      <c r="Z565" s="185"/>
    </row>
    <row r="566" spans="1:26" ht="16" thickBot="1" x14ac:dyDescent="0.25">
      <c r="A566" s="185"/>
      <c r="B566" s="185"/>
      <c r="C566" s="185"/>
      <c r="D566" s="185"/>
      <c r="E566" s="185"/>
      <c r="F566" s="185"/>
      <c r="G566" s="185"/>
      <c r="H566" s="185"/>
      <c r="I566" s="185"/>
      <c r="J566" s="185"/>
      <c r="K566" s="185"/>
      <c r="L566" s="185"/>
      <c r="M566" s="185"/>
      <c r="N566" s="185"/>
      <c r="O566" s="185"/>
      <c r="P566" s="185"/>
      <c r="Q566" s="185"/>
      <c r="R566" s="185"/>
      <c r="S566" s="185"/>
      <c r="T566" s="185"/>
      <c r="U566" s="185"/>
      <c r="V566" s="185"/>
      <c r="W566" s="185"/>
      <c r="X566" s="185"/>
      <c r="Y566" s="185"/>
      <c r="Z566" s="185"/>
    </row>
    <row r="567" spans="1:26" ht="16" thickBot="1" x14ac:dyDescent="0.25">
      <c r="A567" s="185"/>
      <c r="B567" s="185"/>
      <c r="C567" s="185"/>
      <c r="D567" s="185"/>
      <c r="E567" s="185"/>
      <c r="F567" s="185"/>
      <c r="G567" s="185"/>
      <c r="H567" s="185"/>
      <c r="I567" s="185"/>
      <c r="J567" s="185"/>
      <c r="K567" s="185"/>
      <c r="L567" s="185"/>
      <c r="M567" s="185"/>
      <c r="N567" s="185"/>
      <c r="O567" s="185"/>
      <c r="P567" s="185"/>
      <c r="Q567" s="185"/>
      <c r="R567" s="185"/>
      <c r="S567" s="185"/>
      <c r="T567" s="185"/>
      <c r="U567" s="185"/>
      <c r="V567" s="185"/>
      <c r="W567" s="185"/>
      <c r="X567" s="185"/>
      <c r="Y567" s="185"/>
      <c r="Z567" s="185"/>
    </row>
    <row r="568" spans="1:26" ht="16" thickBot="1" x14ac:dyDescent="0.25">
      <c r="A568" s="185"/>
      <c r="B568" s="185"/>
      <c r="C568" s="185"/>
      <c r="D568" s="185"/>
      <c r="E568" s="185"/>
      <c r="F568" s="185"/>
      <c r="G568" s="185"/>
      <c r="H568" s="185"/>
      <c r="I568" s="185"/>
      <c r="J568" s="185"/>
      <c r="K568" s="185"/>
      <c r="L568" s="185"/>
      <c r="M568" s="185"/>
      <c r="N568" s="185"/>
      <c r="O568" s="185"/>
      <c r="P568" s="185"/>
      <c r="Q568" s="185"/>
      <c r="R568" s="185"/>
      <c r="S568" s="185"/>
      <c r="T568" s="185"/>
      <c r="U568" s="185"/>
      <c r="V568" s="185"/>
      <c r="W568" s="185"/>
      <c r="X568" s="185"/>
      <c r="Y568" s="185"/>
      <c r="Z568" s="185"/>
    </row>
    <row r="569" spans="1:26" ht="16" thickBot="1" x14ac:dyDescent="0.25">
      <c r="A569" s="185"/>
      <c r="B569" s="185"/>
      <c r="C569" s="185"/>
      <c r="D569" s="185"/>
      <c r="E569" s="185"/>
      <c r="F569" s="185"/>
      <c r="G569" s="185"/>
      <c r="H569" s="185"/>
      <c r="I569" s="185"/>
      <c r="J569" s="185"/>
      <c r="K569" s="185"/>
      <c r="L569" s="185"/>
      <c r="M569" s="185"/>
      <c r="N569" s="185"/>
      <c r="O569" s="185"/>
      <c r="P569" s="185"/>
      <c r="Q569" s="185"/>
      <c r="R569" s="185"/>
      <c r="S569" s="185"/>
      <c r="T569" s="185"/>
      <c r="U569" s="185"/>
      <c r="V569" s="185"/>
      <c r="W569" s="185"/>
      <c r="X569" s="185"/>
      <c r="Y569" s="185"/>
      <c r="Z569" s="185"/>
    </row>
    <row r="570" spans="1:26" ht="16" thickBot="1" x14ac:dyDescent="0.25">
      <c r="A570" s="185"/>
      <c r="B570" s="185"/>
      <c r="C570" s="185"/>
      <c r="D570" s="185"/>
      <c r="E570" s="185"/>
      <c r="F570" s="185"/>
      <c r="G570" s="185"/>
      <c r="H570" s="185"/>
      <c r="I570" s="185"/>
      <c r="J570" s="185"/>
      <c r="K570" s="185"/>
      <c r="L570" s="185"/>
      <c r="M570" s="185"/>
      <c r="N570" s="185"/>
      <c r="O570" s="185"/>
      <c r="P570" s="185"/>
      <c r="Q570" s="185"/>
      <c r="R570" s="185"/>
      <c r="S570" s="185"/>
      <c r="T570" s="185"/>
      <c r="U570" s="185"/>
      <c r="V570" s="185"/>
      <c r="W570" s="185"/>
      <c r="X570" s="185"/>
      <c r="Y570" s="185"/>
      <c r="Z570" s="185"/>
    </row>
    <row r="571" spans="1:26" ht="16" thickBot="1" x14ac:dyDescent="0.25">
      <c r="A571" s="185"/>
      <c r="B571" s="185"/>
      <c r="C571" s="185"/>
      <c r="D571" s="185"/>
      <c r="E571" s="185"/>
      <c r="F571" s="185"/>
      <c r="G571" s="185"/>
      <c r="H571" s="185"/>
      <c r="I571" s="185"/>
      <c r="J571" s="185"/>
      <c r="K571" s="185"/>
      <c r="L571" s="185"/>
      <c r="M571" s="185"/>
      <c r="N571" s="185"/>
      <c r="O571" s="185"/>
      <c r="P571" s="185"/>
      <c r="Q571" s="185"/>
      <c r="R571" s="185"/>
      <c r="S571" s="185"/>
      <c r="T571" s="185"/>
      <c r="U571" s="185"/>
      <c r="V571" s="185"/>
      <c r="W571" s="185"/>
      <c r="X571" s="185"/>
      <c r="Y571" s="185"/>
      <c r="Z571" s="185"/>
    </row>
    <row r="572" spans="1:26" ht="16" thickBot="1" x14ac:dyDescent="0.25">
      <c r="A572" s="185"/>
      <c r="B572" s="185"/>
      <c r="C572" s="185"/>
      <c r="D572" s="185"/>
      <c r="E572" s="185"/>
      <c r="F572" s="185"/>
      <c r="G572" s="185"/>
      <c r="H572" s="185"/>
      <c r="I572" s="185"/>
      <c r="J572" s="185"/>
      <c r="K572" s="185"/>
      <c r="L572" s="185"/>
      <c r="M572" s="185"/>
      <c r="N572" s="185"/>
      <c r="O572" s="185"/>
      <c r="P572" s="185"/>
      <c r="Q572" s="185"/>
      <c r="R572" s="185"/>
      <c r="S572" s="185"/>
      <c r="T572" s="185"/>
      <c r="U572" s="185"/>
      <c r="V572" s="185"/>
      <c r="W572" s="185"/>
      <c r="X572" s="185"/>
      <c r="Y572" s="185"/>
      <c r="Z572" s="185"/>
    </row>
    <row r="573" spans="1:26" ht="16" thickBot="1" x14ac:dyDescent="0.25">
      <c r="A573" s="185"/>
      <c r="B573" s="185"/>
      <c r="C573" s="185"/>
      <c r="D573" s="185"/>
      <c r="E573" s="185"/>
      <c r="F573" s="185"/>
      <c r="G573" s="185"/>
      <c r="H573" s="185"/>
      <c r="I573" s="185"/>
      <c r="J573" s="185"/>
      <c r="K573" s="185"/>
      <c r="L573" s="185"/>
      <c r="M573" s="185"/>
      <c r="N573" s="185"/>
      <c r="O573" s="185"/>
      <c r="P573" s="185"/>
      <c r="Q573" s="185"/>
      <c r="R573" s="185"/>
      <c r="S573" s="185"/>
      <c r="T573" s="185"/>
      <c r="U573" s="185"/>
      <c r="V573" s="185"/>
      <c r="W573" s="185"/>
      <c r="X573" s="185"/>
      <c r="Y573" s="185"/>
      <c r="Z573" s="185"/>
    </row>
    <row r="574" spans="1:26" ht="16" thickBot="1" x14ac:dyDescent="0.25">
      <c r="A574" s="185"/>
      <c r="B574" s="185"/>
      <c r="C574" s="185"/>
      <c r="D574" s="185"/>
      <c r="E574" s="185"/>
      <c r="F574" s="185"/>
      <c r="G574" s="185"/>
      <c r="H574" s="185"/>
      <c r="I574" s="185"/>
      <c r="J574" s="185"/>
      <c r="K574" s="185"/>
      <c r="L574" s="185"/>
      <c r="M574" s="185"/>
      <c r="N574" s="185"/>
      <c r="O574" s="185"/>
      <c r="P574" s="185"/>
      <c r="Q574" s="185"/>
      <c r="R574" s="185"/>
      <c r="S574" s="185"/>
      <c r="T574" s="185"/>
      <c r="U574" s="185"/>
      <c r="V574" s="185"/>
      <c r="W574" s="185"/>
      <c r="X574" s="185"/>
      <c r="Y574" s="185"/>
      <c r="Z574" s="185"/>
    </row>
    <row r="575" spans="1:26" ht="16" thickBot="1" x14ac:dyDescent="0.25">
      <c r="A575" s="185"/>
      <c r="B575" s="185"/>
      <c r="C575" s="185"/>
      <c r="D575" s="185"/>
      <c r="E575" s="185"/>
      <c r="F575" s="185"/>
      <c r="G575" s="185"/>
      <c r="H575" s="185"/>
      <c r="I575" s="185"/>
      <c r="J575" s="185"/>
      <c r="K575" s="185"/>
      <c r="L575" s="185"/>
      <c r="M575" s="185"/>
      <c r="N575" s="185"/>
      <c r="O575" s="185"/>
      <c r="P575" s="185"/>
      <c r="Q575" s="185"/>
      <c r="R575" s="185"/>
      <c r="S575" s="185"/>
      <c r="T575" s="185"/>
      <c r="U575" s="185"/>
      <c r="V575" s="185"/>
      <c r="W575" s="185"/>
      <c r="X575" s="185"/>
      <c r="Y575" s="185"/>
      <c r="Z575" s="185"/>
    </row>
    <row r="576" spans="1:26" ht="16" thickBot="1" x14ac:dyDescent="0.25">
      <c r="A576" s="185"/>
      <c r="B576" s="185"/>
      <c r="C576" s="185"/>
      <c r="D576" s="185"/>
      <c r="E576" s="185"/>
      <c r="F576" s="185"/>
      <c r="G576" s="185"/>
      <c r="H576" s="185"/>
      <c r="I576" s="185"/>
      <c r="J576" s="185"/>
      <c r="K576" s="185"/>
      <c r="L576" s="185"/>
      <c r="M576" s="185"/>
      <c r="N576" s="185"/>
      <c r="O576" s="185"/>
      <c r="P576" s="185"/>
      <c r="Q576" s="185"/>
      <c r="R576" s="185"/>
      <c r="S576" s="185"/>
      <c r="T576" s="185"/>
      <c r="U576" s="185"/>
      <c r="V576" s="185"/>
      <c r="W576" s="185"/>
      <c r="X576" s="185"/>
      <c r="Y576" s="185"/>
      <c r="Z576" s="185"/>
    </row>
    <row r="577" spans="1:26" ht="16" thickBot="1" x14ac:dyDescent="0.25">
      <c r="A577" s="185"/>
      <c r="B577" s="185"/>
      <c r="C577" s="185"/>
      <c r="D577" s="185"/>
      <c r="E577" s="185"/>
      <c r="F577" s="185"/>
      <c r="G577" s="185"/>
      <c r="H577" s="185"/>
      <c r="I577" s="185"/>
      <c r="J577" s="185"/>
      <c r="K577" s="185"/>
      <c r="L577" s="185"/>
      <c r="M577" s="185"/>
      <c r="N577" s="185"/>
      <c r="O577" s="185"/>
      <c r="P577" s="185"/>
      <c r="Q577" s="185"/>
      <c r="R577" s="185"/>
      <c r="S577" s="185"/>
      <c r="T577" s="185"/>
      <c r="U577" s="185"/>
      <c r="V577" s="185"/>
      <c r="W577" s="185"/>
      <c r="X577" s="185"/>
      <c r="Y577" s="185"/>
      <c r="Z577" s="185"/>
    </row>
    <row r="578" spans="1:26" ht="16" thickBot="1" x14ac:dyDescent="0.25">
      <c r="A578" s="185"/>
      <c r="B578" s="185"/>
      <c r="C578" s="185"/>
      <c r="D578" s="185"/>
      <c r="E578" s="185"/>
      <c r="F578" s="185"/>
      <c r="G578" s="185"/>
      <c r="H578" s="185"/>
      <c r="I578" s="185"/>
      <c r="J578" s="185"/>
      <c r="K578" s="185"/>
      <c r="L578" s="185"/>
      <c r="M578" s="185"/>
      <c r="N578" s="185"/>
      <c r="O578" s="185"/>
      <c r="P578" s="185"/>
      <c r="Q578" s="185"/>
      <c r="R578" s="185"/>
      <c r="S578" s="185"/>
      <c r="T578" s="185"/>
      <c r="U578" s="185"/>
      <c r="V578" s="185"/>
      <c r="W578" s="185"/>
      <c r="X578" s="185"/>
      <c r="Y578" s="185"/>
      <c r="Z578" s="185"/>
    </row>
    <row r="579" spans="1:26" ht="16" thickBot="1" x14ac:dyDescent="0.25">
      <c r="A579" s="185"/>
      <c r="B579" s="185"/>
      <c r="C579" s="185"/>
      <c r="D579" s="185"/>
      <c r="E579" s="185"/>
      <c r="F579" s="185"/>
      <c r="G579" s="185"/>
      <c r="H579" s="185"/>
      <c r="I579" s="185"/>
      <c r="J579" s="185"/>
      <c r="K579" s="185"/>
      <c r="L579" s="185"/>
      <c r="M579" s="185"/>
      <c r="N579" s="185"/>
      <c r="O579" s="185"/>
      <c r="P579" s="185"/>
      <c r="Q579" s="185"/>
      <c r="R579" s="185"/>
      <c r="S579" s="185"/>
      <c r="T579" s="185"/>
      <c r="U579" s="185"/>
      <c r="V579" s="185"/>
      <c r="W579" s="185"/>
      <c r="X579" s="185"/>
      <c r="Y579" s="185"/>
      <c r="Z579" s="185"/>
    </row>
    <row r="580" spans="1:26" ht="16" thickBot="1" x14ac:dyDescent="0.25">
      <c r="A580" s="185"/>
      <c r="B580" s="185"/>
      <c r="C580" s="185"/>
      <c r="D580" s="185"/>
      <c r="E580" s="185"/>
      <c r="F580" s="185"/>
      <c r="G580" s="185"/>
      <c r="H580" s="185"/>
      <c r="I580" s="185"/>
      <c r="J580" s="185"/>
      <c r="K580" s="185"/>
      <c r="L580" s="185"/>
      <c r="M580" s="185"/>
      <c r="N580" s="185"/>
      <c r="O580" s="185"/>
      <c r="P580" s="185"/>
      <c r="Q580" s="185"/>
      <c r="R580" s="185"/>
      <c r="S580" s="185"/>
      <c r="T580" s="185"/>
      <c r="U580" s="185"/>
      <c r="V580" s="185"/>
      <c r="W580" s="185"/>
      <c r="X580" s="185"/>
      <c r="Y580" s="185"/>
      <c r="Z580" s="185"/>
    </row>
    <row r="581" spans="1:26" ht="16" thickBot="1" x14ac:dyDescent="0.25">
      <c r="A581" s="185"/>
      <c r="B581" s="185"/>
      <c r="C581" s="185"/>
      <c r="D581" s="185"/>
      <c r="E581" s="185"/>
      <c r="F581" s="185"/>
      <c r="G581" s="185"/>
      <c r="H581" s="185"/>
      <c r="I581" s="185"/>
      <c r="J581" s="185"/>
      <c r="K581" s="185"/>
      <c r="L581" s="185"/>
      <c r="M581" s="185"/>
      <c r="N581" s="185"/>
      <c r="O581" s="185"/>
      <c r="P581" s="185"/>
      <c r="Q581" s="185"/>
      <c r="R581" s="185"/>
      <c r="S581" s="185"/>
      <c r="T581" s="185"/>
      <c r="U581" s="185"/>
      <c r="V581" s="185"/>
      <c r="W581" s="185"/>
      <c r="X581" s="185"/>
      <c r="Y581" s="185"/>
      <c r="Z581" s="185"/>
    </row>
    <row r="582" spans="1:26" ht="16" thickBot="1" x14ac:dyDescent="0.25">
      <c r="A582" s="185"/>
      <c r="B582" s="185"/>
      <c r="C582" s="185"/>
      <c r="D582" s="185"/>
      <c r="E582" s="185"/>
      <c r="F582" s="185"/>
      <c r="G582" s="185"/>
      <c r="H582" s="185"/>
      <c r="I582" s="185"/>
      <c r="J582" s="185"/>
      <c r="K582" s="185"/>
      <c r="L582" s="185"/>
      <c r="M582" s="185"/>
      <c r="N582" s="185"/>
      <c r="O582" s="185"/>
      <c r="P582" s="185"/>
      <c r="Q582" s="185"/>
      <c r="R582" s="185"/>
      <c r="S582" s="185"/>
      <c r="T582" s="185"/>
      <c r="U582" s="185"/>
      <c r="V582" s="185"/>
      <c r="W582" s="185"/>
      <c r="X582" s="185"/>
      <c r="Y582" s="185"/>
      <c r="Z582" s="185"/>
    </row>
    <row r="583" spans="1:26" ht="16" thickBot="1" x14ac:dyDescent="0.25">
      <c r="A583" s="185"/>
      <c r="B583" s="185"/>
      <c r="C583" s="185"/>
      <c r="D583" s="185"/>
      <c r="E583" s="185"/>
      <c r="F583" s="185"/>
      <c r="G583" s="185"/>
      <c r="H583" s="185"/>
      <c r="I583" s="185"/>
      <c r="J583" s="185"/>
      <c r="K583" s="185"/>
      <c r="L583" s="185"/>
      <c r="M583" s="185"/>
      <c r="N583" s="185"/>
      <c r="O583" s="185"/>
      <c r="P583" s="185"/>
      <c r="Q583" s="185"/>
      <c r="R583" s="185"/>
      <c r="S583" s="185"/>
      <c r="T583" s="185"/>
      <c r="U583" s="185"/>
      <c r="V583" s="185"/>
      <c r="W583" s="185"/>
      <c r="X583" s="185"/>
      <c r="Y583" s="185"/>
      <c r="Z583" s="185"/>
    </row>
    <row r="584" spans="1:26" ht="16" thickBot="1" x14ac:dyDescent="0.25">
      <c r="A584" s="185"/>
      <c r="B584" s="185"/>
      <c r="C584" s="185"/>
      <c r="D584" s="185"/>
      <c r="E584" s="185"/>
      <c r="F584" s="185"/>
      <c r="G584" s="185"/>
      <c r="H584" s="185"/>
      <c r="I584" s="185"/>
      <c r="J584" s="185"/>
      <c r="K584" s="185"/>
      <c r="L584" s="185"/>
      <c r="M584" s="185"/>
      <c r="N584" s="185"/>
      <c r="O584" s="185"/>
      <c r="P584" s="185"/>
      <c r="Q584" s="185"/>
      <c r="R584" s="185"/>
      <c r="S584" s="185"/>
      <c r="T584" s="185"/>
      <c r="U584" s="185"/>
      <c r="V584" s="185"/>
      <c r="W584" s="185"/>
      <c r="X584" s="185"/>
      <c r="Y584" s="185"/>
      <c r="Z584" s="185"/>
    </row>
    <row r="585" spans="1:26" ht="16" thickBot="1" x14ac:dyDescent="0.25">
      <c r="A585" s="185"/>
      <c r="B585" s="185"/>
      <c r="C585" s="185"/>
      <c r="D585" s="185"/>
      <c r="E585" s="185"/>
      <c r="F585" s="185"/>
      <c r="G585" s="185"/>
      <c r="H585" s="185"/>
      <c r="I585" s="185"/>
      <c r="J585" s="185"/>
      <c r="K585" s="185"/>
      <c r="L585" s="185"/>
      <c r="M585" s="185"/>
      <c r="N585" s="185"/>
      <c r="O585" s="185"/>
      <c r="P585" s="185"/>
      <c r="Q585" s="185"/>
      <c r="R585" s="185"/>
      <c r="S585" s="185"/>
      <c r="T585" s="185"/>
      <c r="U585" s="185"/>
      <c r="V585" s="185"/>
      <c r="W585" s="185"/>
      <c r="X585" s="185"/>
      <c r="Y585" s="185"/>
      <c r="Z585" s="185"/>
    </row>
    <row r="586" spans="1:26" ht="16" thickBot="1" x14ac:dyDescent="0.25">
      <c r="A586" s="185"/>
      <c r="B586" s="185"/>
      <c r="C586" s="185"/>
      <c r="D586" s="185"/>
      <c r="E586" s="185"/>
      <c r="F586" s="185"/>
      <c r="G586" s="185"/>
      <c r="H586" s="185"/>
      <c r="I586" s="185"/>
      <c r="J586" s="185"/>
      <c r="K586" s="185"/>
      <c r="L586" s="185"/>
      <c r="M586" s="185"/>
      <c r="N586" s="185"/>
      <c r="O586" s="185"/>
      <c r="P586" s="185"/>
      <c r="Q586" s="185"/>
      <c r="R586" s="185"/>
      <c r="S586" s="185"/>
      <c r="T586" s="185"/>
      <c r="U586" s="185"/>
      <c r="V586" s="185"/>
      <c r="W586" s="185"/>
      <c r="X586" s="185"/>
      <c r="Y586" s="185"/>
      <c r="Z586" s="185"/>
    </row>
    <row r="587" spans="1:26" ht="16" thickBot="1" x14ac:dyDescent="0.25">
      <c r="A587" s="185"/>
      <c r="B587" s="185"/>
      <c r="C587" s="185"/>
      <c r="D587" s="185"/>
      <c r="E587" s="185"/>
      <c r="F587" s="185"/>
      <c r="G587" s="185"/>
      <c r="H587" s="185"/>
      <c r="I587" s="185"/>
      <c r="J587" s="185"/>
      <c r="K587" s="185"/>
      <c r="L587" s="185"/>
      <c r="M587" s="185"/>
      <c r="N587" s="185"/>
      <c r="O587" s="185"/>
      <c r="P587" s="185"/>
      <c r="Q587" s="185"/>
      <c r="R587" s="185"/>
      <c r="S587" s="185"/>
      <c r="T587" s="185"/>
      <c r="U587" s="185"/>
      <c r="V587" s="185"/>
      <c r="W587" s="185"/>
      <c r="X587" s="185"/>
      <c r="Y587" s="185"/>
      <c r="Z587" s="185"/>
    </row>
    <row r="588" spans="1:26" ht="16" thickBot="1" x14ac:dyDescent="0.25">
      <c r="A588" s="185"/>
      <c r="B588" s="185"/>
      <c r="C588" s="185"/>
      <c r="D588" s="185"/>
      <c r="E588" s="185"/>
      <c r="F588" s="185"/>
      <c r="G588" s="185"/>
      <c r="H588" s="185"/>
      <c r="I588" s="185"/>
      <c r="J588" s="185"/>
      <c r="K588" s="185"/>
      <c r="L588" s="185"/>
      <c r="M588" s="185"/>
      <c r="N588" s="185"/>
      <c r="O588" s="185"/>
      <c r="P588" s="185"/>
      <c r="Q588" s="185"/>
      <c r="R588" s="185"/>
      <c r="S588" s="185"/>
      <c r="T588" s="185"/>
      <c r="U588" s="185"/>
      <c r="V588" s="185"/>
      <c r="W588" s="185"/>
      <c r="X588" s="185"/>
      <c r="Y588" s="185"/>
      <c r="Z588" s="185"/>
    </row>
    <row r="589" spans="1:26" ht="16" thickBot="1" x14ac:dyDescent="0.25">
      <c r="A589" s="185"/>
      <c r="B589" s="185"/>
      <c r="C589" s="185"/>
      <c r="D589" s="185"/>
      <c r="E589" s="185"/>
      <c r="F589" s="185"/>
      <c r="G589" s="185"/>
      <c r="H589" s="185"/>
      <c r="I589" s="185"/>
      <c r="J589" s="185"/>
      <c r="K589" s="185"/>
      <c r="L589" s="185"/>
      <c r="M589" s="185"/>
      <c r="N589" s="185"/>
      <c r="O589" s="185"/>
      <c r="P589" s="185"/>
      <c r="Q589" s="185"/>
      <c r="R589" s="185"/>
      <c r="S589" s="185"/>
      <c r="T589" s="185"/>
      <c r="U589" s="185"/>
      <c r="V589" s="185"/>
      <c r="W589" s="185"/>
      <c r="X589" s="185"/>
      <c r="Y589" s="185"/>
      <c r="Z589" s="185"/>
    </row>
    <row r="590" spans="1:26" ht="16" thickBot="1" x14ac:dyDescent="0.25">
      <c r="A590" s="185"/>
      <c r="B590" s="185"/>
      <c r="C590" s="185"/>
      <c r="D590" s="185"/>
      <c r="E590" s="185"/>
      <c r="F590" s="185"/>
      <c r="G590" s="185"/>
      <c r="H590" s="185"/>
      <c r="I590" s="185"/>
      <c r="J590" s="185"/>
      <c r="K590" s="185"/>
      <c r="L590" s="185"/>
      <c r="M590" s="185"/>
      <c r="N590" s="185"/>
      <c r="O590" s="185"/>
      <c r="P590" s="185"/>
      <c r="Q590" s="185"/>
      <c r="R590" s="185"/>
      <c r="S590" s="185"/>
      <c r="T590" s="185"/>
      <c r="U590" s="185"/>
      <c r="V590" s="185"/>
      <c r="W590" s="185"/>
      <c r="X590" s="185"/>
      <c r="Y590" s="185"/>
      <c r="Z590" s="185"/>
    </row>
    <row r="591" spans="1:26" ht="16" thickBot="1" x14ac:dyDescent="0.25">
      <c r="A591" s="185"/>
      <c r="B591" s="185"/>
      <c r="C591" s="185"/>
      <c r="D591" s="185"/>
      <c r="E591" s="185"/>
      <c r="F591" s="185"/>
      <c r="G591" s="185"/>
      <c r="H591" s="185"/>
      <c r="I591" s="185"/>
      <c r="J591" s="185"/>
      <c r="K591" s="185"/>
      <c r="L591" s="185"/>
      <c r="M591" s="185"/>
      <c r="N591" s="185"/>
      <c r="O591" s="185"/>
      <c r="P591" s="185"/>
      <c r="Q591" s="185"/>
      <c r="R591" s="185"/>
      <c r="S591" s="185"/>
      <c r="T591" s="185"/>
      <c r="U591" s="185"/>
      <c r="V591" s="185"/>
      <c r="W591" s="185"/>
      <c r="X591" s="185"/>
      <c r="Y591" s="185"/>
      <c r="Z591" s="185"/>
    </row>
    <row r="592" spans="1:26" ht="16" thickBot="1" x14ac:dyDescent="0.25">
      <c r="A592" s="185"/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5"/>
      <c r="O592" s="185"/>
      <c r="P592" s="185"/>
      <c r="Q592" s="185"/>
      <c r="R592" s="185"/>
      <c r="S592" s="185"/>
      <c r="T592" s="185"/>
      <c r="U592" s="185"/>
      <c r="V592" s="185"/>
      <c r="W592" s="185"/>
      <c r="X592" s="185"/>
      <c r="Y592" s="185"/>
      <c r="Z592" s="185"/>
    </row>
    <row r="593" spans="1:26" ht="16" thickBot="1" x14ac:dyDescent="0.25">
      <c r="A593" s="185"/>
      <c r="B593" s="185"/>
      <c r="C593" s="185"/>
      <c r="D593" s="185"/>
      <c r="E593" s="185"/>
      <c r="F593" s="185"/>
      <c r="G593" s="185"/>
      <c r="H593" s="185"/>
      <c r="I593" s="185"/>
      <c r="J593" s="185"/>
      <c r="K593" s="185"/>
      <c r="L593" s="185"/>
      <c r="M593" s="185"/>
      <c r="N593" s="185"/>
      <c r="O593" s="185"/>
      <c r="P593" s="185"/>
      <c r="Q593" s="185"/>
      <c r="R593" s="185"/>
      <c r="S593" s="185"/>
      <c r="T593" s="185"/>
      <c r="U593" s="185"/>
      <c r="V593" s="185"/>
      <c r="W593" s="185"/>
      <c r="X593" s="185"/>
      <c r="Y593" s="185"/>
      <c r="Z593" s="185"/>
    </row>
    <row r="594" spans="1:26" ht="16" thickBot="1" x14ac:dyDescent="0.25">
      <c r="A594" s="185"/>
      <c r="B594" s="185"/>
      <c r="C594" s="185"/>
      <c r="D594" s="185"/>
      <c r="E594" s="185"/>
      <c r="F594" s="185"/>
      <c r="G594" s="185"/>
      <c r="H594" s="185"/>
      <c r="I594" s="185"/>
      <c r="J594" s="185"/>
      <c r="K594" s="185"/>
      <c r="L594" s="185"/>
      <c r="M594" s="185"/>
      <c r="N594" s="185"/>
      <c r="O594" s="185"/>
      <c r="P594" s="185"/>
      <c r="Q594" s="185"/>
      <c r="R594" s="185"/>
      <c r="S594" s="185"/>
      <c r="T594" s="185"/>
      <c r="U594" s="185"/>
      <c r="V594" s="185"/>
      <c r="W594" s="185"/>
      <c r="X594" s="185"/>
      <c r="Y594" s="185"/>
      <c r="Z594" s="185"/>
    </row>
    <row r="595" spans="1:26" ht="16" thickBot="1" x14ac:dyDescent="0.25">
      <c r="A595" s="185"/>
      <c r="B595" s="185"/>
      <c r="C595" s="185"/>
      <c r="D595" s="185"/>
      <c r="E595" s="185"/>
      <c r="F595" s="185"/>
      <c r="G595" s="185"/>
      <c r="H595" s="185"/>
      <c r="I595" s="185"/>
      <c r="J595" s="185"/>
      <c r="K595" s="185"/>
      <c r="L595" s="185"/>
      <c r="M595" s="185"/>
      <c r="N595" s="185"/>
      <c r="O595" s="185"/>
      <c r="P595" s="185"/>
      <c r="Q595" s="185"/>
      <c r="R595" s="185"/>
      <c r="S595" s="185"/>
      <c r="T595" s="185"/>
      <c r="U595" s="185"/>
      <c r="V595" s="185"/>
      <c r="W595" s="185"/>
      <c r="X595" s="185"/>
      <c r="Y595" s="185"/>
      <c r="Z595" s="185"/>
    </row>
    <row r="596" spans="1:26" ht="16" thickBot="1" x14ac:dyDescent="0.25">
      <c r="A596" s="185"/>
      <c r="B596" s="185"/>
      <c r="C596" s="185"/>
      <c r="D596" s="185"/>
      <c r="E596" s="185"/>
      <c r="F596" s="185"/>
      <c r="G596" s="185"/>
      <c r="H596" s="185"/>
      <c r="I596" s="185"/>
      <c r="J596" s="185"/>
      <c r="K596" s="185"/>
      <c r="L596" s="185"/>
      <c r="M596" s="185"/>
      <c r="N596" s="185"/>
      <c r="O596" s="185"/>
      <c r="P596" s="185"/>
      <c r="Q596" s="185"/>
      <c r="R596" s="185"/>
      <c r="S596" s="185"/>
      <c r="T596" s="185"/>
      <c r="U596" s="185"/>
      <c r="V596" s="185"/>
      <c r="W596" s="185"/>
      <c r="X596" s="185"/>
      <c r="Y596" s="185"/>
      <c r="Z596" s="185"/>
    </row>
    <row r="597" spans="1:26" ht="16" thickBot="1" x14ac:dyDescent="0.25">
      <c r="A597" s="185"/>
      <c r="B597" s="185"/>
      <c r="C597" s="185"/>
      <c r="D597" s="185"/>
      <c r="E597" s="185"/>
      <c r="F597" s="185"/>
      <c r="G597" s="185"/>
      <c r="H597" s="185"/>
      <c r="I597" s="185"/>
      <c r="J597" s="185"/>
      <c r="K597" s="185"/>
      <c r="L597" s="185"/>
      <c r="M597" s="185"/>
      <c r="N597" s="185"/>
      <c r="O597" s="185"/>
      <c r="P597" s="185"/>
      <c r="Q597" s="185"/>
      <c r="R597" s="185"/>
      <c r="S597" s="185"/>
      <c r="T597" s="185"/>
      <c r="U597" s="185"/>
      <c r="V597" s="185"/>
      <c r="W597" s="185"/>
      <c r="X597" s="185"/>
      <c r="Y597" s="185"/>
      <c r="Z597" s="185"/>
    </row>
    <row r="598" spans="1:26" ht="16" thickBot="1" x14ac:dyDescent="0.25">
      <c r="A598" s="185"/>
      <c r="B598" s="185"/>
      <c r="C598" s="185"/>
      <c r="D598" s="185"/>
      <c r="E598" s="185"/>
      <c r="F598" s="185"/>
      <c r="G598" s="185"/>
      <c r="H598" s="185"/>
      <c r="I598" s="185"/>
      <c r="J598" s="185"/>
      <c r="K598" s="185"/>
      <c r="L598" s="185"/>
      <c r="M598" s="185"/>
      <c r="N598" s="185"/>
      <c r="O598" s="185"/>
      <c r="P598" s="185"/>
      <c r="Q598" s="185"/>
      <c r="R598" s="185"/>
      <c r="S598" s="185"/>
      <c r="T598" s="185"/>
      <c r="U598" s="185"/>
      <c r="V598" s="185"/>
      <c r="W598" s="185"/>
      <c r="X598" s="185"/>
      <c r="Y598" s="185"/>
      <c r="Z598" s="185"/>
    </row>
    <row r="599" spans="1:26" ht="16" thickBot="1" x14ac:dyDescent="0.25">
      <c r="A599" s="185"/>
      <c r="B599" s="185"/>
      <c r="C599" s="185"/>
      <c r="D599" s="185"/>
      <c r="E599" s="185"/>
      <c r="F599" s="185"/>
      <c r="G599" s="185"/>
      <c r="H599" s="185"/>
      <c r="I599" s="185"/>
      <c r="J599" s="185"/>
      <c r="K599" s="185"/>
      <c r="L599" s="185"/>
      <c r="M599" s="185"/>
      <c r="N599" s="185"/>
      <c r="O599" s="185"/>
      <c r="P599" s="185"/>
      <c r="Q599" s="185"/>
      <c r="R599" s="185"/>
      <c r="S599" s="185"/>
      <c r="T599" s="185"/>
      <c r="U599" s="185"/>
      <c r="V599" s="185"/>
      <c r="W599" s="185"/>
      <c r="X599" s="185"/>
      <c r="Y599" s="185"/>
      <c r="Z599" s="185"/>
    </row>
    <row r="600" spans="1:26" ht="16" thickBot="1" x14ac:dyDescent="0.25">
      <c r="A600" s="185"/>
      <c r="B600" s="185"/>
      <c r="C600" s="185"/>
      <c r="D600" s="185"/>
      <c r="E600" s="185"/>
      <c r="F600" s="185"/>
      <c r="G600" s="185"/>
      <c r="H600" s="185"/>
      <c r="I600" s="185"/>
      <c r="J600" s="185"/>
      <c r="K600" s="185"/>
      <c r="L600" s="185"/>
      <c r="M600" s="185"/>
      <c r="N600" s="185"/>
      <c r="O600" s="185"/>
      <c r="P600" s="185"/>
      <c r="Q600" s="185"/>
      <c r="R600" s="185"/>
      <c r="S600" s="185"/>
      <c r="T600" s="185"/>
      <c r="U600" s="185"/>
      <c r="V600" s="185"/>
      <c r="W600" s="185"/>
      <c r="X600" s="185"/>
      <c r="Y600" s="185"/>
      <c r="Z600" s="185"/>
    </row>
    <row r="601" spans="1:26" ht="16" thickBot="1" x14ac:dyDescent="0.25">
      <c r="A601" s="185"/>
      <c r="B601" s="185"/>
      <c r="C601" s="185"/>
      <c r="D601" s="185"/>
      <c r="E601" s="185"/>
      <c r="F601" s="185"/>
      <c r="G601" s="185"/>
      <c r="H601" s="185"/>
      <c r="I601" s="185"/>
      <c r="J601" s="185"/>
      <c r="K601" s="185"/>
      <c r="L601" s="185"/>
      <c r="M601" s="185"/>
      <c r="N601" s="185"/>
      <c r="O601" s="185"/>
      <c r="P601" s="185"/>
      <c r="Q601" s="185"/>
      <c r="R601" s="185"/>
      <c r="S601" s="185"/>
      <c r="T601" s="185"/>
      <c r="U601" s="185"/>
      <c r="V601" s="185"/>
      <c r="W601" s="185"/>
      <c r="X601" s="185"/>
      <c r="Y601" s="185"/>
      <c r="Z601" s="185"/>
    </row>
    <row r="602" spans="1:26" ht="16" thickBot="1" x14ac:dyDescent="0.25">
      <c r="A602" s="185"/>
      <c r="B602" s="185"/>
      <c r="C602" s="185"/>
      <c r="D602" s="185"/>
      <c r="E602" s="185"/>
      <c r="F602" s="185"/>
      <c r="G602" s="185"/>
      <c r="H602" s="185"/>
      <c r="I602" s="185"/>
      <c r="J602" s="185"/>
      <c r="K602" s="185"/>
      <c r="L602" s="185"/>
      <c r="M602" s="185"/>
      <c r="N602" s="185"/>
      <c r="O602" s="185"/>
      <c r="P602" s="185"/>
      <c r="Q602" s="185"/>
      <c r="R602" s="185"/>
      <c r="S602" s="185"/>
      <c r="T602" s="185"/>
      <c r="U602" s="185"/>
      <c r="V602" s="185"/>
      <c r="W602" s="185"/>
      <c r="X602" s="185"/>
      <c r="Y602" s="185"/>
      <c r="Z602" s="185"/>
    </row>
    <row r="603" spans="1:26" ht="16" thickBot="1" x14ac:dyDescent="0.25">
      <c r="A603" s="185"/>
      <c r="B603" s="185"/>
      <c r="C603" s="185"/>
      <c r="D603" s="185"/>
      <c r="E603" s="185"/>
      <c r="F603" s="185"/>
      <c r="G603" s="185"/>
      <c r="H603" s="185"/>
      <c r="I603" s="185"/>
      <c r="J603" s="185"/>
      <c r="K603" s="185"/>
      <c r="L603" s="185"/>
      <c r="M603" s="185"/>
      <c r="N603" s="185"/>
      <c r="O603" s="185"/>
      <c r="P603" s="185"/>
      <c r="Q603" s="185"/>
      <c r="R603" s="185"/>
      <c r="S603" s="185"/>
      <c r="T603" s="185"/>
      <c r="U603" s="185"/>
      <c r="V603" s="185"/>
      <c r="W603" s="185"/>
      <c r="X603" s="185"/>
      <c r="Y603" s="185"/>
      <c r="Z603" s="185"/>
    </row>
    <row r="604" spans="1:26" ht="16" thickBot="1" x14ac:dyDescent="0.25">
      <c r="A604" s="185"/>
      <c r="B604" s="185"/>
      <c r="C604" s="185"/>
      <c r="D604" s="185"/>
      <c r="E604" s="185"/>
      <c r="F604" s="185"/>
      <c r="G604" s="185"/>
      <c r="H604" s="185"/>
      <c r="I604" s="185"/>
      <c r="J604" s="185"/>
      <c r="K604" s="185"/>
      <c r="L604" s="185"/>
      <c r="M604" s="185"/>
      <c r="N604" s="185"/>
      <c r="O604" s="185"/>
      <c r="P604" s="185"/>
      <c r="Q604" s="185"/>
      <c r="R604" s="185"/>
      <c r="S604" s="185"/>
      <c r="T604" s="185"/>
      <c r="U604" s="185"/>
      <c r="V604" s="185"/>
      <c r="W604" s="185"/>
      <c r="X604" s="185"/>
      <c r="Y604" s="185"/>
      <c r="Z604" s="185"/>
    </row>
    <row r="605" spans="1:26" ht="16" thickBot="1" x14ac:dyDescent="0.25">
      <c r="A605" s="185"/>
      <c r="B605" s="185"/>
      <c r="C605" s="185"/>
      <c r="D605" s="185"/>
      <c r="E605" s="185"/>
      <c r="F605" s="185"/>
      <c r="G605" s="185"/>
      <c r="H605" s="185"/>
      <c r="I605" s="185"/>
      <c r="J605" s="185"/>
      <c r="K605" s="185"/>
      <c r="L605" s="185"/>
      <c r="M605" s="185"/>
      <c r="N605" s="185"/>
      <c r="O605" s="185"/>
      <c r="P605" s="185"/>
      <c r="Q605" s="185"/>
      <c r="R605" s="185"/>
      <c r="S605" s="185"/>
      <c r="T605" s="185"/>
      <c r="U605" s="185"/>
      <c r="V605" s="185"/>
      <c r="W605" s="185"/>
      <c r="X605" s="185"/>
      <c r="Y605" s="185"/>
      <c r="Z605" s="185"/>
    </row>
    <row r="606" spans="1:26" ht="16" thickBot="1" x14ac:dyDescent="0.25">
      <c r="A606" s="185"/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5"/>
      <c r="O606" s="185"/>
      <c r="P606" s="185"/>
      <c r="Q606" s="185"/>
      <c r="R606" s="185"/>
      <c r="S606" s="185"/>
      <c r="T606" s="185"/>
      <c r="U606" s="185"/>
      <c r="V606" s="185"/>
      <c r="W606" s="185"/>
      <c r="X606" s="185"/>
      <c r="Y606" s="185"/>
      <c r="Z606" s="185"/>
    </row>
    <row r="607" spans="1:26" ht="16" thickBot="1" x14ac:dyDescent="0.25">
      <c r="A607" s="185"/>
      <c r="B607" s="185"/>
      <c r="C607" s="185"/>
      <c r="D607" s="185"/>
      <c r="E607" s="185"/>
      <c r="F607" s="185"/>
      <c r="G607" s="185"/>
      <c r="H607" s="185"/>
      <c r="I607" s="185"/>
      <c r="J607" s="185"/>
      <c r="K607" s="185"/>
      <c r="L607" s="185"/>
      <c r="M607" s="185"/>
      <c r="N607" s="185"/>
      <c r="O607" s="185"/>
      <c r="P607" s="185"/>
      <c r="Q607" s="185"/>
      <c r="R607" s="185"/>
      <c r="S607" s="185"/>
      <c r="T607" s="185"/>
      <c r="U607" s="185"/>
      <c r="V607" s="185"/>
      <c r="W607" s="185"/>
      <c r="X607" s="185"/>
      <c r="Y607" s="185"/>
      <c r="Z607" s="185"/>
    </row>
    <row r="608" spans="1:26" ht="16" thickBot="1" x14ac:dyDescent="0.25">
      <c r="A608" s="185"/>
      <c r="B608" s="185"/>
      <c r="C608" s="185"/>
      <c r="D608" s="185"/>
      <c r="E608" s="185"/>
      <c r="F608" s="185"/>
      <c r="G608" s="185"/>
      <c r="H608" s="185"/>
      <c r="I608" s="185"/>
      <c r="J608" s="185"/>
      <c r="K608" s="185"/>
      <c r="L608" s="185"/>
      <c r="M608" s="185"/>
      <c r="N608" s="185"/>
      <c r="O608" s="185"/>
      <c r="P608" s="185"/>
      <c r="Q608" s="185"/>
      <c r="R608" s="185"/>
      <c r="S608" s="185"/>
      <c r="T608" s="185"/>
      <c r="U608" s="185"/>
      <c r="V608" s="185"/>
      <c r="W608" s="185"/>
      <c r="X608" s="185"/>
      <c r="Y608" s="185"/>
      <c r="Z608" s="185"/>
    </row>
    <row r="609" spans="1:26" ht="16" thickBot="1" x14ac:dyDescent="0.25">
      <c r="A609" s="185"/>
      <c r="B609" s="185"/>
      <c r="C609" s="185"/>
      <c r="D609" s="185"/>
      <c r="E609" s="185"/>
      <c r="F609" s="185"/>
      <c r="G609" s="185"/>
      <c r="H609" s="185"/>
      <c r="I609" s="185"/>
      <c r="J609" s="185"/>
      <c r="K609" s="185"/>
      <c r="L609" s="185"/>
      <c r="M609" s="185"/>
      <c r="N609" s="185"/>
      <c r="O609" s="185"/>
      <c r="P609" s="185"/>
      <c r="Q609" s="185"/>
      <c r="R609" s="185"/>
      <c r="S609" s="185"/>
      <c r="T609" s="185"/>
      <c r="U609" s="185"/>
      <c r="V609" s="185"/>
      <c r="W609" s="185"/>
      <c r="X609" s="185"/>
      <c r="Y609" s="185"/>
      <c r="Z609" s="185"/>
    </row>
    <row r="610" spans="1:26" ht="16" thickBot="1" x14ac:dyDescent="0.25">
      <c r="A610" s="185"/>
      <c r="B610" s="185"/>
      <c r="C610" s="185"/>
      <c r="D610" s="185"/>
      <c r="E610" s="185"/>
      <c r="F610" s="185"/>
      <c r="G610" s="185"/>
      <c r="H610" s="185"/>
      <c r="I610" s="185"/>
      <c r="J610" s="185"/>
      <c r="K610" s="185"/>
      <c r="L610" s="185"/>
      <c r="M610" s="185"/>
      <c r="N610" s="185"/>
      <c r="O610" s="185"/>
      <c r="P610" s="185"/>
      <c r="Q610" s="185"/>
      <c r="R610" s="185"/>
      <c r="S610" s="185"/>
      <c r="T610" s="185"/>
      <c r="U610" s="185"/>
      <c r="V610" s="185"/>
      <c r="W610" s="185"/>
      <c r="X610" s="185"/>
      <c r="Y610" s="185"/>
      <c r="Z610" s="185"/>
    </row>
    <row r="611" spans="1:26" ht="16" thickBot="1" x14ac:dyDescent="0.25">
      <c r="A611" s="185"/>
      <c r="B611" s="185"/>
      <c r="C611" s="185"/>
      <c r="D611" s="185"/>
      <c r="E611" s="185"/>
      <c r="F611" s="185"/>
      <c r="G611" s="185"/>
      <c r="H611" s="185"/>
      <c r="I611" s="185"/>
      <c r="J611" s="185"/>
      <c r="K611" s="185"/>
      <c r="L611" s="185"/>
      <c r="M611" s="185"/>
      <c r="N611" s="185"/>
      <c r="O611" s="185"/>
      <c r="P611" s="185"/>
      <c r="Q611" s="185"/>
      <c r="R611" s="185"/>
      <c r="S611" s="185"/>
      <c r="T611" s="185"/>
      <c r="U611" s="185"/>
      <c r="V611" s="185"/>
      <c r="W611" s="185"/>
      <c r="X611" s="185"/>
      <c r="Y611" s="185"/>
      <c r="Z611" s="185"/>
    </row>
    <row r="612" spans="1:26" ht="16" thickBot="1" x14ac:dyDescent="0.25">
      <c r="A612" s="185"/>
      <c r="B612" s="185"/>
      <c r="C612" s="185"/>
      <c r="D612" s="185"/>
      <c r="E612" s="185"/>
      <c r="F612" s="185"/>
      <c r="G612" s="185"/>
      <c r="H612" s="185"/>
      <c r="I612" s="185"/>
      <c r="J612" s="185"/>
      <c r="K612" s="185"/>
      <c r="L612" s="185"/>
      <c r="M612" s="185"/>
      <c r="N612" s="185"/>
      <c r="O612" s="185"/>
      <c r="P612" s="185"/>
      <c r="Q612" s="185"/>
      <c r="R612" s="185"/>
      <c r="S612" s="185"/>
      <c r="T612" s="185"/>
      <c r="U612" s="185"/>
      <c r="V612" s="185"/>
      <c r="W612" s="185"/>
      <c r="X612" s="185"/>
      <c r="Y612" s="185"/>
      <c r="Z612" s="185"/>
    </row>
    <row r="613" spans="1:26" ht="16" thickBot="1" x14ac:dyDescent="0.25">
      <c r="A613" s="185"/>
      <c r="B613" s="185"/>
      <c r="C613" s="185"/>
      <c r="D613" s="185"/>
      <c r="E613" s="185"/>
      <c r="F613" s="185"/>
      <c r="G613" s="185"/>
      <c r="H613" s="185"/>
      <c r="I613" s="185"/>
      <c r="J613" s="185"/>
      <c r="K613" s="185"/>
      <c r="L613" s="185"/>
      <c r="M613" s="185"/>
      <c r="N613" s="185"/>
      <c r="O613" s="185"/>
      <c r="P613" s="185"/>
      <c r="Q613" s="185"/>
      <c r="R613" s="185"/>
      <c r="S613" s="185"/>
      <c r="T613" s="185"/>
      <c r="U613" s="185"/>
      <c r="V613" s="185"/>
      <c r="W613" s="185"/>
      <c r="X613" s="185"/>
      <c r="Y613" s="185"/>
      <c r="Z613" s="185"/>
    </row>
    <row r="614" spans="1:26" ht="16" thickBot="1" x14ac:dyDescent="0.25">
      <c r="A614" s="185"/>
      <c r="B614" s="185"/>
      <c r="C614" s="185"/>
      <c r="D614" s="185"/>
      <c r="E614" s="185"/>
      <c r="F614" s="185"/>
      <c r="G614" s="185"/>
      <c r="H614" s="185"/>
      <c r="I614" s="185"/>
      <c r="J614" s="185"/>
      <c r="K614" s="185"/>
      <c r="L614" s="185"/>
      <c r="M614" s="185"/>
      <c r="N614" s="185"/>
      <c r="O614" s="185"/>
      <c r="P614" s="185"/>
      <c r="Q614" s="185"/>
      <c r="R614" s="185"/>
      <c r="S614" s="185"/>
      <c r="T614" s="185"/>
      <c r="U614" s="185"/>
      <c r="V614" s="185"/>
      <c r="W614" s="185"/>
      <c r="X614" s="185"/>
      <c r="Y614" s="185"/>
      <c r="Z614" s="185"/>
    </row>
    <row r="615" spans="1:26" ht="16" thickBot="1" x14ac:dyDescent="0.25">
      <c r="A615" s="185"/>
      <c r="B615" s="185"/>
      <c r="C615" s="185"/>
      <c r="D615" s="185"/>
      <c r="E615" s="185"/>
      <c r="F615" s="185"/>
      <c r="G615" s="185"/>
      <c r="H615" s="185"/>
      <c r="I615" s="185"/>
      <c r="J615" s="185"/>
      <c r="K615" s="185"/>
      <c r="L615" s="185"/>
      <c r="M615" s="185"/>
      <c r="N615" s="185"/>
      <c r="O615" s="185"/>
      <c r="P615" s="185"/>
      <c r="Q615" s="185"/>
      <c r="R615" s="185"/>
      <c r="S615" s="185"/>
      <c r="T615" s="185"/>
      <c r="U615" s="185"/>
      <c r="V615" s="185"/>
      <c r="W615" s="185"/>
      <c r="X615" s="185"/>
      <c r="Y615" s="185"/>
      <c r="Z615" s="185"/>
    </row>
    <row r="616" spans="1:26" ht="16" thickBot="1" x14ac:dyDescent="0.25">
      <c r="A616" s="185"/>
      <c r="B616" s="185"/>
      <c r="C616" s="185"/>
      <c r="D616" s="185"/>
      <c r="E616" s="185"/>
      <c r="F616" s="185"/>
      <c r="G616" s="185"/>
      <c r="H616" s="185"/>
      <c r="I616" s="185"/>
      <c r="J616" s="185"/>
      <c r="K616" s="185"/>
      <c r="L616" s="185"/>
      <c r="M616" s="185"/>
      <c r="N616" s="185"/>
      <c r="O616" s="185"/>
      <c r="P616" s="185"/>
      <c r="Q616" s="185"/>
      <c r="R616" s="185"/>
      <c r="S616" s="185"/>
      <c r="T616" s="185"/>
      <c r="U616" s="185"/>
      <c r="V616" s="185"/>
      <c r="W616" s="185"/>
      <c r="X616" s="185"/>
      <c r="Y616" s="185"/>
      <c r="Z616" s="185"/>
    </row>
    <row r="617" spans="1:26" ht="16" thickBot="1" x14ac:dyDescent="0.25">
      <c r="A617" s="185"/>
      <c r="B617" s="185"/>
      <c r="C617" s="185"/>
      <c r="D617" s="185"/>
      <c r="E617" s="185"/>
      <c r="F617" s="185"/>
      <c r="G617" s="185"/>
      <c r="H617" s="185"/>
      <c r="I617" s="185"/>
      <c r="J617" s="185"/>
      <c r="K617" s="185"/>
      <c r="L617" s="185"/>
      <c r="M617" s="185"/>
      <c r="N617" s="185"/>
      <c r="O617" s="185"/>
      <c r="P617" s="185"/>
      <c r="Q617" s="185"/>
      <c r="R617" s="185"/>
      <c r="S617" s="185"/>
      <c r="T617" s="185"/>
      <c r="U617" s="185"/>
      <c r="V617" s="185"/>
      <c r="W617" s="185"/>
      <c r="X617" s="185"/>
      <c r="Y617" s="185"/>
      <c r="Z617" s="185"/>
    </row>
    <row r="618" spans="1:26" ht="16" thickBot="1" x14ac:dyDescent="0.25">
      <c r="A618" s="185"/>
      <c r="B618" s="185"/>
      <c r="C618" s="185"/>
      <c r="D618" s="185"/>
      <c r="E618" s="185"/>
      <c r="F618" s="185"/>
      <c r="G618" s="185"/>
      <c r="H618" s="185"/>
      <c r="I618" s="185"/>
      <c r="J618" s="185"/>
      <c r="K618" s="185"/>
      <c r="L618" s="185"/>
      <c r="M618" s="185"/>
      <c r="N618" s="185"/>
      <c r="O618" s="185"/>
      <c r="P618" s="185"/>
      <c r="Q618" s="185"/>
      <c r="R618" s="185"/>
      <c r="S618" s="185"/>
      <c r="T618" s="185"/>
      <c r="U618" s="185"/>
      <c r="V618" s="185"/>
      <c r="W618" s="185"/>
      <c r="X618" s="185"/>
      <c r="Y618" s="185"/>
      <c r="Z618" s="185"/>
    </row>
    <row r="619" spans="1:26" ht="16" thickBot="1" x14ac:dyDescent="0.25">
      <c r="A619" s="185"/>
      <c r="B619" s="185"/>
      <c r="C619" s="185"/>
      <c r="D619" s="185"/>
      <c r="E619" s="185"/>
      <c r="F619" s="185"/>
      <c r="G619" s="185"/>
      <c r="H619" s="185"/>
      <c r="I619" s="185"/>
      <c r="J619" s="185"/>
      <c r="K619" s="185"/>
      <c r="L619" s="185"/>
      <c r="M619" s="185"/>
      <c r="N619" s="185"/>
      <c r="O619" s="185"/>
      <c r="P619" s="185"/>
      <c r="Q619" s="185"/>
      <c r="R619" s="185"/>
      <c r="S619" s="185"/>
      <c r="T619" s="185"/>
      <c r="U619" s="185"/>
      <c r="V619" s="185"/>
      <c r="W619" s="185"/>
      <c r="X619" s="185"/>
      <c r="Y619" s="185"/>
      <c r="Z619" s="185"/>
    </row>
    <row r="620" spans="1:26" ht="16" thickBot="1" x14ac:dyDescent="0.25">
      <c r="A620" s="185"/>
      <c r="B620" s="185"/>
      <c r="C620" s="185"/>
      <c r="D620" s="185"/>
      <c r="E620" s="185"/>
      <c r="F620" s="185"/>
      <c r="G620" s="185"/>
      <c r="H620" s="185"/>
      <c r="I620" s="185"/>
      <c r="J620" s="185"/>
      <c r="K620" s="185"/>
      <c r="L620" s="185"/>
      <c r="M620" s="185"/>
      <c r="N620" s="185"/>
      <c r="O620" s="185"/>
      <c r="P620" s="185"/>
      <c r="Q620" s="185"/>
      <c r="R620" s="185"/>
      <c r="S620" s="185"/>
      <c r="T620" s="185"/>
      <c r="U620" s="185"/>
      <c r="V620" s="185"/>
      <c r="W620" s="185"/>
      <c r="X620" s="185"/>
      <c r="Y620" s="185"/>
      <c r="Z620" s="185"/>
    </row>
    <row r="621" spans="1:26" ht="16" thickBot="1" x14ac:dyDescent="0.25">
      <c r="A621" s="185"/>
      <c r="B621" s="185"/>
      <c r="C621" s="185"/>
      <c r="D621" s="185"/>
      <c r="E621" s="185"/>
      <c r="F621" s="185"/>
      <c r="G621" s="185"/>
      <c r="H621" s="185"/>
      <c r="I621" s="185"/>
      <c r="J621" s="185"/>
      <c r="K621" s="185"/>
      <c r="L621" s="185"/>
      <c r="M621" s="185"/>
      <c r="N621" s="185"/>
      <c r="O621" s="185"/>
      <c r="P621" s="185"/>
      <c r="Q621" s="185"/>
      <c r="R621" s="185"/>
      <c r="S621" s="185"/>
      <c r="T621" s="185"/>
      <c r="U621" s="185"/>
      <c r="V621" s="185"/>
      <c r="W621" s="185"/>
      <c r="X621" s="185"/>
      <c r="Y621" s="185"/>
      <c r="Z621" s="185"/>
    </row>
    <row r="622" spans="1:26" ht="16" thickBot="1" x14ac:dyDescent="0.25">
      <c r="A622" s="185"/>
      <c r="B622" s="185"/>
      <c r="C622" s="185"/>
      <c r="D622" s="185"/>
      <c r="E622" s="185"/>
      <c r="F622" s="185"/>
      <c r="G622" s="185"/>
      <c r="H622" s="185"/>
      <c r="I622" s="185"/>
      <c r="J622" s="185"/>
      <c r="K622" s="185"/>
      <c r="L622" s="185"/>
      <c r="M622" s="185"/>
      <c r="N622" s="185"/>
      <c r="O622" s="185"/>
      <c r="P622" s="185"/>
      <c r="Q622" s="185"/>
      <c r="R622" s="185"/>
      <c r="S622" s="185"/>
      <c r="T622" s="185"/>
      <c r="U622" s="185"/>
      <c r="V622" s="185"/>
      <c r="W622" s="185"/>
      <c r="X622" s="185"/>
      <c r="Y622" s="185"/>
      <c r="Z622" s="185"/>
    </row>
    <row r="623" spans="1:26" ht="16" thickBot="1" x14ac:dyDescent="0.25">
      <c r="A623" s="185"/>
      <c r="B623" s="185"/>
      <c r="C623" s="185"/>
      <c r="D623" s="185"/>
      <c r="E623" s="185"/>
      <c r="F623" s="185"/>
      <c r="G623" s="185"/>
      <c r="H623" s="185"/>
      <c r="I623" s="185"/>
      <c r="J623" s="185"/>
      <c r="K623" s="185"/>
      <c r="L623" s="185"/>
      <c r="M623" s="185"/>
      <c r="N623" s="185"/>
      <c r="O623" s="185"/>
      <c r="P623" s="185"/>
      <c r="Q623" s="185"/>
      <c r="R623" s="185"/>
      <c r="S623" s="185"/>
      <c r="T623" s="185"/>
      <c r="U623" s="185"/>
      <c r="V623" s="185"/>
      <c r="W623" s="185"/>
      <c r="X623" s="185"/>
      <c r="Y623" s="185"/>
      <c r="Z623" s="185"/>
    </row>
    <row r="624" spans="1:26" ht="16" thickBot="1" x14ac:dyDescent="0.25">
      <c r="A624" s="185"/>
      <c r="B624" s="185"/>
      <c r="C624" s="185"/>
      <c r="D624" s="185"/>
      <c r="E624" s="185"/>
      <c r="F624" s="185"/>
      <c r="G624" s="185"/>
      <c r="H624" s="185"/>
      <c r="I624" s="185"/>
      <c r="J624" s="185"/>
      <c r="K624" s="185"/>
      <c r="L624" s="185"/>
      <c r="M624" s="185"/>
      <c r="N624" s="185"/>
      <c r="O624" s="185"/>
      <c r="P624" s="185"/>
      <c r="Q624" s="185"/>
      <c r="R624" s="185"/>
      <c r="S624" s="185"/>
      <c r="T624" s="185"/>
      <c r="U624" s="185"/>
      <c r="V624" s="185"/>
      <c r="W624" s="185"/>
      <c r="X624" s="185"/>
      <c r="Y624" s="185"/>
      <c r="Z624" s="185"/>
    </row>
    <row r="625" spans="1:26" ht="16" thickBot="1" x14ac:dyDescent="0.25">
      <c r="A625" s="185"/>
      <c r="B625" s="185"/>
      <c r="C625" s="185"/>
      <c r="D625" s="185"/>
      <c r="E625" s="185"/>
      <c r="F625" s="185"/>
      <c r="G625" s="185"/>
      <c r="H625" s="185"/>
      <c r="I625" s="185"/>
      <c r="J625" s="185"/>
      <c r="K625" s="185"/>
      <c r="L625" s="185"/>
      <c r="M625" s="185"/>
      <c r="N625" s="185"/>
      <c r="O625" s="185"/>
      <c r="P625" s="185"/>
      <c r="Q625" s="185"/>
      <c r="R625" s="185"/>
      <c r="S625" s="185"/>
      <c r="T625" s="185"/>
      <c r="U625" s="185"/>
      <c r="V625" s="185"/>
      <c r="W625" s="185"/>
      <c r="X625" s="185"/>
      <c r="Y625" s="185"/>
      <c r="Z625" s="185"/>
    </row>
    <row r="626" spans="1:26" ht="16" thickBot="1" x14ac:dyDescent="0.25">
      <c r="A626" s="185"/>
      <c r="B626" s="185"/>
      <c r="C626" s="185"/>
      <c r="D626" s="185"/>
      <c r="E626" s="185"/>
      <c r="F626" s="185"/>
      <c r="G626" s="185"/>
      <c r="H626" s="185"/>
      <c r="I626" s="185"/>
      <c r="J626" s="185"/>
      <c r="K626" s="185"/>
      <c r="L626" s="185"/>
      <c r="M626" s="185"/>
      <c r="N626" s="185"/>
      <c r="O626" s="185"/>
      <c r="P626" s="185"/>
      <c r="Q626" s="185"/>
      <c r="R626" s="185"/>
      <c r="S626" s="185"/>
      <c r="T626" s="185"/>
      <c r="U626" s="185"/>
      <c r="V626" s="185"/>
      <c r="W626" s="185"/>
      <c r="X626" s="185"/>
      <c r="Y626" s="185"/>
      <c r="Z626" s="185"/>
    </row>
    <row r="627" spans="1:26" ht="16" thickBot="1" x14ac:dyDescent="0.25">
      <c r="A627" s="185"/>
      <c r="B627" s="185"/>
      <c r="C627" s="185"/>
      <c r="D627" s="185"/>
      <c r="E627" s="185"/>
      <c r="F627" s="185"/>
      <c r="G627" s="185"/>
      <c r="H627" s="185"/>
      <c r="I627" s="185"/>
      <c r="J627" s="185"/>
      <c r="K627" s="185"/>
      <c r="L627" s="185"/>
      <c r="M627" s="185"/>
      <c r="N627" s="185"/>
      <c r="O627" s="185"/>
      <c r="P627" s="185"/>
      <c r="Q627" s="185"/>
      <c r="R627" s="185"/>
      <c r="S627" s="185"/>
      <c r="T627" s="185"/>
      <c r="U627" s="185"/>
      <c r="V627" s="185"/>
      <c r="W627" s="185"/>
      <c r="X627" s="185"/>
      <c r="Y627" s="185"/>
      <c r="Z627" s="185"/>
    </row>
    <row r="628" spans="1:26" ht="16" thickBot="1" x14ac:dyDescent="0.25">
      <c r="A628" s="185"/>
      <c r="B628" s="185"/>
      <c r="C628" s="185"/>
      <c r="D628" s="185"/>
      <c r="E628" s="185"/>
      <c r="F628" s="185"/>
      <c r="G628" s="185"/>
      <c r="H628" s="185"/>
      <c r="I628" s="185"/>
      <c r="J628" s="185"/>
      <c r="K628" s="185"/>
      <c r="L628" s="185"/>
      <c r="M628" s="185"/>
      <c r="N628" s="185"/>
      <c r="O628" s="185"/>
      <c r="P628" s="185"/>
      <c r="Q628" s="185"/>
      <c r="R628" s="185"/>
      <c r="S628" s="185"/>
      <c r="T628" s="185"/>
      <c r="U628" s="185"/>
      <c r="V628" s="185"/>
      <c r="W628" s="185"/>
      <c r="X628" s="185"/>
      <c r="Y628" s="185"/>
      <c r="Z628" s="185"/>
    </row>
    <row r="629" spans="1:26" ht="16" thickBot="1" x14ac:dyDescent="0.25">
      <c r="A629" s="185"/>
      <c r="B629" s="185"/>
      <c r="C629" s="185"/>
      <c r="D629" s="185"/>
      <c r="E629" s="185"/>
      <c r="F629" s="185"/>
      <c r="G629" s="185"/>
      <c r="H629" s="185"/>
      <c r="I629" s="185"/>
      <c r="J629" s="185"/>
      <c r="K629" s="185"/>
      <c r="L629" s="185"/>
      <c r="M629" s="185"/>
      <c r="N629" s="185"/>
      <c r="O629" s="185"/>
      <c r="P629" s="185"/>
      <c r="Q629" s="185"/>
      <c r="R629" s="185"/>
      <c r="S629" s="185"/>
      <c r="T629" s="185"/>
      <c r="U629" s="185"/>
      <c r="V629" s="185"/>
      <c r="W629" s="185"/>
      <c r="X629" s="185"/>
      <c r="Y629" s="185"/>
      <c r="Z629" s="185"/>
    </row>
    <row r="630" spans="1:26" ht="16" thickBot="1" x14ac:dyDescent="0.25">
      <c r="A630" s="185"/>
      <c r="B630" s="185"/>
      <c r="C630" s="185"/>
      <c r="D630" s="185"/>
      <c r="E630" s="185"/>
      <c r="F630" s="185"/>
      <c r="G630" s="185"/>
      <c r="H630" s="185"/>
      <c r="I630" s="185"/>
      <c r="J630" s="185"/>
      <c r="K630" s="185"/>
      <c r="L630" s="185"/>
      <c r="M630" s="185"/>
      <c r="N630" s="185"/>
      <c r="O630" s="185"/>
      <c r="P630" s="185"/>
      <c r="Q630" s="185"/>
      <c r="R630" s="185"/>
      <c r="S630" s="185"/>
      <c r="T630" s="185"/>
      <c r="U630" s="185"/>
      <c r="V630" s="185"/>
      <c r="W630" s="185"/>
      <c r="X630" s="185"/>
      <c r="Y630" s="185"/>
      <c r="Z630" s="185"/>
    </row>
    <row r="631" spans="1:26" ht="16" thickBot="1" x14ac:dyDescent="0.25">
      <c r="A631" s="185"/>
      <c r="B631" s="185"/>
      <c r="C631" s="185"/>
      <c r="D631" s="185"/>
      <c r="E631" s="185"/>
      <c r="F631" s="185"/>
      <c r="G631" s="185"/>
      <c r="H631" s="185"/>
      <c r="I631" s="185"/>
      <c r="J631" s="185"/>
      <c r="K631" s="185"/>
      <c r="L631" s="185"/>
      <c r="M631" s="185"/>
      <c r="N631" s="185"/>
      <c r="O631" s="185"/>
      <c r="P631" s="185"/>
      <c r="Q631" s="185"/>
      <c r="R631" s="185"/>
      <c r="S631" s="185"/>
      <c r="T631" s="185"/>
      <c r="U631" s="185"/>
      <c r="V631" s="185"/>
      <c r="W631" s="185"/>
      <c r="X631" s="185"/>
      <c r="Y631" s="185"/>
      <c r="Z631" s="185"/>
    </row>
    <row r="632" spans="1:26" ht="16" thickBot="1" x14ac:dyDescent="0.25">
      <c r="A632" s="185"/>
      <c r="B632" s="185"/>
      <c r="C632" s="185"/>
      <c r="D632" s="185"/>
      <c r="E632" s="185"/>
      <c r="F632" s="185"/>
      <c r="G632" s="185"/>
      <c r="H632" s="185"/>
      <c r="I632" s="185"/>
      <c r="J632" s="185"/>
      <c r="K632" s="185"/>
      <c r="L632" s="185"/>
      <c r="M632" s="185"/>
      <c r="N632" s="185"/>
      <c r="O632" s="185"/>
      <c r="P632" s="185"/>
      <c r="Q632" s="185"/>
      <c r="R632" s="185"/>
      <c r="S632" s="185"/>
      <c r="T632" s="185"/>
      <c r="U632" s="185"/>
      <c r="V632" s="185"/>
      <c r="W632" s="185"/>
      <c r="X632" s="185"/>
      <c r="Y632" s="185"/>
      <c r="Z632" s="185"/>
    </row>
    <row r="633" spans="1:26" ht="16" thickBot="1" x14ac:dyDescent="0.25">
      <c r="A633" s="185"/>
      <c r="B633" s="185"/>
      <c r="C633" s="185"/>
      <c r="D633" s="185"/>
      <c r="E633" s="185"/>
      <c r="F633" s="185"/>
      <c r="G633" s="185"/>
      <c r="H633" s="185"/>
      <c r="I633" s="185"/>
      <c r="J633" s="185"/>
      <c r="K633" s="185"/>
      <c r="L633" s="185"/>
      <c r="M633" s="185"/>
      <c r="N633" s="185"/>
      <c r="O633" s="185"/>
      <c r="P633" s="185"/>
      <c r="Q633" s="185"/>
      <c r="R633" s="185"/>
      <c r="S633" s="185"/>
      <c r="T633" s="185"/>
      <c r="U633" s="185"/>
      <c r="V633" s="185"/>
      <c r="W633" s="185"/>
      <c r="X633" s="185"/>
      <c r="Y633" s="185"/>
      <c r="Z633" s="185"/>
    </row>
    <row r="634" spans="1:26" ht="16" thickBot="1" x14ac:dyDescent="0.25">
      <c r="A634" s="185"/>
      <c r="B634" s="185"/>
      <c r="C634" s="185"/>
      <c r="D634" s="185"/>
      <c r="E634" s="185"/>
      <c r="F634" s="185"/>
      <c r="G634" s="185"/>
      <c r="H634" s="185"/>
      <c r="I634" s="185"/>
      <c r="J634" s="185"/>
      <c r="K634" s="185"/>
      <c r="L634" s="185"/>
      <c r="M634" s="185"/>
      <c r="N634" s="185"/>
      <c r="O634" s="185"/>
      <c r="P634" s="185"/>
      <c r="Q634" s="185"/>
      <c r="R634" s="185"/>
      <c r="S634" s="185"/>
      <c r="T634" s="185"/>
      <c r="U634" s="185"/>
      <c r="V634" s="185"/>
      <c r="W634" s="185"/>
      <c r="X634" s="185"/>
      <c r="Y634" s="185"/>
      <c r="Z634" s="185"/>
    </row>
    <row r="635" spans="1:26" ht="16" thickBot="1" x14ac:dyDescent="0.25">
      <c r="A635" s="185"/>
      <c r="B635" s="185"/>
      <c r="C635" s="185"/>
      <c r="D635" s="185"/>
      <c r="E635" s="185"/>
      <c r="F635" s="185"/>
      <c r="G635" s="185"/>
      <c r="H635" s="185"/>
      <c r="I635" s="185"/>
      <c r="J635" s="185"/>
      <c r="K635" s="185"/>
      <c r="L635" s="185"/>
      <c r="M635" s="185"/>
      <c r="N635" s="185"/>
      <c r="O635" s="185"/>
      <c r="P635" s="185"/>
      <c r="Q635" s="185"/>
      <c r="R635" s="185"/>
      <c r="S635" s="185"/>
      <c r="T635" s="185"/>
      <c r="U635" s="185"/>
      <c r="V635" s="185"/>
      <c r="W635" s="185"/>
      <c r="X635" s="185"/>
      <c r="Y635" s="185"/>
      <c r="Z635" s="185"/>
    </row>
    <row r="636" spans="1:26" ht="16" thickBot="1" x14ac:dyDescent="0.25">
      <c r="A636" s="185"/>
      <c r="B636" s="185"/>
      <c r="C636" s="185"/>
      <c r="D636" s="185"/>
      <c r="E636" s="185"/>
      <c r="F636" s="185"/>
      <c r="G636" s="185"/>
      <c r="H636" s="185"/>
      <c r="I636" s="185"/>
      <c r="J636" s="185"/>
      <c r="K636" s="185"/>
      <c r="L636" s="185"/>
      <c r="M636" s="185"/>
      <c r="N636" s="185"/>
      <c r="O636" s="185"/>
      <c r="P636" s="185"/>
      <c r="Q636" s="185"/>
      <c r="R636" s="185"/>
      <c r="S636" s="185"/>
      <c r="T636" s="185"/>
      <c r="U636" s="185"/>
      <c r="V636" s="185"/>
      <c r="W636" s="185"/>
      <c r="X636" s="185"/>
      <c r="Y636" s="185"/>
      <c r="Z636" s="185"/>
    </row>
    <row r="637" spans="1:26" ht="16" thickBot="1" x14ac:dyDescent="0.25">
      <c r="A637" s="185"/>
      <c r="B637" s="185"/>
      <c r="C637" s="185"/>
      <c r="D637" s="185"/>
      <c r="E637" s="185"/>
      <c r="F637" s="185"/>
      <c r="G637" s="185"/>
      <c r="H637" s="185"/>
      <c r="I637" s="185"/>
      <c r="J637" s="185"/>
      <c r="K637" s="185"/>
      <c r="L637" s="185"/>
      <c r="M637" s="185"/>
      <c r="N637" s="185"/>
      <c r="O637" s="185"/>
      <c r="P637" s="185"/>
      <c r="Q637" s="185"/>
      <c r="R637" s="185"/>
      <c r="S637" s="185"/>
      <c r="T637" s="185"/>
      <c r="U637" s="185"/>
      <c r="V637" s="185"/>
      <c r="W637" s="185"/>
      <c r="X637" s="185"/>
      <c r="Y637" s="185"/>
      <c r="Z637" s="185"/>
    </row>
    <row r="638" spans="1:26" ht="16" thickBot="1" x14ac:dyDescent="0.25">
      <c r="A638" s="185"/>
      <c r="B638" s="185"/>
      <c r="C638" s="185"/>
      <c r="D638" s="185"/>
      <c r="E638" s="185"/>
      <c r="F638" s="185"/>
      <c r="G638" s="185"/>
      <c r="H638" s="185"/>
      <c r="I638" s="185"/>
      <c r="J638" s="185"/>
      <c r="K638" s="185"/>
      <c r="L638" s="185"/>
      <c r="M638" s="185"/>
      <c r="N638" s="185"/>
      <c r="O638" s="185"/>
      <c r="P638" s="185"/>
      <c r="Q638" s="185"/>
      <c r="R638" s="185"/>
      <c r="S638" s="185"/>
      <c r="T638" s="185"/>
      <c r="U638" s="185"/>
      <c r="V638" s="185"/>
      <c r="W638" s="185"/>
      <c r="X638" s="185"/>
      <c r="Y638" s="185"/>
      <c r="Z638" s="185"/>
    </row>
    <row r="639" spans="1:26" ht="16" thickBot="1" x14ac:dyDescent="0.25">
      <c r="A639" s="185"/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5"/>
      <c r="O639" s="185"/>
      <c r="P639" s="185"/>
      <c r="Q639" s="185"/>
      <c r="R639" s="185"/>
      <c r="S639" s="185"/>
      <c r="T639" s="185"/>
      <c r="U639" s="185"/>
      <c r="V639" s="185"/>
      <c r="W639" s="185"/>
      <c r="X639" s="185"/>
      <c r="Y639" s="185"/>
      <c r="Z639" s="185"/>
    </row>
    <row r="640" spans="1:26" ht="16" thickBot="1" x14ac:dyDescent="0.25">
      <c r="A640" s="185"/>
      <c r="B640" s="185"/>
      <c r="C640" s="185"/>
      <c r="D640" s="185"/>
      <c r="E640" s="185"/>
      <c r="F640" s="185"/>
      <c r="G640" s="185"/>
      <c r="H640" s="185"/>
      <c r="I640" s="185"/>
      <c r="J640" s="185"/>
      <c r="K640" s="185"/>
      <c r="L640" s="185"/>
      <c r="M640" s="185"/>
      <c r="N640" s="185"/>
      <c r="O640" s="185"/>
      <c r="P640" s="185"/>
      <c r="Q640" s="185"/>
      <c r="R640" s="185"/>
      <c r="S640" s="185"/>
      <c r="T640" s="185"/>
      <c r="U640" s="185"/>
      <c r="V640" s="185"/>
      <c r="W640" s="185"/>
      <c r="X640" s="185"/>
      <c r="Y640" s="185"/>
      <c r="Z640" s="185"/>
    </row>
    <row r="641" spans="1:26" ht="16" thickBot="1" x14ac:dyDescent="0.25">
      <c r="A641" s="185"/>
      <c r="B641" s="185"/>
      <c r="C641" s="185"/>
      <c r="D641" s="185"/>
      <c r="E641" s="185"/>
      <c r="F641" s="185"/>
      <c r="G641" s="185"/>
      <c r="H641" s="185"/>
      <c r="I641" s="185"/>
      <c r="J641" s="185"/>
      <c r="K641" s="185"/>
      <c r="L641" s="185"/>
      <c r="M641" s="185"/>
      <c r="N641" s="185"/>
      <c r="O641" s="185"/>
      <c r="P641" s="185"/>
      <c r="Q641" s="185"/>
      <c r="R641" s="185"/>
      <c r="S641" s="185"/>
      <c r="T641" s="185"/>
      <c r="U641" s="185"/>
      <c r="V641" s="185"/>
      <c r="W641" s="185"/>
      <c r="X641" s="185"/>
      <c r="Y641" s="185"/>
      <c r="Z641" s="185"/>
    </row>
    <row r="642" spans="1:26" ht="16" thickBot="1" x14ac:dyDescent="0.25">
      <c r="A642" s="185"/>
      <c r="B642" s="185"/>
      <c r="C642" s="185"/>
      <c r="D642" s="185"/>
      <c r="E642" s="185"/>
      <c r="F642" s="185"/>
      <c r="G642" s="185"/>
      <c r="H642" s="185"/>
      <c r="I642" s="185"/>
      <c r="J642" s="185"/>
      <c r="K642" s="185"/>
      <c r="L642" s="185"/>
      <c r="M642" s="185"/>
      <c r="N642" s="185"/>
      <c r="O642" s="185"/>
      <c r="P642" s="185"/>
      <c r="Q642" s="185"/>
      <c r="R642" s="185"/>
      <c r="S642" s="185"/>
      <c r="T642" s="185"/>
      <c r="U642" s="185"/>
      <c r="V642" s="185"/>
      <c r="W642" s="185"/>
      <c r="X642" s="185"/>
      <c r="Y642" s="185"/>
      <c r="Z642" s="185"/>
    </row>
    <row r="643" spans="1:26" ht="16" thickBot="1" x14ac:dyDescent="0.25">
      <c r="A643" s="185"/>
      <c r="B643" s="185"/>
      <c r="C643" s="185"/>
      <c r="D643" s="185"/>
      <c r="E643" s="185"/>
      <c r="F643" s="185"/>
      <c r="G643" s="185"/>
      <c r="H643" s="185"/>
      <c r="I643" s="185"/>
      <c r="J643" s="185"/>
      <c r="K643" s="185"/>
      <c r="L643" s="185"/>
      <c r="M643" s="185"/>
      <c r="N643" s="185"/>
      <c r="O643" s="185"/>
      <c r="P643" s="185"/>
      <c r="Q643" s="185"/>
      <c r="R643" s="185"/>
      <c r="S643" s="185"/>
      <c r="T643" s="185"/>
      <c r="U643" s="185"/>
      <c r="V643" s="185"/>
      <c r="W643" s="185"/>
      <c r="X643" s="185"/>
      <c r="Y643" s="185"/>
      <c r="Z643" s="185"/>
    </row>
    <row r="644" spans="1:26" ht="16" thickBot="1" x14ac:dyDescent="0.25">
      <c r="A644" s="185"/>
      <c r="B644" s="185"/>
      <c r="C644" s="185"/>
      <c r="D644" s="185"/>
      <c r="E644" s="185"/>
      <c r="F644" s="185"/>
      <c r="G644" s="185"/>
      <c r="H644" s="185"/>
      <c r="I644" s="185"/>
      <c r="J644" s="185"/>
      <c r="K644" s="185"/>
      <c r="L644" s="185"/>
      <c r="M644" s="185"/>
      <c r="N644" s="185"/>
      <c r="O644" s="185"/>
      <c r="P644" s="185"/>
      <c r="Q644" s="185"/>
      <c r="R644" s="185"/>
      <c r="S644" s="185"/>
      <c r="T644" s="185"/>
      <c r="U644" s="185"/>
      <c r="V644" s="185"/>
      <c r="W644" s="185"/>
      <c r="X644" s="185"/>
      <c r="Y644" s="185"/>
      <c r="Z644" s="185"/>
    </row>
    <row r="645" spans="1:26" ht="16" thickBot="1" x14ac:dyDescent="0.25">
      <c r="A645" s="185"/>
      <c r="B645" s="185"/>
      <c r="C645" s="185"/>
      <c r="D645" s="185"/>
      <c r="E645" s="185"/>
      <c r="F645" s="185"/>
      <c r="G645" s="185"/>
      <c r="H645" s="185"/>
      <c r="I645" s="185"/>
      <c r="J645" s="185"/>
      <c r="K645" s="185"/>
      <c r="L645" s="185"/>
      <c r="M645" s="185"/>
      <c r="N645" s="185"/>
      <c r="O645" s="185"/>
      <c r="P645" s="185"/>
      <c r="Q645" s="185"/>
      <c r="R645" s="185"/>
      <c r="S645" s="185"/>
      <c r="T645" s="185"/>
      <c r="U645" s="185"/>
      <c r="V645" s="185"/>
      <c r="W645" s="185"/>
      <c r="X645" s="185"/>
      <c r="Y645" s="185"/>
      <c r="Z645" s="185"/>
    </row>
    <row r="646" spans="1:26" ht="16" thickBot="1" x14ac:dyDescent="0.25">
      <c r="A646" s="185"/>
      <c r="B646" s="185"/>
      <c r="C646" s="185"/>
      <c r="D646" s="185"/>
      <c r="E646" s="185"/>
      <c r="F646" s="185"/>
      <c r="G646" s="185"/>
      <c r="H646" s="185"/>
      <c r="I646" s="185"/>
      <c r="J646" s="185"/>
      <c r="K646" s="185"/>
      <c r="L646" s="185"/>
      <c r="M646" s="185"/>
      <c r="N646" s="185"/>
      <c r="O646" s="185"/>
      <c r="P646" s="185"/>
      <c r="Q646" s="185"/>
      <c r="R646" s="185"/>
      <c r="S646" s="185"/>
      <c r="T646" s="185"/>
      <c r="U646" s="185"/>
      <c r="V646" s="185"/>
      <c r="W646" s="185"/>
      <c r="X646" s="185"/>
      <c r="Y646" s="185"/>
      <c r="Z646" s="185"/>
    </row>
    <row r="647" spans="1:26" ht="16" thickBot="1" x14ac:dyDescent="0.25">
      <c r="A647" s="185"/>
      <c r="B647" s="185"/>
      <c r="C647" s="185"/>
      <c r="D647" s="185"/>
      <c r="E647" s="185"/>
      <c r="F647" s="185"/>
      <c r="G647" s="185"/>
      <c r="H647" s="185"/>
      <c r="I647" s="185"/>
      <c r="J647" s="185"/>
      <c r="K647" s="185"/>
      <c r="L647" s="185"/>
      <c r="M647" s="185"/>
      <c r="N647" s="185"/>
      <c r="O647" s="185"/>
      <c r="P647" s="185"/>
      <c r="Q647" s="185"/>
      <c r="R647" s="185"/>
      <c r="S647" s="185"/>
      <c r="T647" s="185"/>
      <c r="U647" s="185"/>
      <c r="V647" s="185"/>
      <c r="W647" s="185"/>
      <c r="X647" s="185"/>
      <c r="Y647" s="185"/>
      <c r="Z647" s="185"/>
    </row>
    <row r="648" spans="1:26" ht="16" thickBot="1" x14ac:dyDescent="0.25">
      <c r="A648" s="185"/>
      <c r="B648" s="185"/>
      <c r="C648" s="185"/>
      <c r="D648" s="185"/>
      <c r="E648" s="185"/>
      <c r="F648" s="185"/>
      <c r="G648" s="185"/>
      <c r="H648" s="185"/>
      <c r="I648" s="185"/>
      <c r="J648" s="185"/>
      <c r="K648" s="185"/>
      <c r="L648" s="185"/>
      <c r="M648" s="185"/>
      <c r="N648" s="185"/>
      <c r="O648" s="185"/>
      <c r="P648" s="185"/>
      <c r="Q648" s="185"/>
      <c r="R648" s="185"/>
      <c r="S648" s="185"/>
      <c r="T648" s="185"/>
      <c r="U648" s="185"/>
      <c r="V648" s="185"/>
      <c r="W648" s="185"/>
      <c r="X648" s="185"/>
      <c r="Y648" s="185"/>
      <c r="Z648" s="185"/>
    </row>
    <row r="649" spans="1:26" ht="16" thickBot="1" x14ac:dyDescent="0.25">
      <c r="A649" s="185"/>
      <c r="B649" s="185"/>
      <c r="C649" s="185"/>
      <c r="D649" s="185"/>
      <c r="E649" s="185"/>
      <c r="F649" s="185"/>
      <c r="G649" s="185"/>
      <c r="H649" s="185"/>
      <c r="I649" s="185"/>
      <c r="J649" s="185"/>
      <c r="K649" s="185"/>
      <c r="L649" s="185"/>
      <c r="M649" s="185"/>
      <c r="N649" s="185"/>
      <c r="O649" s="185"/>
      <c r="P649" s="185"/>
      <c r="Q649" s="185"/>
      <c r="R649" s="185"/>
      <c r="S649" s="185"/>
      <c r="T649" s="185"/>
      <c r="U649" s="185"/>
      <c r="V649" s="185"/>
      <c r="W649" s="185"/>
      <c r="X649" s="185"/>
      <c r="Y649" s="185"/>
      <c r="Z649" s="185"/>
    </row>
    <row r="650" spans="1:26" ht="16" thickBot="1" x14ac:dyDescent="0.25">
      <c r="A650" s="185"/>
      <c r="B650" s="185"/>
      <c r="C650" s="185"/>
      <c r="D650" s="185"/>
      <c r="E650" s="185"/>
      <c r="F650" s="185"/>
      <c r="G650" s="185"/>
      <c r="H650" s="185"/>
      <c r="I650" s="185"/>
      <c r="J650" s="185"/>
      <c r="K650" s="185"/>
      <c r="L650" s="185"/>
      <c r="M650" s="185"/>
      <c r="N650" s="185"/>
      <c r="O650" s="185"/>
      <c r="P650" s="185"/>
      <c r="Q650" s="185"/>
      <c r="R650" s="185"/>
      <c r="S650" s="185"/>
      <c r="T650" s="185"/>
      <c r="U650" s="185"/>
      <c r="V650" s="185"/>
      <c r="W650" s="185"/>
      <c r="X650" s="185"/>
      <c r="Y650" s="185"/>
      <c r="Z650" s="185"/>
    </row>
    <row r="651" spans="1:26" ht="16" thickBot="1" x14ac:dyDescent="0.25">
      <c r="A651" s="185"/>
      <c r="B651" s="185"/>
      <c r="C651" s="185"/>
      <c r="D651" s="185"/>
      <c r="E651" s="185"/>
      <c r="F651" s="185"/>
      <c r="G651" s="185"/>
      <c r="H651" s="185"/>
      <c r="I651" s="185"/>
      <c r="J651" s="185"/>
      <c r="K651" s="185"/>
      <c r="L651" s="185"/>
      <c r="M651" s="185"/>
      <c r="N651" s="185"/>
      <c r="O651" s="185"/>
      <c r="P651" s="185"/>
      <c r="Q651" s="185"/>
      <c r="R651" s="185"/>
      <c r="S651" s="185"/>
      <c r="T651" s="185"/>
      <c r="U651" s="185"/>
      <c r="V651" s="185"/>
      <c r="W651" s="185"/>
      <c r="X651" s="185"/>
      <c r="Y651" s="185"/>
      <c r="Z651" s="185"/>
    </row>
    <row r="652" spans="1:26" ht="16" thickBot="1" x14ac:dyDescent="0.25">
      <c r="A652" s="185"/>
      <c r="B652" s="185"/>
      <c r="C652" s="185"/>
      <c r="D652" s="185"/>
      <c r="E652" s="185"/>
      <c r="F652" s="185"/>
      <c r="G652" s="185"/>
      <c r="H652" s="185"/>
      <c r="I652" s="185"/>
      <c r="J652" s="185"/>
      <c r="K652" s="185"/>
      <c r="L652" s="185"/>
      <c r="M652" s="185"/>
      <c r="N652" s="185"/>
      <c r="O652" s="185"/>
      <c r="P652" s="185"/>
      <c r="Q652" s="185"/>
      <c r="R652" s="185"/>
      <c r="S652" s="185"/>
      <c r="T652" s="185"/>
      <c r="U652" s="185"/>
      <c r="V652" s="185"/>
      <c r="W652" s="185"/>
      <c r="X652" s="185"/>
      <c r="Y652" s="185"/>
      <c r="Z652" s="185"/>
    </row>
    <row r="653" spans="1:26" ht="16" thickBot="1" x14ac:dyDescent="0.25">
      <c r="A653" s="185"/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5"/>
      <c r="O653" s="185"/>
      <c r="P653" s="185"/>
      <c r="Q653" s="185"/>
      <c r="R653" s="185"/>
      <c r="S653" s="185"/>
      <c r="T653" s="185"/>
      <c r="U653" s="185"/>
      <c r="V653" s="185"/>
      <c r="W653" s="185"/>
      <c r="X653" s="185"/>
      <c r="Y653" s="185"/>
      <c r="Z653" s="185"/>
    </row>
    <row r="654" spans="1:26" ht="16" thickBot="1" x14ac:dyDescent="0.25">
      <c r="A654" s="185"/>
      <c r="B654" s="185"/>
      <c r="C654" s="185"/>
      <c r="D654" s="185"/>
      <c r="E654" s="185"/>
      <c r="F654" s="185"/>
      <c r="G654" s="185"/>
      <c r="H654" s="185"/>
      <c r="I654" s="185"/>
      <c r="J654" s="185"/>
      <c r="K654" s="185"/>
      <c r="L654" s="185"/>
      <c r="M654" s="185"/>
      <c r="N654" s="185"/>
      <c r="O654" s="185"/>
      <c r="P654" s="185"/>
      <c r="Q654" s="185"/>
      <c r="R654" s="185"/>
      <c r="S654" s="185"/>
      <c r="T654" s="185"/>
      <c r="U654" s="185"/>
      <c r="V654" s="185"/>
      <c r="W654" s="185"/>
      <c r="X654" s="185"/>
      <c r="Y654" s="185"/>
      <c r="Z654" s="185"/>
    </row>
    <row r="655" spans="1:26" ht="16" thickBot="1" x14ac:dyDescent="0.25">
      <c r="A655" s="185"/>
      <c r="B655" s="185"/>
      <c r="C655" s="185"/>
      <c r="D655" s="185"/>
      <c r="E655" s="185"/>
      <c r="F655" s="185"/>
      <c r="G655" s="185"/>
      <c r="H655" s="185"/>
      <c r="I655" s="185"/>
      <c r="J655" s="185"/>
      <c r="K655" s="185"/>
      <c r="L655" s="185"/>
      <c r="M655" s="185"/>
      <c r="N655" s="185"/>
      <c r="O655" s="185"/>
      <c r="P655" s="185"/>
      <c r="Q655" s="185"/>
      <c r="R655" s="185"/>
      <c r="S655" s="185"/>
      <c r="T655" s="185"/>
      <c r="U655" s="185"/>
      <c r="V655" s="185"/>
      <c r="W655" s="185"/>
      <c r="X655" s="185"/>
      <c r="Y655" s="185"/>
      <c r="Z655" s="185"/>
    </row>
    <row r="656" spans="1:26" ht="16" thickBot="1" x14ac:dyDescent="0.25">
      <c r="A656" s="185"/>
      <c r="B656" s="185"/>
      <c r="C656" s="185"/>
      <c r="D656" s="185"/>
      <c r="E656" s="185"/>
      <c r="F656" s="185"/>
      <c r="G656" s="185"/>
      <c r="H656" s="185"/>
      <c r="I656" s="185"/>
      <c r="J656" s="185"/>
      <c r="K656" s="185"/>
      <c r="L656" s="185"/>
      <c r="M656" s="185"/>
      <c r="N656" s="185"/>
      <c r="O656" s="185"/>
      <c r="P656" s="185"/>
      <c r="Q656" s="185"/>
      <c r="R656" s="185"/>
      <c r="S656" s="185"/>
      <c r="T656" s="185"/>
      <c r="U656" s="185"/>
      <c r="V656" s="185"/>
      <c r="W656" s="185"/>
      <c r="X656" s="185"/>
      <c r="Y656" s="185"/>
      <c r="Z656" s="185"/>
    </row>
    <row r="657" spans="1:26" ht="16" thickBot="1" x14ac:dyDescent="0.25">
      <c r="A657" s="185"/>
      <c r="B657" s="185"/>
      <c r="C657" s="185"/>
      <c r="D657" s="185"/>
      <c r="E657" s="185"/>
      <c r="F657" s="185"/>
      <c r="G657" s="185"/>
      <c r="H657" s="185"/>
      <c r="I657" s="185"/>
      <c r="J657" s="185"/>
      <c r="K657" s="185"/>
      <c r="L657" s="185"/>
      <c r="M657" s="185"/>
      <c r="N657" s="185"/>
      <c r="O657" s="185"/>
      <c r="P657" s="185"/>
      <c r="Q657" s="185"/>
      <c r="R657" s="185"/>
      <c r="S657" s="185"/>
      <c r="T657" s="185"/>
      <c r="U657" s="185"/>
      <c r="V657" s="185"/>
      <c r="W657" s="185"/>
      <c r="X657" s="185"/>
      <c r="Y657" s="185"/>
      <c r="Z657" s="185"/>
    </row>
    <row r="658" spans="1:26" ht="16" thickBot="1" x14ac:dyDescent="0.25">
      <c r="A658" s="185"/>
      <c r="B658" s="185"/>
      <c r="C658" s="185"/>
      <c r="D658" s="185"/>
      <c r="E658" s="185"/>
      <c r="F658" s="185"/>
      <c r="G658" s="185"/>
      <c r="H658" s="185"/>
      <c r="I658" s="185"/>
      <c r="J658" s="185"/>
      <c r="K658" s="185"/>
      <c r="L658" s="185"/>
      <c r="M658" s="185"/>
      <c r="N658" s="185"/>
      <c r="O658" s="185"/>
      <c r="P658" s="185"/>
      <c r="Q658" s="185"/>
      <c r="R658" s="185"/>
      <c r="S658" s="185"/>
      <c r="T658" s="185"/>
      <c r="U658" s="185"/>
      <c r="V658" s="185"/>
      <c r="W658" s="185"/>
      <c r="X658" s="185"/>
      <c r="Y658" s="185"/>
      <c r="Z658" s="185"/>
    </row>
    <row r="659" spans="1:26" ht="16" thickBot="1" x14ac:dyDescent="0.25">
      <c r="A659" s="185"/>
      <c r="B659" s="185"/>
      <c r="C659" s="185"/>
      <c r="D659" s="185"/>
      <c r="E659" s="185"/>
      <c r="F659" s="185"/>
      <c r="G659" s="185"/>
      <c r="H659" s="185"/>
      <c r="I659" s="185"/>
      <c r="J659" s="185"/>
      <c r="K659" s="185"/>
      <c r="L659" s="185"/>
      <c r="M659" s="185"/>
      <c r="N659" s="185"/>
      <c r="O659" s="185"/>
      <c r="P659" s="185"/>
      <c r="Q659" s="185"/>
      <c r="R659" s="185"/>
      <c r="S659" s="185"/>
      <c r="T659" s="185"/>
      <c r="U659" s="185"/>
      <c r="V659" s="185"/>
      <c r="W659" s="185"/>
      <c r="X659" s="185"/>
      <c r="Y659" s="185"/>
      <c r="Z659" s="185"/>
    </row>
    <row r="660" spans="1:26" ht="16" thickBot="1" x14ac:dyDescent="0.25">
      <c r="A660" s="185"/>
      <c r="B660" s="185"/>
      <c r="C660" s="185"/>
      <c r="D660" s="185"/>
      <c r="E660" s="185"/>
      <c r="F660" s="185"/>
      <c r="G660" s="185"/>
      <c r="H660" s="185"/>
      <c r="I660" s="185"/>
      <c r="J660" s="185"/>
      <c r="K660" s="185"/>
      <c r="L660" s="185"/>
      <c r="M660" s="185"/>
      <c r="N660" s="185"/>
      <c r="O660" s="185"/>
      <c r="P660" s="185"/>
      <c r="Q660" s="185"/>
      <c r="R660" s="185"/>
      <c r="S660" s="185"/>
      <c r="T660" s="185"/>
      <c r="U660" s="185"/>
      <c r="V660" s="185"/>
      <c r="W660" s="185"/>
      <c r="X660" s="185"/>
      <c r="Y660" s="185"/>
      <c r="Z660" s="185"/>
    </row>
    <row r="661" spans="1:26" ht="16" thickBot="1" x14ac:dyDescent="0.25">
      <c r="A661" s="185"/>
      <c r="B661" s="185"/>
      <c r="C661" s="185"/>
      <c r="D661" s="185"/>
      <c r="E661" s="185"/>
      <c r="F661" s="185"/>
      <c r="G661" s="185"/>
      <c r="H661" s="185"/>
      <c r="I661" s="185"/>
      <c r="J661" s="185"/>
      <c r="K661" s="185"/>
      <c r="L661" s="185"/>
      <c r="M661" s="185"/>
      <c r="N661" s="185"/>
      <c r="O661" s="185"/>
      <c r="P661" s="185"/>
      <c r="Q661" s="185"/>
      <c r="R661" s="185"/>
      <c r="S661" s="185"/>
      <c r="T661" s="185"/>
      <c r="U661" s="185"/>
      <c r="V661" s="185"/>
      <c r="W661" s="185"/>
      <c r="X661" s="185"/>
      <c r="Y661" s="185"/>
      <c r="Z661" s="185"/>
    </row>
    <row r="662" spans="1:26" ht="16" thickBot="1" x14ac:dyDescent="0.25">
      <c r="A662" s="185"/>
      <c r="B662" s="185"/>
      <c r="C662" s="185"/>
      <c r="D662" s="185"/>
      <c r="E662" s="185"/>
      <c r="F662" s="185"/>
      <c r="G662" s="185"/>
      <c r="H662" s="185"/>
      <c r="I662" s="185"/>
      <c r="J662" s="185"/>
      <c r="K662" s="185"/>
      <c r="L662" s="185"/>
      <c r="M662" s="185"/>
      <c r="N662" s="185"/>
      <c r="O662" s="185"/>
      <c r="P662" s="185"/>
      <c r="Q662" s="185"/>
      <c r="R662" s="185"/>
      <c r="S662" s="185"/>
      <c r="T662" s="185"/>
      <c r="U662" s="185"/>
      <c r="V662" s="185"/>
      <c r="W662" s="185"/>
      <c r="X662" s="185"/>
      <c r="Y662" s="185"/>
      <c r="Z662" s="185"/>
    </row>
    <row r="663" spans="1:26" ht="16" thickBot="1" x14ac:dyDescent="0.25">
      <c r="A663" s="185"/>
      <c r="B663" s="185"/>
      <c r="C663" s="185"/>
      <c r="D663" s="185"/>
      <c r="E663" s="185"/>
      <c r="F663" s="185"/>
      <c r="G663" s="185"/>
      <c r="H663" s="185"/>
      <c r="I663" s="185"/>
      <c r="J663" s="185"/>
      <c r="K663" s="185"/>
      <c r="L663" s="185"/>
      <c r="M663" s="185"/>
      <c r="N663" s="185"/>
      <c r="O663" s="185"/>
      <c r="P663" s="185"/>
      <c r="Q663" s="185"/>
      <c r="R663" s="185"/>
      <c r="S663" s="185"/>
      <c r="T663" s="185"/>
      <c r="U663" s="185"/>
      <c r="V663" s="185"/>
      <c r="W663" s="185"/>
      <c r="X663" s="185"/>
      <c r="Y663" s="185"/>
      <c r="Z663" s="185"/>
    </row>
    <row r="664" spans="1:26" ht="16" thickBot="1" x14ac:dyDescent="0.25">
      <c r="A664" s="185"/>
      <c r="B664" s="185"/>
      <c r="C664" s="185"/>
      <c r="D664" s="185"/>
      <c r="E664" s="185"/>
      <c r="F664" s="185"/>
      <c r="G664" s="185"/>
      <c r="H664" s="185"/>
      <c r="I664" s="185"/>
      <c r="J664" s="185"/>
      <c r="K664" s="185"/>
      <c r="L664" s="185"/>
      <c r="M664" s="185"/>
      <c r="N664" s="185"/>
      <c r="O664" s="185"/>
      <c r="P664" s="185"/>
      <c r="Q664" s="185"/>
      <c r="R664" s="185"/>
      <c r="S664" s="185"/>
      <c r="T664" s="185"/>
      <c r="U664" s="185"/>
      <c r="V664" s="185"/>
      <c r="W664" s="185"/>
      <c r="X664" s="185"/>
      <c r="Y664" s="185"/>
      <c r="Z664" s="185"/>
    </row>
    <row r="665" spans="1:26" ht="16" thickBot="1" x14ac:dyDescent="0.25">
      <c r="A665" s="185"/>
      <c r="B665" s="185"/>
      <c r="C665" s="185"/>
      <c r="D665" s="185"/>
      <c r="E665" s="185"/>
      <c r="F665" s="185"/>
      <c r="G665" s="185"/>
      <c r="H665" s="185"/>
      <c r="I665" s="185"/>
      <c r="J665" s="185"/>
      <c r="K665" s="185"/>
      <c r="L665" s="185"/>
      <c r="M665" s="185"/>
      <c r="N665" s="185"/>
      <c r="O665" s="185"/>
      <c r="P665" s="185"/>
      <c r="Q665" s="185"/>
      <c r="R665" s="185"/>
      <c r="S665" s="185"/>
      <c r="T665" s="185"/>
      <c r="U665" s="185"/>
      <c r="V665" s="185"/>
      <c r="W665" s="185"/>
      <c r="X665" s="185"/>
      <c r="Y665" s="185"/>
      <c r="Z665" s="185"/>
    </row>
    <row r="666" spans="1:26" ht="16" thickBot="1" x14ac:dyDescent="0.25">
      <c r="A666" s="185"/>
      <c r="B666" s="185"/>
      <c r="C666" s="185"/>
      <c r="D666" s="185"/>
      <c r="E666" s="185"/>
      <c r="F666" s="185"/>
      <c r="G666" s="185"/>
      <c r="H666" s="185"/>
      <c r="I666" s="185"/>
      <c r="J666" s="185"/>
      <c r="K666" s="185"/>
      <c r="L666" s="185"/>
      <c r="M666" s="185"/>
      <c r="N666" s="185"/>
      <c r="O666" s="185"/>
      <c r="P666" s="185"/>
      <c r="Q666" s="185"/>
      <c r="R666" s="185"/>
      <c r="S666" s="185"/>
      <c r="T666" s="185"/>
      <c r="U666" s="185"/>
      <c r="V666" s="185"/>
      <c r="W666" s="185"/>
      <c r="X666" s="185"/>
      <c r="Y666" s="185"/>
      <c r="Z666" s="185"/>
    </row>
    <row r="667" spans="1:26" ht="16" thickBot="1" x14ac:dyDescent="0.25">
      <c r="A667" s="185"/>
      <c r="B667" s="185"/>
      <c r="C667" s="185"/>
      <c r="D667" s="185"/>
      <c r="E667" s="185"/>
      <c r="F667" s="185"/>
      <c r="G667" s="185"/>
      <c r="H667" s="185"/>
      <c r="I667" s="185"/>
      <c r="J667" s="185"/>
      <c r="K667" s="185"/>
      <c r="L667" s="185"/>
      <c r="M667" s="185"/>
      <c r="N667" s="185"/>
      <c r="O667" s="185"/>
      <c r="P667" s="185"/>
      <c r="Q667" s="185"/>
      <c r="R667" s="185"/>
      <c r="S667" s="185"/>
      <c r="T667" s="185"/>
      <c r="U667" s="185"/>
      <c r="V667" s="185"/>
      <c r="W667" s="185"/>
      <c r="X667" s="185"/>
      <c r="Y667" s="185"/>
      <c r="Z667" s="185"/>
    </row>
    <row r="668" spans="1:26" ht="16" thickBot="1" x14ac:dyDescent="0.25">
      <c r="A668" s="185"/>
      <c r="B668" s="185"/>
      <c r="C668" s="185"/>
      <c r="D668" s="185"/>
      <c r="E668" s="185"/>
      <c r="F668" s="185"/>
      <c r="G668" s="185"/>
      <c r="H668" s="185"/>
      <c r="I668" s="185"/>
      <c r="J668" s="185"/>
      <c r="K668" s="185"/>
      <c r="L668" s="185"/>
      <c r="M668" s="185"/>
      <c r="N668" s="185"/>
      <c r="O668" s="185"/>
      <c r="P668" s="185"/>
      <c r="Q668" s="185"/>
      <c r="R668" s="185"/>
      <c r="S668" s="185"/>
      <c r="T668" s="185"/>
      <c r="U668" s="185"/>
      <c r="V668" s="185"/>
      <c r="W668" s="185"/>
      <c r="X668" s="185"/>
      <c r="Y668" s="185"/>
      <c r="Z668" s="185"/>
    </row>
    <row r="669" spans="1:26" ht="16" thickBot="1" x14ac:dyDescent="0.25">
      <c r="A669" s="185"/>
      <c r="B669" s="185"/>
      <c r="C669" s="185"/>
      <c r="D669" s="185"/>
      <c r="E669" s="185"/>
      <c r="F669" s="185"/>
      <c r="G669" s="185"/>
      <c r="H669" s="185"/>
      <c r="I669" s="185"/>
      <c r="J669" s="185"/>
      <c r="K669" s="185"/>
      <c r="L669" s="185"/>
      <c r="M669" s="185"/>
      <c r="N669" s="185"/>
      <c r="O669" s="185"/>
      <c r="P669" s="185"/>
      <c r="Q669" s="185"/>
      <c r="R669" s="185"/>
      <c r="S669" s="185"/>
      <c r="T669" s="185"/>
      <c r="U669" s="185"/>
      <c r="V669" s="185"/>
      <c r="W669" s="185"/>
      <c r="X669" s="185"/>
      <c r="Y669" s="185"/>
      <c r="Z669" s="185"/>
    </row>
    <row r="670" spans="1:26" ht="16" thickBot="1" x14ac:dyDescent="0.25">
      <c r="A670" s="185"/>
      <c r="B670" s="185"/>
      <c r="C670" s="185"/>
      <c r="D670" s="185"/>
      <c r="E670" s="185"/>
      <c r="F670" s="185"/>
      <c r="G670" s="185"/>
      <c r="H670" s="185"/>
      <c r="I670" s="185"/>
      <c r="J670" s="185"/>
      <c r="K670" s="185"/>
      <c r="L670" s="185"/>
      <c r="M670" s="185"/>
      <c r="N670" s="185"/>
      <c r="O670" s="185"/>
      <c r="P670" s="185"/>
      <c r="Q670" s="185"/>
      <c r="R670" s="185"/>
      <c r="S670" s="185"/>
      <c r="T670" s="185"/>
      <c r="U670" s="185"/>
      <c r="V670" s="185"/>
      <c r="W670" s="185"/>
      <c r="X670" s="185"/>
      <c r="Y670" s="185"/>
      <c r="Z670" s="185"/>
    </row>
    <row r="671" spans="1:26" ht="16" thickBot="1" x14ac:dyDescent="0.25">
      <c r="A671" s="185"/>
      <c r="B671" s="185"/>
      <c r="C671" s="185"/>
      <c r="D671" s="185"/>
      <c r="E671" s="185"/>
      <c r="F671" s="185"/>
      <c r="G671" s="185"/>
      <c r="H671" s="185"/>
      <c r="I671" s="185"/>
      <c r="J671" s="185"/>
      <c r="K671" s="185"/>
      <c r="L671" s="185"/>
      <c r="M671" s="185"/>
      <c r="N671" s="185"/>
      <c r="O671" s="185"/>
      <c r="P671" s="185"/>
      <c r="Q671" s="185"/>
      <c r="R671" s="185"/>
      <c r="S671" s="185"/>
      <c r="T671" s="185"/>
      <c r="U671" s="185"/>
      <c r="V671" s="185"/>
      <c r="W671" s="185"/>
      <c r="X671" s="185"/>
      <c r="Y671" s="185"/>
      <c r="Z671" s="185"/>
    </row>
    <row r="672" spans="1:26" ht="16" thickBot="1" x14ac:dyDescent="0.25">
      <c r="A672" s="185"/>
      <c r="B672" s="185"/>
      <c r="C672" s="185"/>
      <c r="D672" s="185"/>
      <c r="E672" s="185"/>
      <c r="F672" s="185"/>
      <c r="G672" s="185"/>
      <c r="H672" s="185"/>
      <c r="I672" s="185"/>
      <c r="J672" s="185"/>
      <c r="K672" s="185"/>
      <c r="L672" s="185"/>
      <c r="M672" s="185"/>
      <c r="N672" s="185"/>
      <c r="O672" s="185"/>
      <c r="P672" s="185"/>
      <c r="Q672" s="185"/>
      <c r="R672" s="185"/>
      <c r="S672" s="185"/>
      <c r="T672" s="185"/>
      <c r="U672" s="185"/>
      <c r="V672" s="185"/>
      <c r="W672" s="185"/>
      <c r="X672" s="185"/>
      <c r="Y672" s="185"/>
      <c r="Z672" s="185"/>
    </row>
    <row r="673" spans="1:26" ht="16" thickBot="1" x14ac:dyDescent="0.25">
      <c r="A673" s="185"/>
      <c r="B673" s="185"/>
      <c r="C673" s="185"/>
      <c r="D673" s="185"/>
      <c r="E673" s="185"/>
      <c r="F673" s="185"/>
      <c r="G673" s="185"/>
      <c r="H673" s="185"/>
      <c r="I673" s="185"/>
      <c r="J673" s="185"/>
      <c r="K673" s="185"/>
      <c r="L673" s="185"/>
      <c r="M673" s="185"/>
      <c r="N673" s="185"/>
      <c r="O673" s="185"/>
      <c r="P673" s="185"/>
      <c r="Q673" s="185"/>
      <c r="R673" s="185"/>
      <c r="S673" s="185"/>
      <c r="T673" s="185"/>
      <c r="U673" s="185"/>
      <c r="V673" s="185"/>
      <c r="W673" s="185"/>
      <c r="X673" s="185"/>
      <c r="Y673" s="185"/>
      <c r="Z673" s="185"/>
    </row>
    <row r="674" spans="1:26" ht="16" thickBot="1" x14ac:dyDescent="0.25">
      <c r="A674" s="185"/>
      <c r="B674" s="185"/>
      <c r="C674" s="185"/>
      <c r="D674" s="185"/>
      <c r="E674" s="185"/>
      <c r="F674" s="185"/>
      <c r="G674" s="185"/>
      <c r="H674" s="185"/>
      <c r="I674" s="185"/>
      <c r="J674" s="185"/>
      <c r="K674" s="185"/>
      <c r="L674" s="185"/>
      <c r="M674" s="185"/>
      <c r="N674" s="185"/>
      <c r="O674" s="185"/>
      <c r="P674" s="185"/>
      <c r="Q674" s="185"/>
      <c r="R674" s="185"/>
      <c r="S674" s="185"/>
      <c r="T674" s="185"/>
      <c r="U674" s="185"/>
      <c r="V674" s="185"/>
      <c r="W674" s="185"/>
      <c r="X674" s="185"/>
      <c r="Y674" s="185"/>
      <c r="Z674" s="185"/>
    </row>
    <row r="675" spans="1:26" ht="16" thickBot="1" x14ac:dyDescent="0.25">
      <c r="A675" s="185"/>
      <c r="B675" s="185"/>
      <c r="C675" s="185"/>
      <c r="D675" s="185"/>
      <c r="E675" s="185"/>
      <c r="F675" s="185"/>
      <c r="G675" s="185"/>
      <c r="H675" s="185"/>
      <c r="I675" s="185"/>
      <c r="J675" s="185"/>
      <c r="K675" s="185"/>
      <c r="L675" s="185"/>
      <c r="M675" s="185"/>
      <c r="N675" s="185"/>
      <c r="O675" s="185"/>
      <c r="P675" s="185"/>
      <c r="Q675" s="185"/>
      <c r="R675" s="185"/>
      <c r="S675" s="185"/>
      <c r="T675" s="185"/>
      <c r="U675" s="185"/>
      <c r="V675" s="185"/>
      <c r="W675" s="185"/>
      <c r="X675" s="185"/>
      <c r="Y675" s="185"/>
      <c r="Z675" s="185"/>
    </row>
    <row r="676" spans="1:26" ht="16" thickBot="1" x14ac:dyDescent="0.25">
      <c r="A676" s="185"/>
      <c r="B676" s="185"/>
      <c r="C676" s="185"/>
      <c r="D676" s="185"/>
      <c r="E676" s="185"/>
      <c r="F676" s="185"/>
      <c r="G676" s="185"/>
      <c r="H676" s="185"/>
      <c r="I676" s="185"/>
      <c r="J676" s="185"/>
      <c r="K676" s="185"/>
      <c r="L676" s="185"/>
      <c r="M676" s="185"/>
      <c r="N676" s="185"/>
      <c r="O676" s="185"/>
      <c r="P676" s="185"/>
      <c r="Q676" s="185"/>
      <c r="R676" s="185"/>
      <c r="S676" s="185"/>
      <c r="T676" s="185"/>
      <c r="U676" s="185"/>
      <c r="V676" s="185"/>
      <c r="W676" s="185"/>
      <c r="X676" s="185"/>
      <c r="Y676" s="185"/>
      <c r="Z676" s="185"/>
    </row>
    <row r="677" spans="1:26" ht="16" thickBot="1" x14ac:dyDescent="0.25">
      <c r="A677" s="185"/>
      <c r="B677" s="185"/>
      <c r="C677" s="185"/>
      <c r="D677" s="185"/>
      <c r="E677" s="185"/>
      <c r="F677" s="185"/>
      <c r="G677" s="185"/>
      <c r="H677" s="185"/>
      <c r="I677" s="185"/>
      <c r="J677" s="185"/>
      <c r="K677" s="185"/>
      <c r="L677" s="185"/>
      <c r="M677" s="185"/>
      <c r="N677" s="185"/>
      <c r="O677" s="185"/>
      <c r="P677" s="185"/>
      <c r="Q677" s="185"/>
      <c r="R677" s="185"/>
      <c r="S677" s="185"/>
      <c r="T677" s="185"/>
      <c r="U677" s="185"/>
      <c r="V677" s="185"/>
      <c r="W677" s="185"/>
      <c r="X677" s="185"/>
      <c r="Y677" s="185"/>
      <c r="Z677" s="185"/>
    </row>
    <row r="678" spans="1:26" ht="16" thickBot="1" x14ac:dyDescent="0.25">
      <c r="A678" s="185"/>
      <c r="B678" s="185"/>
      <c r="C678" s="185"/>
      <c r="D678" s="185"/>
      <c r="E678" s="185"/>
      <c r="F678" s="185"/>
      <c r="G678" s="185"/>
      <c r="H678" s="185"/>
      <c r="I678" s="185"/>
      <c r="J678" s="185"/>
      <c r="K678" s="185"/>
      <c r="L678" s="185"/>
      <c r="M678" s="185"/>
      <c r="N678" s="185"/>
      <c r="O678" s="185"/>
      <c r="P678" s="185"/>
      <c r="Q678" s="185"/>
      <c r="R678" s="185"/>
      <c r="S678" s="185"/>
      <c r="T678" s="185"/>
      <c r="U678" s="185"/>
      <c r="V678" s="185"/>
      <c r="W678" s="185"/>
      <c r="X678" s="185"/>
      <c r="Y678" s="185"/>
      <c r="Z678" s="185"/>
    </row>
    <row r="679" spans="1:26" ht="16" thickBot="1" x14ac:dyDescent="0.25">
      <c r="A679" s="185"/>
      <c r="B679" s="185"/>
      <c r="C679" s="185"/>
      <c r="D679" s="185"/>
      <c r="E679" s="185"/>
      <c r="F679" s="185"/>
      <c r="G679" s="185"/>
      <c r="H679" s="185"/>
      <c r="I679" s="185"/>
      <c r="J679" s="185"/>
      <c r="K679" s="185"/>
      <c r="L679" s="185"/>
      <c r="M679" s="185"/>
      <c r="N679" s="185"/>
      <c r="O679" s="185"/>
      <c r="P679" s="185"/>
      <c r="Q679" s="185"/>
      <c r="R679" s="185"/>
      <c r="S679" s="185"/>
      <c r="T679" s="185"/>
      <c r="U679" s="185"/>
      <c r="V679" s="185"/>
      <c r="W679" s="185"/>
      <c r="X679" s="185"/>
      <c r="Y679" s="185"/>
      <c r="Z679" s="185"/>
    </row>
    <row r="680" spans="1:26" ht="16" thickBot="1" x14ac:dyDescent="0.25">
      <c r="A680" s="185"/>
      <c r="B680" s="185"/>
      <c r="C680" s="185"/>
      <c r="D680" s="185"/>
      <c r="E680" s="185"/>
      <c r="F680" s="185"/>
      <c r="G680" s="185"/>
      <c r="H680" s="185"/>
      <c r="I680" s="185"/>
      <c r="J680" s="185"/>
      <c r="K680" s="185"/>
      <c r="L680" s="185"/>
      <c r="M680" s="185"/>
      <c r="N680" s="185"/>
      <c r="O680" s="185"/>
      <c r="P680" s="185"/>
      <c r="Q680" s="185"/>
      <c r="R680" s="185"/>
      <c r="S680" s="185"/>
      <c r="T680" s="185"/>
      <c r="U680" s="185"/>
      <c r="V680" s="185"/>
      <c r="W680" s="185"/>
      <c r="X680" s="185"/>
      <c r="Y680" s="185"/>
      <c r="Z680" s="185"/>
    </row>
    <row r="681" spans="1:26" ht="16" thickBot="1" x14ac:dyDescent="0.25">
      <c r="A681" s="185"/>
      <c r="B681" s="185"/>
      <c r="C681" s="185"/>
      <c r="D681" s="185"/>
      <c r="E681" s="185"/>
      <c r="F681" s="185"/>
      <c r="G681" s="185"/>
      <c r="H681" s="185"/>
      <c r="I681" s="185"/>
      <c r="J681" s="185"/>
      <c r="K681" s="185"/>
      <c r="L681" s="185"/>
      <c r="M681" s="185"/>
      <c r="N681" s="185"/>
      <c r="O681" s="185"/>
      <c r="P681" s="185"/>
      <c r="Q681" s="185"/>
      <c r="R681" s="185"/>
      <c r="S681" s="185"/>
      <c r="T681" s="185"/>
      <c r="U681" s="185"/>
      <c r="V681" s="185"/>
      <c r="W681" s="185"/>
      <c r="X681" s="185"/>
      <c r="Y681" s="185"/>
      <c r="Z681" s="185"/>
    </row>
    <row r="682" spans="1:26" ht="16" thickBot="1" x14ac:dyDescent="0.25">
      <c r="A682" s="185"/>
      <c r="B682" s="185"/>
      <c r="C682" s="185"/>
      <c r="D682" s="185"/>
      <c r="E682" s="185"/>
      <c r="F682" s="185"/>
      <c r="G682" s="185"/>
      <c r="H682" s="185"/>
      <c r="I682" s="185"/>
      <c r="J682" s="185"/>
      <c r="K682" s="185"/>
      <c r="L682" s="185"/>
      <c r="M682" s="185"/>
      <c r="N682" s="185"/>
      <c r="O682" s="185"/>
      <c r="P682" s="185"/>
      <c r="Q682" s="185"/>
      <c r="R682" s="185"/>
      <c r="S682" s="185"/>
      <c r="T682" s="185"/>
      <c r="U682" s="185"/>
      <c r="V682" s="185"/>
      <c r="W682" s="185"/>
      <c r="X682" s="185"/>
      <c r="Y682" s="185"/>
      <c r="Z682" s="185"/>
    </row>
    <row r="683" spans="1:26" ht="16" thickBot="1" x14ac:dyDescent="0.25">
      <c r="A683" s="185"/>
      <c r="B683" s="185"/>
      <c r="C683" s="185"/>
      <c r="D683" s="185"/>
      <c r="E683" s="185"/>
      <c r="F683" s="185"/>
      <c r="G683" s="185"/>
      <c r="H683" s="185"/>
      <c r="I683" s="185"/>
      <c r="J683" s="185"/>
      <c r="K683" s="185"/>
      <c r="L683" s="185"/>
      <c r="M683" s="185"/>
      <c r="N683" s="185"/>
      <c r="O683" s="185"/>
      <c r="P683" s="185"/>
      <c r="Q683" s="185"/>
      <c r="R683" s="185"/>
      <c r="S683" s="185"/>
      <c r="T683" s="185"/>
      <c r="U683" s="185"/>
      <c r="V683" s="185"/>
      <c r="W683" s="185"/>
      <c r="X683" s="185"/>
      <c r="Y683" s="185"/>
      <c r="Z683" s="185"/>
    </row>
    <row r="684" spans="1:26" ht="16" thickBot="1" x14ac:dyDescent="0.25">
      <c r="A684" s="185"/>
      <c r="B684" s="185"/>
      <c r="C684" s="185"/>
      <c r="D684" s="185"/>
      <c r="E684" s="185"/>
      <c r="F684" s="185"/>
      <c r="G684" s="185"/>
      <c r="H684" s="185"/>
      <c r="I684" s="185"/>
      <c r="J684" s="185"/>
      <c r="K684" s="185"/>
      <c r="L684" s="185"/>
      <c r="M684" s="185"/>
      <c r="N684" s="185"/>
      <c r="O684" s="185"/>
      <c r="P684" s="185"/>
      <c r="Q684" s="185"/>
      <c r="R684" s="185"/>
      <c r="S684" s="185"/>
      <c r="T684" s="185"/>
      <c r="U684" s="185"/>
      <c r="V684" s="185"/>
      <c r="W684" s="185"/>
      <c r="X684" s="185"/>
      <c r="Y684" s="185"/>
      <c r="Z684" s="185"/>
    </row>
    <row r="685" spans="1:26" ht="16" thickBot="1" x14ac:dyDescent="0.25">
      <c r="A685" s="185"/>
      <c r="B685" s="185"/>
      <c r="C685" s="185"/>
      <c r="D685" s="185"/>
      <c r="E685" s="185"/>
      <c r="F685" s="185"/>
      <c r="G685" s="185"/>
      <c r="H685" s="185"/>
      <c r="I685" s="185"/>
      <c r="J685" s="185"/>
      <c r="K685" s="185"/>
      <c r="L685" s="185"/>
      <c r="M685" s="185"/>
      <c r="N685" s="185"/>
      <c r="O685" s="185"/>
      <c r="P685" s="185"/>
      <c r="Q685" s="185"/>
      <c r="R685" s="185"/>
      <c r="S685" s="185"/>
      <c r="T685" s="185"/>
      <c r="U685" s="185"/>
      <c r="V685" s="185"/>
      <c r="W685" s="185"/>
      <c r="X685" s="185"/>
      <c r="Y685" s="185"/>
      <c r="Z685" s="185"/>
    </row>
    <row r="686" spans="1:26" ht="16" thickBot="1" x14ac:dyDescent="0.25">
      <c r="A686" s="185"/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5"/>
      <c r="O686" s="185"/>
      <c r="P686" s="185"/>
      <c r="Q686" s="185"/>
      <c r="R686" s="185"/>
      <c r="S686" s="185"/>
      <c r="T686" s="185"/>
      <c r="U686" s="185"/>
      <c r="V686" s="185"/>
      <c r="W686" s="185"/>
      <c r="X686" s="185"/>
      <c r="Y686" s="185"/>
      <c r="Z686" s="185"/>
    </row>
    <row r="687" spans="1:26" ht="16" thickBot="1" x14ac:dyDescent="0.25">
      <c r="A687" s="185"/>
      <c r="B687" s="185"/>
      <c r="C687" s="185"/>
      <c r="D687" s="185"/>
      <c r="E687" s="185"/>
      <c r="F687" s="185"/>
      <c r="G687" s="185"/>
      <c r="H687" s="185"/>
      <c r="I687" s="185"/>
      <c r="J687" s="185"/>
      <c r="K687" s="185"/>
      <c r="L687" s="185"/>
      <c r="M687" s="185"/>
      <c r="N687" s="185"/>
      <c r="O687" s="185"/>
      <c r="P687" s="185"/>
      <c r="Q687" s="185"/>
      <c r="R687" s="185"/>
      <c r="S687" s="185"/>
      <c r="T687" s="185"/>
      <c r="U687" s="185"/>
      <c r="V687" s="185"/>
      <c r="W687" s="185"/>
      <c r="X687" s="185"/>
      <c r="Y687" s="185"/>
      <c r="Z687" s="185"/>
    </row>
    <row r="688" spans="1:26" ht="16" thickBot="1" x14ac:dyDescent="0.25">
      <c r="A688" s="185"/>
      <c r="B688" s="185"/>
      <c r="C688" s="185"/>
      <c r="D688" s="185"/>
      <c r="E688" s="185"/>
      <c r="F688" s="185"/>
      <c r="G688" s="185"/>
      <c r="H688" s="185"/>
      <c r="I688" s="185"/>
      <c r="J688" s="185"/>
      <c r="K688" s="185"/>
      <c r="L688" s="185"/>
      <c r="M688" s="185"/>
      <c r="N688" s="185"/>
      <c r="O688" s="185"/>
      <c r="P688" s="185"/>
      <c r="Q688" s="185"/>
      <c r="R688" s="185"/>
      <c r="S688" s="185"/>
      <c r="T688" s="185"/>
      <c r="U688" s="185"/>
      <c r="V688" s="185"/>
      <c r="W688" s="185"/>
      <c r="X688" s="185"/>
      <c r="Y688" s="185"/>
      <c r="Z688" s="185"/>
    </row>
    <row r="689" spans="1:26" ht="16" thickBot="1" x14ac:dyDescent="0.25">
      <c r="A689" s="185"/>
      <c r="B689" s="185"/>
      <c r="C689" s="185"/>
      <c r="D689" s="185"/>
      <c r="E689" s="185"/>
      <c r="F689" s="185"/>
      <c r="G689" s="185"/>
      <c r="H689" s="185"/>
      <c r="I689" s="185"/>
      <c r="J689" s="185"/>
      <c r="K689" s="185"/>
      <c r="L689" s="185"/>
      <c r="M689" s="185"/>
      <c r="N689" s="185"/>
      <c r="O689" s="185"/>
      <c r="P689" s="185"/>
      <c r="Q689" s="185"/>
      <c r="R689" s="185"/>
      <c r="S689" s="185"/>
      <c r="T689" s="185"/>
      <c r="U689" s="185"/>
      <c r="V689" s="185"/>
      <c r="W689" s="185"/>
      <c r="X689" s="185"/>
      <c r="Y689" s="185"/>
      <c r="Z689" s="185"/>
    </row>
    <row r="690" spans="1:26" ht="16" thickBot="1" x14ac:dyDescent="0.25">
      <c r="A690" s="185"/>
      <c r="B690" s="185"/>
      <c r="C690" s="185"/>
      <c r="D690" s="185"/>
      <c r="E690" s="185"/>
      <c r="F690" s="185"/>
      <c r="G690" s="185"/>
      <c r="H690" s="185"/>
      <c r="I690" s="185"/>
      <c r="J690" s="185"/>
      <c r="K690" s="185"/>
      <c r="L690" s="185"/>
      <c r="M690" s="185"/>
      <c r="N690" s="185"/>
      <c r="O690" s="185"/>
      <c r="P690" s="185"/>
      <c r="Q690" s="185"/>
      <c r="R690" s="185"/>
      <c r="S690" s="185"/>
      <c r="T690" s="185"/>
      <c r="U690" s="185"/>
      <c r="V690" s="185"/>
      <c r="W690" s="185"/>
      <c r="X690" s="185"/>
      <c r="Y690" s="185"/>
      <c r="Z690" s="185"/>
    </row>
    <row r="691" spans="1:26" ht="16" thickBot="1" x14ac:dyDescent="0.25">
      <c r="A691" s="185"/>
      <c r="B691" s="185"/>
      <c r="C691" s="185"/>
      <c r="D691" s="185"/>
      <c r="E691" s="185"/>
      <c r="F691" s="185"/>
      <c r="G691" s="185"/>
      <c r="H691" s="185"/>
      <c r="I691" s="185"/>
      <c r="J691" s="185"/>
      <c r="K691" s="185"/>
      <c r="L691" s="185"/>
      <c r="M691" s="185"/>
      <c r="N691" s="185"/>
      <c r="O691" s="185"/>
      <c r="P691" s="185"/>
      <c r="Q691" s="185"/>
      <c r="R691" s="185"/>
      <c r="S691" s="185"/>
      <c r="T691" s="185"/>
      <c r="U691" s="185"/>
      <c r="V691" s="185"/>
      <c r="W691" s="185"/>
      <c r="X691" s="185"/>
      <c r="Y691" s="185"/>
      <c r="Z691" s="185"/>
    </row>
    <row r="692" spans="1:26" ht="16" thickBot="1" x14ac:dyDescent="0.25">
      <c r="A692" s="185"/>
      <c r="B692" s="185"/>
      <c r="C692" s="185"/>
      <c r="D692" s="185"/>
      <c r="E692" s="185"/>
      <c r="F692" s="185"/>
      <c r="G692" s="185"/>
      <c r="H692" s="185"/>
      <c r="I692" s="185"/>
      <c r="J692" s="185"/>
      <c r="K692" s="185"/>
      <c r="L692" s="185"/>
      <c r="M692" s="185"/>
      <c r="N692" s="185"/>
      <c r="O692" s="185"/>
      <c r="P692" s="185"/>
      <c r="Q692" s="185"/>
      <c r="R692" s="185"/>
      <c r="S692" s="185"/>
      <c r="T692" s="185"/>
      <c r="U692" s="185"/>
      <c r="V692" s="185"/>
      <c r="W692" s="185"/>
      <c r="X692" s="185"/>
      <c r="Y692" s="185"/>
      <c r="Z692" s="185"/>
    </row>
    <row r="693" spans="1:26" ht="16" thickBot="1" x14ac:dyDescent="0.25">
      <c r="A693" s="185"/>
      <c r="B693" s="185"/>
      <c r="C693" s="185"/>
      <c r="D693" s="185"/>
      <c r="E693" s="185"/>
      <c r="F693" s="185"/>
      <c r="G693" s="185"/>
      <c r="H693" s="185"/>
      <c r="I693" s="185"/>
      <c r="J693" s="185"/>
      <c r="K693" s="185"/>
      <c r="L693" s="185"/>
      <c r="M693" s="185"/>
      <c r="N693" s="185"/>
      <c r="O693" s="185"/>
      <c r="P693" s="185"/>
      <c r="Q693" s="185"/>
      <c r="R693" s="185"/>
      <c r="S693" s="185"/>
      <c r="T693" s="185"/>
      <c r="U693" s="185"/>
      <c r="V693" s="185"/>
      <c r="W693" s="185"/>
      <c r="X693" s="185"/>
      <c r="Y693" s="185"/>
      <c r="Z693" s="185"/>
    </row>
    <row r="694" spans="1:26" ht="16" thickBot="1" x14ac:dyDescent="0.25">
      <c r="A694" s="185"/>
      <c r="B694" s="185"/>
      <c r="C694" s="185"/>
      <c r="D694" s="185"/>
      <c r="E694" s="185"/>
      <c r="F694" s="185"/>
      <c r="G694" s="185"/>
      <c r="H694" s="185"/>
      <c r="I694" s="185"/>
      <c r="J694" s="185"/>
      <c r="K694" s="185"/>
      <c r="L694" s="185"/>
      <c r="M694" s="185"/>
      <c r="N694" s="185"/>
      <c r="O694" s="185"/>
      <c r="P694" s="185"/>
      <c r="Q694" s="185"/>
      <c r="R694" s="185"/>
      <c r="S694" s="185"/>
      <c r="T694" s="185"/>
      <c r="U694" s="185"/>
      <c r="V694" s="185"/>
      <c r="W694" s="185"/>
      <c r="X694" s="185"/>
      <c r="Y694" s="185"/>
      <c r="Z694" s="185"/>
    </row>
    <row r="695" spans="1:26" ht="16" thickBot="1" x14ac:dyDescent="0.25">
      <c r="A695" s="185"/>
      <c r="B695" s="185"/>
      <c r="C695" s="185"/>
      <c r="D695" s="185"/>
      <c r="E695" s="185"/>
      <c r="F695" s="185"/>
      <c r="G695" s="185"/>
      <c r="H695" s="185"/>
      <c r="I695" s="185"/>
      <c r="J695" s="185"/>
      <c r="K695" s="185"/>
      <c r="L695" s="185"/>
      <c r="M695" s="185"/>
      <c r="N695" s="185"/>
      <c r="O695" s="185"/>
      <c r="P695" s="185"/>
      <c r="Q695" s="185"/>
      <c r="R695" s="185"/>
      <c r="S695" s="185"/>
      <c r="T695" s="185"/>
      <c r="U695" s="185"/>
      <c r="V695" s="185"/>
      <c r="W695" s="185"/>
      <c r="X695" s="185"/>
      <c r="Y695" s="185"/>
      <c r="Z695" s="185"/>
    </row>
    <row r="696" spans="1:26" ht="16" thickBot="1" x14ac:dyDescent="0.25">
      <c r="A696" s="185"/>
      <c r="B696" s="185"/>
      <c r="C696" s="185"/>
      <c r="D696" s="185"/>
      <c r="E696" s="185"/>
      <c r="F696" s="185"/>
      <c r="G696" s="185"/>
      <c r="H696" s="185"/>
      <c r="I696" s="185"/>
      <c r="J696" s="185"/>
      <c r="K696" s="185"/>
      <c r="L696" s="185"/>
      <c r="M696" s="185"/>
      <c r="N696" s="185"/>
      <c r="O696" s="185"/>
      <c r="P696" s="185"/>
      <c r="Q696" s="185"/>
      <c r="R696" s="185"/>
      <c r="S696" s="185"/>
      <c r="T696" s="185"/>
      <c r="U696" s="185"/>
      <c r="V696" s="185"/>
      <c r="W696" s="185"/>
      <c r="X696" s="185"/>
      <c r="Y696" s="185"/>
      <c r="Z696" s="185"/>
    </row>
    <row r="697" spans="1:26" ht="16" thickBot="1" x14ac:dyDescent="0.25">
      <c r="A697" s="185"/>
      <c r="B697" s="185"/>
      <c r="C697" s="185"/>
      <c r="D697" s="185"/>
      <c r="E697" s="185"/>
      <c r="F697" s="185"/>
      <c r="G697" s="185"/>
      <c r="H697" s="185"/>
      <c r="I697" s="185"/>
      <c r="J697" s="185"/>
      <c r="K697" s="185"/>
      <c r="L697" s="185"/>
      <c r="M697" s="185"/>
      <c r="N697" s="185"/>
      <c r="O697" s="185"/>
      <c r="P697" s="185"/>
      <c r="Q697" s="185"/>
      <c r="R697" s="185"/>
      <c r="S697" s="185"/>
      <c r="T697" s="185"/>
      <c r="U697" s="185"/>
      <c r="V697" s="185"/>
      <c r="W697" s="185"/>
      <c r="X697" s="185"/>
      <c r="Y697" s="185"/>
      <c r="Z697" s="185"/>
    </row>
    <row r="698" spans="1:26" ht="16" thickBot="1" x14ac:dyDescent="0.25">
      <c r="A698" s="185"/>
      <c r="B698" s="185"/>
      <c r="C698" s="185"/>
      <c r="D698" s="185"/>
      <c r="E698" s="185"/>
      <c r="F698" s="185"/>
      <c r="G698" s="185"/>
      <c r="H698" s="185"/>
      <c r="I698" s="185"/>
      <c r="J698" s="185"/>
      <c r="K698" s="185"/>
      <c r="L698" s="185"/>
      <c r="M698" s="185"/>
      <c r="N698" s="185"/>
      <c r="O698" s="185"/>
      <c r="P698" s="185"/>
      <c r="Q698" s="185"/>
      <c r="R698" s="185"/>
      <c r="S698" s="185"/>
      <c r="T698" s="185"/>
      <c r="U698" s="185"/>
      <c r="V698" s="185"/>
      <c r="W698" s="185"/>
      <c r="X698" s="185"/>
      <c r="Y698" s="185"/>
      <c r="Z698" s="185"/>
    </row>
    <row r="699" spans="1:26" ht="16" thickBot="1" x14ac:dyDescent="0.25">
      <c r="A699" s="185"/>
      <c r="B699" s="185"/>
      <c r="C699" s="185"/>
      <c r="D699" s="185"/>
      <c r="E699" s="185"/>
      <c r="F699" s="185"/>
      <c r="G699" s="185"/>
      <c r="H699" s="185"/>
      <c r="I699" s="185"/>
      <c r="J699" s="185"/>
      <c r="K699" s="185"/>
      <c r="L699" s="185"/>
      <c r="M699" s="185"/>
      <c r="N699" s="185"/>
      <c r="O699" s="185"/>
      <c r="P699" s="185"/>
      <c r="Q699" s="185"/>
      <c r="R699" s="185"/>
      <c r="S699" s="185"/>
      <c r="T699" s="185"/>
      <c r="U699" s="185"/>
      <c r="V699" s="185"/>
      <c r="W699" s="185"/>
      <c r="X699" s="185"/>
      <c r="Y699" s="185"/>
      <c r="Z699" s="185"/>
    </row>
    <row r="700" spans="1:26" ht="16" thickBot="1" x14ac:dyDescent="0.25">
      <c r="A700" s="185"/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5"/>
      <c r="O700" s="185"/>
      <c r="P700" s="185"/>
      <c r="Q700" s="185"/>
      <c r="R700" s="185"/>
      <c r="S700" s="185"/>
      <c r="T700" s="185"/>
      <c r="U700" s="185"/>
      <c r="V700" s="185"/>
      <c r="W700" s="185"/>
      <c r="X700" s="185"/>
      <c r="Y700" s="185"/>
      <c r="Z700" s="185"/>
    </row>
    <row r="701" spans="1:26" ht="16" thickBot="1" x14ac:dyDescent="0.25">
      <c r="A701" s="185"/>
      <c r="B701" s="185"/>
      <c r="C701" s="185"/>
      <c r="D701" s="185"/>
      <c r="E701" s="185"/>
      <c r="F701" s="185"/>
      <c r="G701" s="185"/>
      <c r="H701" s="185"/>
      <c r="I701" s="185"/>
      <c r="J701" s="185"/>
      <c r="K701" s="185"/>
      <c r="L701" s="185"/>
      <c r="M701" s="185"/>
      <c r="N701" s="185"/>
      <c r="O701" s="185"/>
      <c r="P701" s="185"/>
      <c r="Q701" s="185"/>
      <c r="R701" s="185"/>
      <c r="S701" s="185"/>
      <c r="T701" s="185"/>
      <c r="U701" s="185"/>
      <c r="V701" s="185"/>
      <c r="W701" s="185"/>
      <c r="X701" s="185"/>
      <c r="Y701" s="185"/>
      <c r="Z701" s="185"/>
    </row>
    <row r="702" spans="1:26" ht="16" thickBot="1" x14ac:dyDescent="0.25">
      <c r="A702" s="185"/>
      <c r="B702" s="185"/>
      <c r="C702" s="185"/>
      <c r="D702" s="185"/>
      <c r="E702" s="185"/>
      <c r="F702" s="185"/>
      <c r="G702" s="185"/>
      <c r="H702" s="185"/>
      <c r="I702" s="185"/>
      <c r="J702" s="185"/>
      <c r="K702" s="185"/>
      <c r="L702" s="185"/>
      <c r="M702" s="185"/>
      <c r="N702" s="185"/>
      <c r="O702" s="185"/>
      <c r="P702" s="185"/>
      <c r="Q702" s="185"/>
      <c r="R702" s="185"/>
      <c r="S702" s="185"/>
      <c r="T702" s="185"/>
      <c r="U702" s="185"/>
      <c r="V702" s="185"/>
      <c r="W702" s="185"/>
      <c r="X702" s="185"/>
      <c r="Y702" s="185"/>
      <c r="Z702" s="185"/>
    </row>
    <row r="703" spans="1:26" ht="16" thickBot="1" x14ac:dyDescent="0.25">
      <c r="A703" s="185"/>
      <c r="B703" s="185"/>
      <c r="C703" s="185"/>
      <c r="D703" s="185"/>
      <c r="E703" s="185"/>
      <c r="F703" s="185"/>
      <c r="G703" s="185"/>
      <c r="H703" s="185"/>
      <c r="I703" s="185"/>
      <c r="J703" s="185"/>
      <c r="K703" s="185"/>
      <c r="L703" s="185"/>
      <c r="M703" s="185"/>
      <c r="N703" s="185"/>
      <c r="O703" s="185"/>
      <c r="P703" s="185"/>
      <c r="Q703" s="185"/>
      <c r="R703" s="185"/>
      <c r="S703" s="185"/>
      <c r="T703" s="185"/>
      <c r="U703" s="185"/>
      <c r="V703" s="185"/>
      <c r="W703" s="185"/>
      <c r="X703" s="185"/>
      <c r="Y703" s="185"/>
      <c r="Z703" s="185"/>
    </row>
    <row r="704" spans="1:26" ht="16" thickBot="1" x14ac:dyDescent="0.25">
      <c r="A704" s="185"/>
      <c r="B704" s="185"/>
      <c r="C704" s="185"/>
      <c r="D704" s="185"/>
      <c r="E704" s="185"/>
      <c r="F704" s="185"/>
      <c r="G704" s="185"/>
      <c r="H704" s="185"/>
      <c r="I704" s="185"/>
      <c r="J704" s="185"/>
      <c r="K704" s="185"/>
      <c r="L704" s="185"/>
      <c r="M704" s="185"/>
      <c r="N704" s="185"/>
      <c r="O704" s="185"/>
      <c r="P704" s="185"/>
      <c r="Q704" s="185"/>
      <c r="R704" s="185"/>
      <c r="S704" s="185"/>
      <c r="T704" s="185"/>
      <c r="U704" s="185"/>
      <c r="V704" s="185"/>
      <c r="W704" s="185"/>
      <c r="X704" s="185"/>
      <c r="Y704" s="185"/>
      <c r="Z704" s="185"/>
    </row>
    <row r="705" spans="1:26" ht="16" thickBot="1" x14ac:dyDescent="0.25">
      <c r="A705" s="185"/>
      <c r="B705" s="185"/>
      <c r="C705" s="185"/>
      <c r="D705" s="185"/>
      <c r="E705" s="185"/>
      <c r="F705" s="185"/>
      <c r="G705" s="185"/>
      <c r="H705" s="185"/>
      <c r="I705" s="185"/>
      <c r="J705" s="185"/>
      <c r="K705" s="185"/>
      <c r="L705" s="185"/>
      <c r="M705" s="185"/>
      <c r="N705" s="185"/>
      <c r="O705" s="185"/>
      <c r="P705" s="185"/>
      <c r="Q705" s="185"/>
      <c r="R705" s="185"/>
      <c r="S705" s="185"/>
      <c r="T705" s="185"/>
      <c r="U705" s="185"/>
      <c r="V705" s="185"/>
      <c r="W705" s="185"/>
      <c r="X705" s="185"/>
      <c r="Y705" s="185"/>
      <c r="Z705" s="185"/>
    </row>
    <row r="706" spans="1:26" ht="16" thickBot="1" x14ac:dyDescent="0.25">
      <c r="A706" s="185"/>
      <c r="B706" s="185"/>
      <c r="C706" s="185"/>
      <c r="D706" s="185"/>
      <c r="E706" s="185"/>
      <c r="F706" s="185"/>
      <c r="G706" s="185"/>
      <c r="H706" s="185"/>
      <c r="I706" s="185"/>
      <c r="J706" s="185"/>
      <c r="K706" s="185"/>
      <c r="L706" s="185"/>
      <c r="M706" s="185"/>
      <c r="N706" s="185"/>
      <c r="O706" s="185"/>
      <c r="P706" s="185"/>
      <c r="Q706" s="185"/>
      <c r="R706" s="185"/>
      <c r="S706" s="185"/>
      <c r="T706" s="185"/>
      <c r="U706" s="185"/>
      <c r="V706" s="185"/>
      <c r="W706" s="185"/>
      <c r="X706" s="185"/>
      <c r="Y706" s="185"/>
      <c r="Z706" s="185"/>
    </row>
    <row r="707" spans="1:26" ht="16" thickBot="1" x14ac:dyDescent="0.25">
      <c r="A707" s="185"/>
      <c r="B707" s="185"/>
      <c r="C707" s="185"/>
      <c r="D707" s="185"/>
      <c r="E707" s="185"/>
      <c r="F707" s="185"/>
      <c r="G707" s="185"/>
      <c r="H707" s="185"/>
      <c r="I707" s="185"/>
      <c r="J707" s="185"/>
      <c r="K707" s="185"/>
      <c r="L707" s="185"/>
      <c r="M707" s="185"/>
      <c r="N707" s="185"/>
      <c r="O707" s="185"/>
      <c r="P707" s="185"/>
      <c r="Q707" s="185"/>
      <c r="R707" s="185"/>
      <c r="S707" s="185"/>
      <c r="T707" s="185"/>
      <c r="U707" s="185"/>
      <c r="V707" s="185"/>
      <c r="W707" s="185"/>
      <c r="X707" s="185"/>
      <c r="Y707" s="185"/>
      <c r="Z707" s="185"/>
    </row>
    <row r="708" spans="1:26" ht="16" thickBot="1" x14ac:dyDescent="0.25">
      <c r="A708" s="185"/>
      <c r="B708" s="185"/>
      <c r="C708" s="185"/>
      <c r="D708" s="185"/>
      <c r="E708" s="185"/>
      <c r="F708" s="185"/>
      <c r="G708" s="185"/>
      <c r="H708" s="185"/>
      <c r="I708" s="185"/>
      <c r="J708" s="185"/>
      <c r="K708" s="185"/>
      <c r="L708" s="185"/>
      <c r="M708" s="185"/>
      <c r="N708" s="185"/>
      <c r="O708" s="185"/>
      <c r="P708" s="185"/>
      <c r="Q708" s="185"/>
      <c r="R708" s="185"/>
      <c r="S708" s="185"/>
      <c r="T708" s="185"/>
      <c r="U708" s="185"/>
      <c r="V708" s="185"/>
      <c r="W708" s="185"/>
      <c r="X708" s="185"/>
      <c r="Y708" s="185"/>
      <c r="Z708" s="185"/>
    </row>
    <row r="709" spans="1:26" ht="16" thickBot="1" x14ac:dyDescent="0.25">
      <c r="A709" s="185"/>
      <c r="B709" s="185"/>
      <c r="C709" s="185"/>
      <c r="D709" s="185"/>
      <c r="E709" s="185"/>
      <c r="F709" s="185"/>
      <c r="G709" s="185"/>
      <c r="H709" s="185"/>
      <c r="I709" s="185"/>
      <c r="J709" s="185"/>
      <c r="K709" s="185"/>
      <c r="L709" s="185"/>
      <c r="M709" s="185"/>
      <c r="N709" s="185"/>
      <c r="O709" s="185"/>
      <c r="P709" s="185"/>
      <c r="Q709" s="185"/>
      <c r="R709" s="185"/>
      <c r="S709" s="185"/>
      <c r="T709" s="185"/>
      <c r="U709" s="185"/>
      <c r="V709" s="185"/>
      <c r="W709" s="185"/>
      <c r="X709" s="185"/>
      <c r="Y709" s="185"/>
      <c r="Z709" s="185"/>
    </row>
    <row r="710" spans="1:26" ht="16" thickBot="1" x14ac:dyDescent="0.25">
      <c r="A710" s="185"/>
      <c r="B710" s="185"/>
      <c r="C710" s="185"/>
      <c r="D710" s="185"/>
      <c r="E710" s="185"/>
      <c r="F710" s="185"/>
      <c r="G710" s="185"/>
      <c r="H710" s="185"/>
      <c r="I710" s="185"/>
      <c r="J710" s="185"/>
      <c r="K710" s="185"/>
      <c r="L710" s="185"/>
      <c r="M710" s="185"/>
      <c r="N710" s="185"/>
      <c r="O710" s="185"/>
      <c r="P710" s="185"/>
      <c r="Q710" s="185"/>
      <c r="R710" s="185"/>
      <c r="S710" s="185"/>
      <c r="T710" s="185"/>
      <c r="U710" s="185"/>
      <c r="V710" s="185"/>
      <c r="W710" s="185"/>
      <c r="X710" s="185"/>
      <c r="Y710" s="185"/>
      <c r="Z710" s="185"/>
    </row>
    <row r="711" spans="1:26" ht="16" thickBot="1" x14ac:dyDescent="0.25">
      <c r="A711" s="185"/>
      <c r="B711" s="185"/>
      <c r="C711" s="185"/>
      <c r="D711" s="185"/>
      <c r="E711" s="185"/>
      <c r="F711" s="185"/>
      <c r="G711" s="185"/>
      <c r="H711" s="185"/>
      <c r="I711" s="185"/>
      <c r="J711" s="185"/>
      <c r="K711" s="185"/>
      <c r="L711" s="185"/>
      <c r="M711" s="185"/>
      <c r="N711" s="185"/>
      <c r="O711" s="185"/>
      <c r="P711" s="185"/>
      <c r="Q711" s="185"/>
      <c r="R711" s="185"/>
      <c r="S711" s="185"/>
      <c r="T711" s="185"/>
      <c r="U711" s="185"/>
      <c r="V711" s="185"/>
      <c r="W711" s="185"/>
      <c r="X711" s="185"/>
      <c r="Y711" s="185"/>
      <c r="Z711" s="185"/>
    </row>
    <row r="712" spans="1:26" ht="16" thickBot="1" x14ac:dyDescent="0.25">
      <c r="A712" s="185"/>
      <c r="B712" s="185"/>
      <c r="C712" s="185"/>
      <c r="D712" s="185"/>
      <c r="E712" s="185"/>
      <c r="F712" s="185"/>
      <c r="G712" s="185"/>
      <c r="H712" s="185"/>
      <c r="I712" s="185"/>
      <c r="J712" s="185"/>
      <c r="K712" s="185"/>
      <c r="L712" s="185"/>
      <c r="M712" s="185"/>
      <c r="N712" s="185"/>
      <c r="O712" s="185"/>
      <c r="P712" s="185"/>
      <c r="Q712" s="185"/>
      <c r="R712" s="185"/>
      <c r="S712" s="185"/>
      <c r="T712" s="185"/>
      <c r="U712" s="185"/>
      <c r="V712" s="185"/>
      <c r="W712" s="185"/>
      <c r="X712" s="185"/>
      <c r="Y712" s="185"/>
      <c r="Z712" s="185"/>
    </row>
    <row r="713" spans="1:26" ht="16" thickBot="1" x14ac:dyDescent="0.25">
      <c r="A713" s="185"/>
      <c r="B713" s="185"/>
      <c r="C713" s="185"/>
      <c r="D713" s="185"/>
      <c r="E713" s="185"/>
      <c r="F713" s="185"/>
      <c r="G713" s="185"/>
      <c r="H713" s="185"/>
      <c r="I713" s="185"/>
      <c r="J713" s="185"/>
      <c r="K713" s="185"/>
      <c r="L713" s="185"/>
      <c r="M713" s="185"/>
      <c r="N713" s="185"/>
      <c r="O713" s="185"/>
      <c r="P713" s="185"/>
      <c r="Q713" s="185"/>
      <c r="R713" s="185"/>
      <c r="S713" s="185"/>
      <c r="T713" s="185"/>
      <c r="U713" s="185"/>
      <c r="V713" s="185"/>
      <c r="W713" s="185"/>
      <c r="X713" s="185"/>
      <c r="Y713" s="185"/>
      <c r="Z713" s="185"/>
    </row>
    <row r="714" spans="1:26" ht="16" thickBot="1" x14ac:dyDescent="0.25">
      <c r="A714" s="185"/>
      <c r="B714" s="185"/>
      <c r="C714" s="185"/>
      <c r="D714" s="185"/>
      <c r="E714" s="185"/>
      <c r="F714" s="185"/>
      <c r="G714" s="185"/>
      <c r="H714" s="185"/>
      <c r="I714" s="185"/>
      <c r="J714" s="185"/>
      <c r="K714" s="185"/>
      <c r="L714" s="185"/>
      <c r="M714" s="185"/>
      <c r="N714" s="185"/>
      <c r="O714" s="185"/>
      <c r="P714" s="185"/>
      <c r="Q714" s="185"/>
      <c r="R714" s="185"/>
      <c r="S714" s="185"/>
      <c r="T714" s="185"/>
      <c r="U714" s="185"/>
      <c r="V714" s="185"/>
      <c r="W714" s="185"/>
      <c r="X714" s="185"/>
      <c r="Y714" s="185"/>
      <c r="Z714" s="185"/>
    </row>
    <row r="715" spans="1:26" ht="16" thickBot="1" x14ac:dyDescent="0.25">
      <c r="A715" s="185"/>
      <c r="B715" s="185"/>
      <c r="C715" s="185"/>
      <c r="D715" s="185"/>
      <c r="E715" s="185"/>
      <c r="F715" s="185"/>
      <c r="G715" s="185"/>
      <c r="H715" s="185"/>
      <c r="I715" s="185"/>
      <c r="J715" s="185"/>
      <c r="K715" s="185"/>
      <c r="L715" s="185"/>
      <c r="M715" s="185"/>
      <c r="N715" s="185"/>
      <c r="O715" s="185"/>
      <c r="P715" s="185"/>
      <c r="Q715" s="185"/>
      <c r="R715" s="185"/>
      <c r="S715" s="185"/>
      <c r="T715" s="185"/>
      <c r="U715" s="185"/>
      <c r="V715" s="185"/>
      <c r="W715" s="185"/>
      <c r="X715" s="185"/>
      <c r="Y715" s="185"/>
      <c r="Z715" s="185"/>
    </row>
    <row r="716" spans="1:26" ht="16" thickBot="1" x14ac:dyDescent="0.25">
      <c r="A716" s="185"/>
      <c r="B716" s="185"/>
      <c r="C716" s="185"/>
      <c r="D716" s="185"/>
      <c r="E716" s="185"/>
      <c r="F716" s="185"/>
      <c r="G716" s="185"/>
      <c r="H716" s="185"/>
      <c r="I716" s="185"/>
      <c r="J716" s="185"/>
      <c r="K716" s="185"/>
      <c r="L716" s="185"/>
      <c r="M716" s="185"/>
      <c r="N716" s="185"/>
      <c r="O716" s="185"/>
      <c r="P716" s="185"/>
      <c r="Q716" s="185"/>
      <c r="R716" s="185"/>
      <c r="S716" s="185"/>
      <c r="T716" s="185"/>
      <c r="U716" s="185"/>
      <c r="V716" s="185"/>
      <c r="W716" s="185"/>
      <c r="X716" s="185"/>
      <c r="Y716" s="185"/>
      <c r="Z716" s="185"/>
    </row>
    <row r="717" spans="1:26" ht="16" thickBot="1" x14ac:dyDescent="0.25">
      <c r="A717" s="185"/>
      <c r="B717" s="185"/>
      <c r="C717" s="185"/>
      <c r="D717" s="185"/>
      <c r="E717" s="185"/>
      <c r="F717" s="185"/>
      <c r="G717" s="185"/>
      <c r="H717" s="185"/>
      <c r="I717" s="185"/>
      <c r="J717" s="185"/>
      <c r="K717" s="185"/>
      <c r="L717" s="185"/>
      <c r="M717" s="185"/>
      <c r="N717" s="185"/>
      <c r="O717" s="185"/>
      <c r="P717" s="185"/>
      <c r="Q717" s="185"/>
      <c r="R717" s="185"/>
      <c r="S717" s="185"/>
      <c r="T717" s="185"/>
      <c r="U717" s="185"/>
      <c r="V717" s="185"/>
      <c r="W717" s="185"/>
      <c r="X717" s="185"/>
      <c r="Y717" s="185"/>
      <c r="Z717" s="185"/>
    </row>
    <row r="718" spans="1:26" ht="16" thickBot="1" x14ac:dyDescent="0.25">
      <c r="A718" s="185"/>
      <c r="B718" s="185"/>
      <c r="C718" s="185"/>
      <c r="D718" s="185"/>
      <c r="E718" s="185"/>
      <c r="F718" s="185"/>
      <c r="G718" s="185"/>
      <c r="H718" s="185"/>
      <c r="I718" s="185"/>
      <c r="J718" s="185"/>
      <c r="K718" s="185"/>
      <c r="L718" s="185"/>
      <c r="M718" s="185"/>
      <c r="N718" s="185"/>
      <c r="O718" s="185"/>
      <c r="P718" s="185"/>
      <c r="Q718" s="185"/>
      <c r="R718" s="185"/>
      <c r="S718" s="185"/>
      <c r="T718" s="185"/>
      <c r="U718" s="185"/>
      <c r="V718" s="185"/>
      <c r="W718" s="185"/>
      <c r="X718" s="185"/>
      <c r="Y718" s="185"/>
      <c r="Z718" s="185"/>
    </row>
    <row r="719" spans="1:26" ht="16" thickBot="1" x14ac:dyDescent="0.25">
      <c r="A719" s="185"/>
      <c r="B719" s="185"/>
      <c r="C719" s="185"/>
      <c r="D719" s="185"/>
      <c r="E719" s="185"/>
      <c r="F719" s="185"/>
      <c r="G719" s="185"/>
      <c r="H719" s="185"/>
      <c r="I719" s="185"/>
      <c r="J719" s="185"/>
      <c r="K719" s="185"/>
      <c r="L719" s="185"/>
      <c r="M719" s="185"/>
      <c r="N719" s="185"/>
      <c r="O719" s="185"/>
      <c r="P719" s="185"/>
      <c r="Q719" s="185"/>
      <c r="R719" s="185"/>
      <c r="S719" s="185"/>
      <c r="T719" s="185"/>
      <c r="U719" s="185"/>
      <c r="V719" s="185"/>
      <c r="W719" s="185"/>
      <c r="X719" s="185"/>
      <c r="Y719" s="185"/>
      <c r="Z719" s="185"/>
    </row>
    <row r="720" spans="1:26" ht="16" thickBot="1" x14ac:dyDescent="0.25">
      <c r="A720" s="185"/>
      <c r="B720" s="185"/>
      <c r="C720" s="185"/>
      <c r="D720" s="185"/>
      <c r="E720" s="185"/>
      <c r="F720" s="185"/>
      <c r="G720" s="185"/>
      <c r="H720" s="185"/>
      <c r="I720" s="185"/>
      <c r="J720" s="185"/>
      <c r="K720" s="185"/>
      <c r="L720" s="185"/>
      <c r="M720" s="185"/>
      <c r="N720" s="185"/>
      <c r="O720" s="185"/>
      <c r="P720" s="185"/>
      <c r="Q720" s="185"/>
      <c r="R720" s="185"/>
      <c r="S720" s="185"/>
      <c r="T720" s="185"/>
      <c r="U720" s="185"/>
      <c r="V720" s="185"/>
      <c r="W720" s="185"/>
      <c r="X720" s="185"/>
      <c r="Y720" s="185"/>
      <c r="Z720" s="185"/>
    </row>
    <row r="721" spans="1:26" ht="16" thickBot="1" x14ac:dyDescent="0.25">
      <c r="A721" s="185"/>
      <c r="B721" s="185"/>
      <c r="C721" s="185"/>
      <c r="D721" s="185"/>
      <c r="E721" s="185"/>
      <c r="F721" s="185"/>
      <c r="G721" s="185"/>
      <c r="H721" s="185"/>
      <c r="I721" s="185"/>
      <c r="J721" s="185"/>
      <c r="K721" s="185"/>
      <c r="L721" s="185"/>
      <c r="M721" s="185"/>
      <c r="N721" s="185"/>
      <c r="O721" s="185"/>
      <c r="P721" s="185"/>
      <c r="Q721" s="185"/>
      <c r="R721" s="185"/>
      <c r="S721" s="185"/>
      <c r="T721" s="185"/>
      <c r="U721" s="185"/>
      <c r="V721" s="185"/>
      <c r="W721" s="185"/>
      <c r="X721" s="185"/>
      <c r="Y721" s="185"/>
      <c r="Z721" s="185"/>
    </row>
    <row r="722" spans="1:26" ht="16" thickBot="1" x14ac:dyDescent="0.25">
      <c r="A722" s="185"/>
      <c r="B722" s="185"/>
      <c r="C722" s="185"/>
      <c r="D722" s="185"/>
      <c r="E722" s="185"/>
      <c r="F722" s="185"/>
      <c r="G722" s="185"/>
      <c r="H722" s="185"/>
      <c r="I722" s="185"/>
      <c r="J722" s="185"/>
      <c r="K722" s="185"/>
      <c r="L722" s="185"/>
      <c r="M722" s="185"/>
      <c r="N722" s="185"/>
      <c r="O722" s="185"/>
      <c r="P722" s="185"/>
      <c r="Q722" s="185"/>
      <c r="R722" s="185"/>
      <c r="S722" s="185"/>
      <c r="T722" s="185"/>
      <c r="U722" s="185"/>
      <c r="V722" s="185"/>
      <c r="W722" s="185"/>
      <c r="X722" s="185"/>
      <c r="Y722" s="185"/>
      <c r="Z722" s="185"/>
    </row>
    <row r="723" spans="1:26" ht="16" thickBot="1" x14ac:dyDescent="0.25">
      <c r="A723" s="185"/>
      <c r="B723" s="185"/>
      <c r="C723" s="185"/>
      <c r="D723" s="185"/>
      <c r="E723" s="185"/>
      <c r="F723" s="185"/>
      <c r="G723" s="185"/>
      <c r="H723" s="185"/>
      <c r="I723" s="185"/>
      <c r="J723" s="185"/>
      <c r="K723" s="185"/>
      <c r="L723" s="185"/>
      <c r="M723" s="185"/>
      <c r="N723" s="185"/>
      <c r="O723" s="185"/>
      <c r="P723" s="185"/>
      <c r="Q723" s="185"/>
      <c r="R723" s="185"/>
      <c r="S723" s="185"/>
      <c r="T723" s="185"/>
      <c r="U723" s="185"/>
      <c r="V723" s="185"/>
      <c r="W723" s="185"/>
      <c r="X723" s="185"/>
      <c r="Y723" s="185"/>
      <c r="Z723" s="185"/>
    </row>
    <row r="724" spans="1:26" ht="16" thickBot="1" x14ac:dyDescent="0.25">
      <c r="A724" s="185"/>
      <c r="B724" s="185"/>
      <c r="C724" s="185"/>
      <c r="D724" s="185"/>
      <c r="E724" s="185"/>
      <c r="F724" s="185"/>
      <c r="G724" s="185"/>
      <c r="H724" s="185"/>
      <c r="I724" s="185"/>
      <c r="J724" s="185"/>
      <c r="K724" s="185"/>
      <c r="L724" s="185"/>
      <c r="M724" s="185"/>
      <c r="N724" s="185"/>
      <c r="O724" s="185"/>
      <c r="P724" s="185"/>
      <c r="Q724" s="185"/>
      <c r="R724" s="185"/>
      <c r="S724" s="185"/>
      <c r="T724" s="185"/>
      <c r="U724" s="185"/>
      <c r="V724" s="185"/>
      <c r="W724" s="185"/>
      <c r="X724" s="185"/>
      <c r="Y724" s="185"/>
      <c r="Z724" s="185"/>
    </row>
    <row r="725" spans="1:26" ht="16" thickBot="1" x14ac:dyDescent="0.25">
      <c r="A725" s="185"/>
      <c r="B725" s="185"/>
      <c r="C725" s="185"/>
      <c r="D725" s="185"/>
      <c r="E725" s="185"/>
      <c r="F725" s="185"/>
      <c r="G725" s="185"/>
      <c r="H725" s="185"/>
      <c r="I725" s="185"/>
      <c r="J725" s="185"/>
      <c r="K725" s="185"/>
      <c r="L725" s="185"/>
      <c r="M725" s="185"/>
      <c r="N725" s="185"/>
      <c r="O725" s="185"/>
      <c r="P725" s="185"/>
      <c r="Q725" s="185"/>
      <c r="R725" s="185"/>
      <c r="S725" s="185"/>
      <c r="T725" s="185"/>
      <c r="U725" s="185"/>
      <c r="V725" s="185"/>
      <c r="W725" s="185"/>
      <c r="X725" s="185"/>
      <c r="Y725" s="185"/>
      <c r="Z725" s="185"/>
    </row>
    <row r="726" spans="1:26" ht="16" thickBot="1" x14ac:dyDescent="0.25">
      <c r="A726" s="185"/>
      <c r="B726" s="185"/>
      <c r="C726" s="185"/>
      <c r="D726" s="185"/>
      <c r="E726" s="185"/>
      <c r="F726" s="185"/>
      <c r="G726" s="185"/>
      <c r="H726" s="185"/>
      <c r="I726" s="185"/>
      <c r="J726" s="185"/>
      <c r="K726" s="185"/>
      <c r="L726" s="185"/>
      <c r="M726" s="185"/>
      <c r="N726" s="185"/>
      <c r="O726" s="185"/>
      <c r="P726" s="185"/>
      <c r="Q726" s="185"/>
      <c r="R726" s="185"/>
      <c r="S726" s="185"/>
      <c r="T726" s="185"/>
      <c r="U726" s="185"/>
      <c r="V726" s="185"/>
      <c r="W726" s="185"/>
      <c r="X726" s="185"/>
      <c r="Y726" s="185"/>
      <c r="Z726" s="185"/>
    </row>
    <row r="727" spans="1:26" ht="16" thickBot="1" x14ac:dyDescent="0.25">
      <c r="A727" s="185"/>
      <c r="B727" s="185"/>
      <c r="C727" s="185"/>
      <c r="D727" s="185"/>
      <c r="E727" s="185"/>
      <c r="F727" s="185"/>
      <c r="G727" s="185"/>
      <c r="H727" s="185"/>
      <c r="I727" s="185"/>
      <c r="J727" s="185"/>
      <c r="K727" s="185"/>
      <c r="L727" s="185"/>
      <c r="M727" s="185"/>
      <c r="N727" s="185"/>
      <c r="O727" s="185"/>
      <c r="P727" s="185"/>
      <c r="Q727" s="185"/>
      <c r="R727" s="185"/>
      <c r="S727" s="185"/>
      <c r="T727" s="185"/>
      <c r="U727" s="185"/>
      <c r="V727" s="185"/>
      <c r="W727" s="185"/>
      <c r="X727" s="185"/>
      <c r="Y727" s="185"/>
      <c r="Z727" s="185"/>
    </row>
    <row r="728" spans="1:26" ht="16" thickBot="1" x14ac:dyDescent="0.25">
      <c r="A728" s="185"/>
      <c r="B728" s="185"/>
      <c r="C728" s="185"/>
      <c r="D728" s="185"/>
      <c r="E728" s="185"/>
      <c r="F728" s="185"/>
      <c r="G728" s="185"/>
      <c r="H728" s="185"/>
      <c r="I728" s="185"/>
      <c r="J728" s="185"/>
      <c r="K728" s="185"/>
      <c r="L728" s="185"/>
      <c r="M728" s="185"/>
      <c r="N728" s="185"/>
      <c r="O728" s="185"/>
      <c r="P728" s="185"/>
      <c r="Q728" s="185"/>
      <c r="R728" s="185"/>
      <c r="S728" s="185"/>
      <c r="T728" s="185"/>
      <c r="U728" s="185"/>
      <c r="V728" s="185"/>
      <c r="W728" s="185"/>
      <c r="X728" s="185"/>
      <c r="Y728" s="185"/>
      <c r="Z728" s="185"/>
    </row>
    <row r="729" spans="1:26" ht="16" thickBot="1" x14ac:dyDescent="0.25">
      <c r="A729" s="185"/>
      <c r="B729" s="185"/>
      <c r="C729" s="185"/>
      <c r="D729" s="185"/>
      <c r="E729" s="185"/>
      <c r="F729" s="185"/>
      <c r="G729" s="185"/>
      <c r="H729" s="185"/>
      <c r="I729" s="185"/>
      <c r="J729" s="185"/>
      <c r="K729" s="185"/>
      <c r="L729" s="185"/>
      <c r="M729" s="185"/>
      <c r="N729" s="185"/>
      <c r="O729" s="185"/>
      <c r="P729" s="185"/>
      <c r="Q729" s="185"/>
      <c r="R729" s="185"/>
      <c r="S729" s="185"/>
      <c r="T729" s="185"/>
      <c r="U729" s="185"/>
      <c r="V729" s="185"/>
      <c r="W729" s="185"/>
      <c r="X729" s="185"/>
      <c r="Y729" s="185"/>
      <c r="Z729" s="185"/>
    </row>
    <row r="730" spans="1:26" ht="16" thickBot="1" x14ac:dyDescent="0.25">
      <c r="A730" s="185"/>
      <c r="B730" s="185"/>
      <c r="C730" s="185"/>
      <c r="D730" s="185"/>
      <c r="E730" s="185"/>
      <c r="F730" s="185"/>
      <c r="G730" s="185"/>
      <c r="H730" s="185"/>
      <c r="I730" s="185"/>
      <c r="J730" s="185"/>
      <c r="K730" s="185"/>
      <c r="L730" s="185"/>
      <c r="M730" s="185"/>
      <c r="N730" s="185"/>
      <c r="O730" s="185"/>
      <c r="P730" s="185"/>
      <c r="Q730" s="185"/>
      <c r="R730" s="185"/>
      <c r="S730" s="185"/>
      <c r="T730" s="185"/>
      <c r="U730" s="185"/>
      <c r="V730" s="185"/>
      <c r="W730" s="185"/>
      <c r="X730" s="185"/>
      <c r="Y730" s="185"/>
      <c r="Z730" s="185"/>
    </row>
    <row r="731" spans="1:26" ht="16" thickBot="1" x14ac:dyDescent="0.25">
      <c r="A731" s="185"/>
      <c r="B731" s="185"/>
      <c r="C731" s="185"/>
      <c r="D731" s="185"/>
      <c r="E731" s="185"/>
      <c r="F731" s="185"/>
      <c r="G731" s="185"/>
      <c r="H731" s="185"/>
      <c r="I731" s="185"/>
      <c r="J731" s="185"/>
      <c r="K731" s="185"/>
      <c r="L731" s="185"/>
      <c r="M731" s="185"/>
      <c r="N731" s="185"/>
      <c r="O731" s="185"/>
      <c r="P731" s="185"/>
      <c r="Q731" s="185"/>
      <c r="R731" s="185"/>
      <c r="S731" s="185"/>
      <c r="T731" s="185"/>
      <c r="U731" s="185"/>
      <c r="V731" s="185"/>
      <c r="W731" s="185"/>
      <c r="X731" s="185"/>
      <c r="Y731" s="185"/>
      <c r="Z731" s="185"/>
    </row>
    <row r="732" spans="1:26" ht="16" thickBot="1" x14ac:dyDescent="0.25">
      <c r="A732" s="185"/>
      <c r="B732" s="185"/>
      <c r="C732" s="185"/>
      <c r="D732" s="185"/>
      <c r="E732" s="185"/>
      <c r="F732" s="185"/>
      <c r="G732" s="185"/>
      <c r="H732" s="185"/>
      <c r="I732" s="185"/>
      <c r="J732" s="185"/>
      <c r="K732" s="185"/>
      <c r="L732" s="185"/>
      <c r="M732" s="185"/>
      <c r="N732" s="185"/>
      <c r="O732" s="185"/>
      <c r="P732" s="185"/>
      <c r="Q732" s="185"/>
      <c r="R732" s="185"/>
      <c r="S732" s="185"/>
      <c r="T732" s="185"/>
      <c r="U732" s="185"/>
      <c r="V732" s="185"/>
      <c r="W732" s="185"/>
      <c r="X732" s="185"/>
      <c r="Y732" s="185"/>
      <c r="Z732" s="185"/>
    </row>
    <row r="733" spans="1:26" ht="16" thickBot="1" x14ac:dyDescent="0.25">
      <c r="A733" s="185"/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5"/>
      <c r="O733" s="185"/>
      <c r="P733" s="185"/>
      <c r="Q733" s="185"/>
      <c r="R733" s="185"/>
      <c r="S733" s="185"/>
      <c r="T733" s="185"/>
      <c r="U733" s="185"/>
      <c r="V733" s="185"/>
      <c r="W733" s="185"/>
      <c r="X733" s="185"/>
      <c r="Y733" s="185"/>
      <c r="Z733" s="185"/>
    </row>
    <row r="734" spans="1:26" ht="16" thickBot="1" x14ac:dyDescent="0.25">
      <c r="A734" s="185"/>
      <c r="B734" s="185"/>
      <c r="C734" s="185"/>
      <c r="D734" s="185"/>
      <c r="E734" s="185"/>
      <c r="F734" s="185"/>
      <c r="G734" s="185"/>
      <c r="H734" s="185"/>
      <c r="I734" s="185"/>
      <c r="J734" s="185"/>
      <c r="K734" s="185"/>
      <c r="L734" s="185"/>
      <c r="M734" s="185"/>
      <c r="N734" s="185"/>
      <c r="O734" s="185"/>
      <c r="P734" s="185"/>
      <c r="Q734" s="185"/>
      <c r="R734" s="185"/>
      <c r="S734" s="185"/>
      <c r="T734" s="185"/>
      <c r="U734" s="185"/>
      <c r="V734" s="185"/>
      <c r="W734" s="185"/>
      <c r="X734" s="185"/>
      <c r="Y734" s="185"/>
      <c r="Z734" s="185"/>
    </row>
    <row r="735" spans="1:26" ht="16" thickBot="1" x14ac:dyDescent="0.25">
      <c r="A735" s="185"/>
      <c r="B735" s="185"/>
      <c r="C735" s="185"/>
      <c r="D735" s="185"/>
      <c r="E735" s="185"/>
      <c r="F735" s="185"/>
      <c r="G735" s="185"/>
      <c r="H735" s="185"/>
      <c r="I735" s="185"/>
      <c r="J735" s="185"/>
      <c r="K735" s="185"/>
      <c r="L735" s="185"/>
      <c r="M735" s="185"/>
      <c r="N735" s="185"/>
      <c r="O735" s="185"/>
      <c r="P735" s="185"/>
      <c r="Q735" s="185"/>
      <c r="R735" s="185"/>
      <c r="S735" s="185"/>
      <c r="T735" s="185"/>
      <c r="U735" s="185"/>
      <c r="V735" s="185"/>
      <c r="W735" s="185"/>
      <c r="X735" s="185"/>
      <c r="Y735" s="185"/>
      <c r="Z735" s="185"/>
    </row>
    <row r="736" spans="1:26" ht="16" thickBot="1" x14ac:dyDescent="0.25">
      <c r="A736" s="185"/>
      <c r="B736" s="185"/>
      <c r="C736" s="185"/>
      <c r="D736" s="185"/>
      <c r="E736" s="185"/>
      <c r="F736" s="185"/>
      <c r="G736" s="185"/>
      <c r="H736" s="185"/>
      <c r="I736" s="185"/>
      <c r="J736" s="185"/>
      <c r="K736" s="185"/>
      <c r="L736" s="185"/>
      <c r="M736" s="185"/>
      <c r="N736" s="185"/>
      <c r="O736" s="185"/>
      <c r="P736" s="185"/>
      <c r="Q736" s="185"/>
      <c r="R736" s="185"/>
      <c r="S736" s="185"/>
      <c r="T736" s="185"/>
      <c r="U736" s="185"/>
      <c r="V736" s="185"/>
      <c r="W736" s="185"/>
      <c r="X736" s="185"/>
      <c r="Y736" s="185"/>
      <c r="Z736" s="185"/>
    </row>
    <row r="737" spans="1:26" ht="16" thickBot="1" x14ac:dyDescent="0.25">
      <c r="A737" s="185"/>
      <c r="B737" s="185"/>
      <c r="C737" s="185"/>
      <c r="D737" s="185"/>
      <c r="E737" s="185"/>
      <c r="F737" s="185"/>
      <c r="G737" s="185"/>
      <c r="H737" s="185"/>
      <c r="I737" s="185"/>
      <c r="J737" s="185"/>
      <c r="K737" s="185"/>
      <c r="L737" s="185"/>
      <c r="M737" s="185"/>
      <c r="N737" s="185"/>
      <c r="O737" s="185"/>
      <c r="P737" s="185"/>
      <c r="Q737" s="185"/>
      <c r="R737" s="185"/>
      <c r="S737" s="185"/>
      <c r="T737" s="185"/>
      <c r="U737" s="185"/>
      <c r="V737" s="185"/>
      <c r="W737" s="185"/>
      <c r="X737" s="185"/>
      <c r="Y737" s="185"/>
      <c r="Z737" s="185"/>
    </row>
    <row r="738" spans="1:26" ht="16" thickBot="1" x14ac:dyDescent="0.25">
      <c r="A738" s="185"/>
      <c r="B738" s="185"/>
      <c r="C738" s="185"/>
      <c r="D738" s="185"/>
      <c r="E738" s="185"/>
      <c r="F738" s="185"/>
      <c r="G738" s="185"/>
      <c r="H738" s="185"/>
      <c r="I738" s="185"/>
      <c r="J738" s="185"/>
      <c r="K738" s="185"/>
      <c r="L738" s="185"/>
      <c r="M738" s="185"/>
      <c r="N738" s="185"/>
      <c r="O738" s="185"/>
      <c r="P738" s="185"/>
      <c r="Q738" s="185"/>
      <c r="R738" s="185"/>
      <c r="S738" s="185"/>
      <c r="T738" s="185"/>
      <c r="U738" s="185"/>
      <c r="V738" s="185"/>
      <c r="W738" s="185"/>
      <c r="X738" s="185"/>
      <c r="Y738" s="185"/>
      <c r="Z738" s="185"/>
    </row>
    <row r="739" spans="1:26" ht="16" thickBot="1" x14ac:dyDescent="0.25">
      <c r="A739" s="185"/>
      <c r="B739" s="185"/>
      <c r="C739" s="185"/>
      <c r="D739" s="185"/>
      <c r="E739" s="185"/>
      <c r="F739" s="185"/>
      <c r="G739" s="185"/>
      <c r="H739" s="185"/>
      <c r="I739" s="185"/>
      <c r="J739" s="185"/>
      <c r="K739" s="185"/>
      <c r="L739" s="185"/>
      <c r="M739" s="185"/>
      <c r="N739" s="185"/>
      <c r="O739" s="185"/>
      <c r="P739" s="185"/>
      <c r="Q739" s="185"/>
      <c r="R739" s="185"/>
      <c r="S739" s="185"/>
      <c r="T739" s="185"/>
      <c r="U739" s="185"/>
      <c r="V739" s="185"/>
      <c r="W739" s="185"/>
      <c r="X739" s="185"/>
      <c r="Y739" s="185"/>
      <c r="Z739" s="185"/>
    </row>
    <row r="740" spans="1:26" ht="16" thickBot="1" x14ac:dyDescent="0.25">
      <c r="A740" s="185"/>
      <c r="B740" s="185"/>
      <c r="C740" s="185"/>
      <c r="D740" s="185"/>
      <c r="E740" s="185"/>
      <c r="F740" s="185"/>
      <c r="G740" s="185"/>
      <c r="H740" s="185"/>
      <c r="I740" s="185"/>
      <c r="J740" s="185"/>
      <c r="K740" s="185"/>
      <c r="L740" s="185"/>
      <c r="M740" s="185"/>
      <c r="N740" s="185"/>
      <c r="O740" s="185"/>
      <c r="P740" s="185"/>
      <c r="Q740" s="185"/>
      <c r="R740" s="185"/>
      <c r="S740" s="185"/>
      <c r="T740" s="185"/>
      <c r="U740" s="185"/>
      <c r="V740" s="185"/>
      <c r="W740" s="185"/>
      <c r="X740" s="185"/>
      <c r="Y740" s="185"/>
      <c r="Z740" s="185"/>
    </row>
    <row r="741" spans="1:26" ht="16" thickBot="1" x14ac:dyDescent="0.25">
      <c r="A741" s="185"/>
      <c r="B741" s="185"/>
      <c r="C741" s="185"/>
      <c r="D741" s="185"/>
      <c r="E741" s="185"/>
      <c r="F741" s="185"/>
      <c r="G741" s="185"/>
      <c r="H741" s="185"/>
      <c r="I741" s="185"/>
      <c r="J741" s="185"/>
      <c r="K741" s="185"/>
      <c r="L741" s="185"/>
      <c r="M741" s="185"/>
      <c r="N741" s="185"/>
      <c r="O741" s="185"/>
      <c r="P741" s="185"/>
      <c r="Q741" s="185"/>
      <c r="R741" s="185"/>
      <c r="S741" s="185"/>
      <c r="T741" s="185"/>
      <c r="U741" s="185"/>
      <c r="V741" s="185"/>
      <c r="W741" s="185"/>
      <c r="X741" s="185"/>
      <c r="Y741" s="185"/>
      <c r="Z741" s="185"/>
    </row>
    <row r="742" spans="1:26" ht="16" thickBot="1" x14ac:dyDescent="0.25">
      <c r="A742" s="185"/>
      <c r="B742" s="185"/>
      <c r="C742" s="185"/>
      <c r="D742" s="185"/>
      <c r="E742" s="185"/>
      <c r="F742" s="185"/>
      <c r="G742" s="185"/>
      <c r="H742" s="185"/>
      <c r="I742" s="185"/>
      <c r="J742" s="185"/>
      <c r="K742" s="185"/>
      <c r="L742" s="185"/>
      <c r="M742" s="185"/>
      <c r="N742" s="185"/>
      <c r="O742" s="185"/>
      <c r="P742" s="185"/>
      <c r="Q742" s="185"/>
      <c r="R742" s="185"/>
      <c r="S742" s="185"/>
      <c r="T742" s="185"/>
      <c r="U742" s="185"/>
      <c r="V742" s="185"/>
      <c r="W742" s="185"/>
      <c r="X742" s="185"/>
      <c r="Y742" s="185"/>
      <c r="Z742" s="185"/>
    </row>
    <row r="743" spans="1:26" ht="16" thickBot="1" x14ac:dyDescent="0.25">
      <c r="A743" s="185"/>
      <c r="B743" s="185"/>
      <c r="C743" s="185"/>
      <c r="D743" s="185"/>
      <c r="E743" s="185"/>
      <c r="F743" s="185"/>
      <c r="G743" s="185"/>
      <c r="H743" s="185"/>
      <c r="I743" s="185"/>
      <c r="J743" s="185"/>
      <c r="K743" s="185"/>
      <c r="L743" s="185"/>
      <c r="M743" s="185"/>
      <c r="N743" s="185"/>
      <c r="O743" s="185"/>
      <c r="P743" s="185"/>
      <c r="Q743" s="185"/>
      <c r="R743" s="185"/>
      <c r="S743" s="185"/>
      <c r="T743" s="185"/>
      <c r="U743" s="185"/>
      <c r="V743" s="185"/>
      <c r="W743" s="185"/>
      <c r="X743" s="185"/>
      <c r="Y743" s="185"/>
      <c r="Z743" s="185"/>
    </row>
    <row r="744" spans="1:26" ht="16" thickBot="1" x14ac:dyDescent="0.25">
      <c r="A744" s="185"/>
      <c r="B744" s="185"/>
      <c r="C744" s="185"/>
      <c r="D744" s="185"/>
      <c r="E744" s="185"/>
      <c r="F744" s="185"/>
      <c r="G744" s="185"/>
      <c r="H744" s="185"/>
      <c r="I744" s="185"/>
      <c r="J744" s="185"/>
      <c r="K744" s="185"/>
      <c r="L744" s="185"/>
      <c r="M744" s="185"/>
      <c r="N744" s="185"/>
      <c r="O744" s="185"/>
      <c r="P744" s="185"/>
      <c r="Q744" s="185"/>
      <c r="R744" s="185"/>
      <c r="S744" s="185"/>
      <c r="T744" s="185"/>
      <c r="U744" s="185"/>
      <c r="V744" s="185"/>
      <c r="W744" s="185"/>
      <c r="X744" s="185"/>
      <c r="Y744" s="185"/>
      <c r="Z744" s="185"/>
    </row>
    <row r="745" spans="1:26" ht="16" thickBot="1" x14ac:dyDescent="0.25">
      <c r="A745" s="185"/>
      <c r="B745" s="185"/>
      <c r="C745" s="185"/>
      <c r="D745" s="185"/>
      <c r="E745" s="185"/>
      <c r="F745" s="185"/>
      <c r="G745" s="185"/>
      <c r="H745" s="185"/>
      <c r="I745" s="185"/>
      <c r="J745" s="185"/>
      <c r="K745" s="185"/>
      <c r="L745" s="185"/>
      <c r="M745" s="185"/>
      <c r="N745" s="185"/>
      <c r="O745" s="185"/>
      <c r="P745" s="185"/>
      <c r="Q745" s="185"/>
      <c r="R745" s="185"/>
      <c r="S745" s="185"/>
      <c r="T745" s="185"/>
      <c r="U745" s="185"/>
      <c r="V745" s="185"/>
      <c r="W745" s="185"/>
      <c r="X745" s="185"/>
      <c r="Y745" s="185"/>
      <c r="Z745" s="185"/>
    </row>
    <row r="746" spans="1:26" ht="16" thickBot="1" x14ac:dyDescent="0.25">
      <c r="A746" s="185"/>
      <c r="B746" s="185"/>
      <c r="C746" s="185"/>
      <c r="D746" s="185"/>
      <c r="E746" s="185"/>
      <c r="F746" s="185"/>
      <c r="G746" s="185"/>
      <c r="H746" s="185"/>
      <c r="I746" s="185"/>
      <c r="J746" s="185"/>
      <c r="K746" s="185"/>
      <c r="L746" s="185"/>
      <c r="M746" s="185"/>
      <c r="N746" s="185"/>
      <c r="O746" s="185"/>
      <c r="P746" s="185"/>
      <c r="Q746" s="185"/>
      <c r="R746" s="185"/>
      <c r="S746" s="185"/>
      <c r="T746" s="185"/>
      <c r="U746" s="185"/>
      <c r="V746" s="185"/>
      <c r="W746" s="185"/>
      <c r="X746" s="185"/>
      <c r="Y746" s="185"/>
      <c r="Z746" s="185"/>
    </row>
    <row r="747" spans="1:26" ht="16" thickBot="1" x14ac:dyDescent="0.25">
      <c r="A747" s="185"/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5"/>
      <c r="O747" s="185"/>
      <c r="P747" s="185"/>
      <c r="Q747" s="185"/>
      <c r="R747" s="185"/>
      <c r="S747" s="185"/>
      <c r="T747" s="185"/>
      <c r="U747" s="185"/>
      <c r="V747" s="185"/>
      <c r="W747" s="185"/>
      <c r="X747" s="185"/>
      <c r="Y747" s="185"/>
      <c r="Z747" s="185"/>
    </row>
    <row r="748" spans="1:26" ht="16" thickBot="1" x14ac:dyDescent="0.25">
      <c r="A748" s="185"/>
      <c r="B748" s="185"/>
      <c r="C748" s="185"/>
      <c r="D748" s="185"/>
      <c r="E748" s="185"/>
      <c r="F748" s="185"/>
      <c r="G748" s="185"/>
      <c r="H748" s="185"/>
      <c r="I748" s="185"/>
      <c r="J748" s="185"/>
      <c r="K748" s="185"/>
      <c r="L748" s="185"/>
      <c r="M748" s="185"/>
      <c r="N748" s="185"/>
      <c r="O748" s="185"/>
      <c r="P748" s="185"/>
      <c r="Q748" s="185"/>
      <c r="R748" s="185"/>
      <c r="S748" s="185"/>
      <c r="T748" s="185"/>
      <c r="U748" s="185"/>
      <c r="V748" s="185"/>
      <c r="W748" s="185"/>
      <c r="X748" s="185"/>
      <c r="Y748" s="185"/>
      <c r="Z748" s="185"/>
    </row>
    <row r="749" spans="1:26" ht="16" thickBot="1" x14ac:dyDescent="0.25">
      <c r="A749" s="185"/>
      <c r="B749" s="185"/>
      <c r="C749" s="185"/>
      <c r="D749" s="185"/>
      <c r="E749" s="185"/>
      <c r="F749" s="185"/>
      <c r="G749" s="185"/>
      <c r="H749" s="185"/>
      <c r="I749" s="185"/>
      <c r="J749" s="185"/>
      <c r="K749" s="185"/>
      <c r="L749" s="185"/>
      <c r="M749" s="185"/>
      <c r="N749" s="185"/>
      <c r="O749" s="185"/>
      <c r="P749" s="185"/>
      <c r="Q749" s="185"/>
      <c r="R749" s="185"/>
      <c r="S749" s="185"/>
      <c r="T749" s="185"/>
      <c r="U749" s="185"/>
      <c r="V749" s="185"/>
      <c r="W749" s="185"/>
      <c r="X749" s="185"/>
      <c r="Y749" s="185"/>
      <c r="Z749" s="185"/>
    </row>
    <row r="750" spans="1:26" ht="16" thickBot="1" x14ac:dyDescent="0.25">
      <c r="A750" s="185"/>
      <c r="B750" s="185"/>
      <c r="C750" s="185"/>
      <c r="D750" s="185"/>
      <c r="E750" s="185"/>
      <c r="F750" s="185"/>
      <c r="G750" s="185"/>
      <c r="H750" s="185"/>
      <c r="I750" s="185"/>
      <c r="J750" s="185"/>
      <c r="K750" s="185"/>
      <c r="L750" s="185"/>
      <c r="M750" s="185"/>
      <c r="N750" s="185"/>
      <c r="O750" s="185"/>
      <c r="P750" s="185"/>
      <c r="Q750" s="185"/>
      <c r="R750" s="185"/>
      <c r="S750" s="185"/>
      <c r="T750" s="185"/>
      <c r="U750" s="185"/>
      <c r="V750" s="185"/>
      <c r="W750" s="185"/>
      <c r="X750" s="185"/>
      <c r="Y750" s="185"/>
      <c r="Z750" s="185"/>
    </row>
    <row r="751" spans="1:26" ht="16" thickBot="1" x14ac:dyDescent="0.25">
      <c r="A751" s="185"/>
      <c r="B751" s="185"/>
      <c r="C751" s="185"/>
      <c r="D751" s="185"/>
      <c r="E751" s="185"/>
      <c r="F751" s="185"/>
      <c r="G751" s="185"/>
      <c r="H751" s="185"/>
      <c r="I751" s="185"/>
      <c r="J751" s="185"/>
      <c r="K751" s="185"/>
      <c r="L751" s="185"/>
      <c r="M751" s="185"/>
      <c r="N751" s="185"/>
      <c r="O751" s="185"/>
      <c r="P751" s="185"/>
      <c r="Q751" s="185"/>
      <c r="R751" s="185"/>
      <c r="S751" s="185"/>
      <c r="T751" s="185"/>
      <c r="U751" s="185"/>
      <c r="V751" s="185"/>
      <c r="W751" s="185"/>
      <c r="X751" s="185"/>
      <c r="Y751" s="185"/>
      <c r="Z751" s="185"/>
    </row>
    <row r="752" spans="1:26" ht="16" thickBot="1" x14ac:dyDescent="0.25">
      <c r="A752" s="185"/>
      <c r="B752" s="185"/>
      <c r="C752" s="185"/>
      <c r="D752" s="185"/>
      <c r="E752" s="185"/>
      <c r="F752" s="185"/>
      <c r="G752" s="185"/>
      <c r="H752" s="185"/>
      <c r="I752" s="185"/>
      <c r="J752" s="185"/>
      <c r="K752" s="185"/>
      <c r="L752" s="185"/>
      <c r="M752" s="185"/>
      <c r="N752" s="185"/>
      <c r="O752" s="185"/>
      <c r="P752" s="185"/>
      <c r="Q752" s="185"/>
      <c r="R752" s="185"/>
      <c r="S752" s="185"/>
      <c r="T752" s="185"/>
      <c r="U752" s="185"/>
      <c r="V752" s="185"/>
      <c r="W752" s="185"/>
      <c r="X752" s="185"/>
      <c r="Y752" s="185"/>
      <c r="Z752" s="185"/>
    </row>
    <row r="753" spans="1:26" ht="16" thickBot="1" x14ac:dyDescent="0.25">
      <c r="A753" s="185"/>
      <c r="B753" s="185"/>
      <c r="C753" s="185"/>
      <c r="D753" s="185"/>
      <c r="E753" s="185"/>
      <c r="F753" s="185"/>
      <c r="G753" s="185"/>
      <c r="H753" s="185"/>
      <c r="I753" s="185"/>
      <c r="J753" s="185"/>
      <c r="K753" s="185"/>
      <c r="L753" s="185"/>
      <c r="M753" s="185"/>
      <c r="N753" s="185"/>
      <c r="O753" s="185"/>
      <c r="P753" s="185"/>
      <c r="Q753" s="185"/>
      <c r="R753" s="185"/>
      <c r="S753" s="185"/>
      <c r="T753" s="185"/>
      <c r="U753" s="185"/>
      <c r="V753" s="185"/>
      <c r="W753" s="185"/>
      <c r="X753" s="185"/>
      <c r="Y753" s="185"/>
      <c r="Z753" s="185"/>
    </row>
    <row r="754" spans="1:26" ht="16" thickBot="1" x14ac:dyDescent="0.25">
      <c r="A754" s="185"/>
      <c r="B754" s="185"/>
      <c r="C754" s="185"/>
      <c r="D754" s="185"/>
      <c r="E754" s="185"/>
      <c r="F754" s="185"/>
      <c r="G754" s="185"/>
      <c r="H754" s="185"/>
      <c r="I754" s="185"/>
      <c r="J754" s="185"/>
      <c r="K754" s="185"/>
      <c r="L754" s="185"/>
      <c r="M754" s="185"/>
      <c r="N754" s="185"/>
      <c r="O754" s="185"/>
      <c r="P754" s="185"/>
      <c r="Q754" s="185"/>
      <c r="R754" s="185"/>
      <c r="S754" s="185"/>
      <c r="T754" s="185"/>
      <c r="U754" s="185"/>
      <c r="V754" s="185"/>
      <c r="W754" s="185"/>
      <c r="X754" s="185"/>
      <c r="Y754" s="185"/>
      <c r="Z754" s="185"/>
    </row>
    <row r="755" spans="1:26" ht="16" thickBot="1" x14ac:dyDescent="0.25">
      <c r="A755" s="185"/>
      <c r="B755" s="185"/>
      <c r="C755" s="185"/>
      <c r="D755" s="185"/>
      <c r="E755" s="185"/>
      <c r="F755" s="185"/>
      <c r="G755" s="185"/>
      <c r="H755" s="185"/>
      <c r="I755" s="185"/>
      <c r="J755" s="185"/>
      <c r="K755" s="185"/>
      <c r="L755" s="185"/>
      <c r="M755" s="185"/>
      <c r="N755" s="185"/>
      <c r="O755" s="185"/>
      <c r="P755" s="185"/>
      <c r="Q755" s="185"/>
      <c r="R755" s="185"/>
      <c r="S755" s="185"/>
      <c r="T755" s="185"/>
      <c r="U755" s="185"/>
      <c r="V755" s="185"/>
      <c r="W755" s="185"/>
      <c r="X755" s="185"/>
      <c r="Y755" s="185"/>
      <c r="Z755" s="185"/>
    </row>
    <row r="756" spans="1:26" ht="16" thickBot="1" x14ac:dyDescent="0.25">
      <c r="A756" s="185"/>
      <c r="B756" s="185"/>
      <c r="C756" s="185"/>
      <c r="D756" s="185"/>
      <c r="E756" s="185"/>
      <c r="F756" s="185"/>
      <c r="G756" s="185"/>
      <c r="H756" s="185"/>
      <c r="I756" s="185"/>
      <c r="J756" s="185"/>
      <c r="K756" s="185"/>
      <c r="L756" s="185"/>
      <c r="M756" s="185"/>
      <c r="N756" s="185"/>
      <c r="O756" s="185"/>
      <c r="P756" s="185"/>
      <c r="Q756" s="185"/>
      <c r="R756" s="185"/>
      <c r="S756" s="185"/>
      <c r="T756" s="185"/>
      <c r="U756" s="185"/>
      <c r="V756" s="185"/>
      <c r="W756" s="185"/>
      <c r="X756" s="185"/>
      <c r="Y756" s="185"/>
      <c r="Z756" s="185"/>
    </row>
    <row r="757" spans="1:26" ht="16" thickBot="1" x14ac:dyDescent="0.25">
      <c r="A757" s="185"/>
      <c r="B757" s="185"/>
      <c r="C757" s="185"/>
      <c r="D757" s="185"/>
      <c r="E757" s="185"/>
      <c r="F757" s="185"/>
      <c r="G757" s="185"/>
      <c r="H757" s="185"/>
      <c r="I757" s="185"/>
      <c r="J757" s="185"/>
      <c r="K757" s="185"/>
      <c r="L757" s="185"/>
      <c r="M757" s="185"/>
      <c r="N757" s="185"/>
      <c r="O757" s="185"/>
      <c r="P757" s="185"/>
      <c r="Q757" s="185"/>
      <c r="R757" s="185"/>
      <c r="S757" s="185"/>
      <c r="T757" s="185"/>
      <c r="U757" s="185"/>
      <c r="V757" s="185"/>
      <c r="W757" s="185"/>
      <c r="X757" s="185"/>
      <c r="Y757" s="185"/>
      <c r="Z757" s="185"/>
    </row>
    <row r="758" spans="1:26" ht="16" thickBot="1" x14ac:dyDescent="0.25">
      <c r="A758" s="185"/>
      <c r="B758" s="185"/>
      <c r="C758" s="185"/>
      <c r="D758" s="185"/>
      <c r="E758" s="185"/>
      <c r="F758" s="185"/>
      <c r="G758" s="185"/>
      <c r="H758" s="185"/>
      <c r="I758" s="185"/>
      <c r="J758" s="185"/>
      <c r="K758" s="185"/>
      <c r="L758" s="185"/>
      <c r="M758" s="185"/>
      <c r="N758" s="185"/>
      <c r="O758" s="185"/>
      <c r="P758" s="185"/>
      <c r="Q758" s="185"/>
      <c r="R758" s="185"/>
      <c r="S758" s="185"/>
      <c r="T758" s="185"/>
      <c r="U758" s="185"/>
      <c r="V758" s="185"/>
      <c r="W758" s="185"/>
      <c r="X758" s="185"/>
      <c r="Y758" s="185"/>
      <c r="Z758" s="185"/>
    </row>
    <row r="759" spans="1:26" ht="16" thickBot="1" x14ac:dyDescent="0.25">
      <c r="A759" s="185"/>
      <c r="B759" s="185"/>
      <c r="C759" s="185"/>
      <c r="D759" s="185"/>
      <c r="E759" s="185"/>
      <c r="F759" s="185"/>
      <c r="G759" s="185"/>
      <c r="H759" s="185"/>
      <c r="I759" s="185"/>
      <c r="J759" s="185"/>
      <c r="K759" s="185"/>
      <c r="L759" s="185"/>
      <c r="M759" s="185"/>
      <c r="N759" s="185"/>
      <c r="O759" s="185"/>
      <c r="P759" s="185"/>
      <c r="Q759" s="185"/>
      <c r="R759" s="185"/>
      <c r="S759" s="185"/>
      <c r="T759" s="185"/>
      <c r="U759" s="185"/>
      <c r="V759" s="185"/>
      <c r="W759" s="185"/>
      <c r="X759" s="185"/>
      <c r="Y759" s="185"/>
      <c r="Z759" s="185"/>
    </row>
    <row r="760" spans="1:26" ht="16" thickBot="1" x14ac:dyDescent="0.25">
      <c r="A760" s="185"/>
      <c r="B760" s="185"/>
      <c r="C760" s="185"/>
      <c r="D760" s="185"/>
      <c r="E760" s="185"/>
      <c r="F760" s="185"/>
      <c r="G760" s="185"/>
      <c r="H760" s="185"/>
      <c r="I760" s="185"/>
      <c r="J760" s="185"/>
      <c r="K760" s="185"/>
      <c r="L760" s="185"/>
      <c r="M760" s="185"/>
      <c r="N760" s="185"/>
      <c r="O760" s="185"/>
      <c r="P760" s="185"/>
      <c r="Q760" s="185"/>
      <c r="R760" s="185"/>
      <c r="S760" s="185"/>
      <c r="T760" s="185"/>
      <c r="U760" s="185"/>
      <c r="V760" s="185"/>
      <c r="W760" s="185"/>
      <c r="X760" s="185"/>
      <c r="Y760" s="185"/>
      <c r="Z760" s="185"/>
    </row>
    <row r="761" spans="1:26" ht="16" thickBot="1" x14ac:dyDescent="0.25">
      <c r="A761" s="185"/>
      <c r="B761" s="185"/>
      <c r="C761" s="185"/>
      <c r="D761" s="185"/>
      <c r="E761" s="185"/>
      <c r="F761" s="185"/>
      <c r="G761" s="185"/>
      <c r="H761" s="185"/>
      <c r="I761" s="185"/>
      <c r="J761" s="185"/>
      <c r="K761" s="185"/>
      <c r="L761" s="185"/>
      <c r="M761" s="185"/>
      <c r="N761" s="185"/>
      <c r="O761" s="185"/>
      <c r="P761" s="185"/>
      <c r="Q761" s="185"/>
      <c r="R761" s="185"/>
      <c r="S761" s="185"/>
      <c r="T761" s="185"/>
      <c r="U761" s="185"/>
      <c r="V761" s="185"/>
      <c r="W761" s="185"/>
      <c r="X761" s="185"/>
      <c r="Y761" s="185"/>
      <c r="Z761" s="185"/>
    </row>
    <row r="762" spans="1:26" ht="16" thickBot="1" x14ac:dyDescent="0.25">
      <c r="A762" s="185"/>
      <c r="B762" s="185"/>
      <c r="C762" s="185"/>
      <c r="D762" s="185"/>
      <c r="E762" s="185"/>
      <c r="F762" s="185"/>
      <c r="G762" s="185"/>
      <c r="H762" s="185"/>
      <c r="I762" s="185"/>
      <c r="J762" s="185"/>
      <c r="K762" s="185"/>
      <c r="L762" s="185"/>
      <c r="M762" s="185"/>
      <c r="N762" s="185"/>
      <c r="O762" s="185"/>
      <c r="P762" s="185"/>
      <c r="Q762" s="185"/>
      <c r="R762" s="185"/>
      <c r="S762" s="185"/>
      <c r="T762" s="185"/>
      <c r="U762" s="185"/>
      <c r="V762" s="185"/>
      <c r="W762" s="185"/>
      <c r="X762" s="185"/>
      <c r="Y762" s="185"/>
      <c r="Z762" s="185"/>
    </row>
    <row r="763" spans="1:26" ht="16" thickBot="1" x14ac:dyDescent="0.25">
      <c r="A763" s="185"/>
      <c r="B763" s="185"/>
      <c r="C763" s="185"/>
      <c r="D763" s="185"/>
      <c r="E763" s="185"/>
      <c r="F763" s="185"/>
      <c r="G763" s="185"/>
      <c r="H763" s="185"/>
      <c r="I763" s="185"/>
      <c r="J763" s="185"/>
      <c r="K763" s="185"/>
      <c r="L763" s="185"/>
      <c r="M763" s="185"/>
      <c r="N763" s="185"/>
      <c r="O763" s="185"/>
      <c r="P763" s="185"/>
      <c r="Q763" s="185"/>
      <c r="R763" s="185"/>
      <c r="S763" s="185"/>
      <c r="T763" s="185"/>
      <c r="U763" s="185"/>
      <c r="V763" s="185"/>
      <c r="W763" s="185"/>
      <c r="X763" s="185"/>
      <c r="Y763" s="185"/>
      <c r="Z763" s="185"/>
    </row>
    <row r="764" spans="1:26" ht="16" thickBot="1" x14ac:dyDescent="0.25">
      <c r="A764" s="185"/>
      <c r="B764" s="185"/>
      <c r="C764" s="185"/>
      <c r="D764" s="185"/>
      <c r="E764" s="185"/>
      <c r="F764" s="185"/>
      <c r="G764" s="185"/>
      <c r="H764" s="185"/>
      <c r="I764" s="185"/>
      <c r="J764" s="185"/>
      <c r="K764" s="185"/>
      <c r="L764" s="185"/>
      <c r="M764" s="185"/>
      <c r="N764" s="185"/>
      <c r="O764" s="185"/>
      <c r="P764" s="185"/>
      <c r="Q764" s="185"/>
      <c r="R764" s="185"/>
      <c r="S764" s="185"/>
      <c r="T764" s="185"/>
      <c r="U764" s="185"/>
      <c r="V764" s="185"/>
      <c r="W764" s="185"/>
      <c r="X764" s="185"/>
      <c r="Y764" s="185"/>
      <c r="Z764" s="185"/>
    </row>
    <row r="765" spans="1:26" ht="16" thickBot="1" x14ac:dyDescent="0.25">
      <c r="A765" s="185"/>
      <c r="B765" s="185"/>
      <c r="C765" s="185"/>
      <c r="D765" s="185"/>
      <c r="E765" s="185"/>
      <c r="F765" s="185"/>
      <c r="G765" s="185"/>
      <c r="H765" s="185"/>
      <c r="I765" s="185"/>
      <c r="J765" s="185"/>
      <c r="K765" s="185"/>
      <c r="L765" s="185"/>
      <c r="M765" s="185"/>
      <c r="N765" s="185"/>
      <c r="O765" s="185"/>
      <c r="P765" s="185"/>
      <c r="Q765" s="185"/>
      <c r="R765" s="185"/>
      <c r="S765" s="185"/>
      <c r="T765" s="185"/>
      <c r="U765" s="185"/>
      <c r="V765" s="185"/>
      <c r="W765" s="185"/>
      <c r="X765" s="185"/>
      <c r="Y765" s="185"/>
      <c r="Z765" s="185"/>
    </row>
    <row r="766" spans="1:26" ht="16" thickBot="1" x14ac:dyDescent="0.25">
      <c r="A766" s="185"/>
      <c r="B766" s="185"/>
      <c r="C766" s="185"/>
      <c r="D766" s="185"/>
      <c r="E766" s="185"/>
      <c r="F766" s="185"/>
      <c r="G766" s="185"/>
      <c r="H766" s="185"/>
      <c r="I766" s="185"/>
      <c r="J766" s="185"/>
      <c r="K766" s="185"/>
      <c r="L766" s="185"/>
      <c r="M766" s="185"/>
      <c r="N766" s="185"/>
      <c r="O766" s="185"/>
      <c r="P766" s="185"/>
      <c r="Q766" s="185"/>
      <c r="R766" s="185"/>
      <c r="S766" s="185"/>
      <c r="T766" s="185"/>
      <c r="U766" s="185"/>
      <c r="V766" s="185"/>
      <c r="W766" s="185"/>
      <c r="X766" s="185"/>
      <c r="Y766" s="185"/>
      <c r="Z766" s="185"/>
    </row>
    <row r="767" spans="1:26" ht="16" thickBot="1" x14ac:dyDescent="0.25">
      <c r="A767" s="185"/>
      <c r="B767" s="185"/>
      <c r="C767" s="185"/>
      <c r="D767" s="185"/>
      <c r="E767" s="185"/>
      <c r="F767" s="185"/>
      <c r="G767" s="185"/>
      <c r="H767" s="185"/>
      <c r="I767" s="185"/>
      <c r="J767" s="185"/>
      <c r="K767" s="185"/>
      <c r="L767" s="185"/>
      <c r="M767" s="185"/>
      <c r="N767" s="185"/>
      <c r="O767" s="185"/>
      <c r="P767" s="185"/>
      <c r="Q767" s="185"/>
      <c r="R767" s="185"/>
      <c r="S767" s="185"/>
      <c r="T767" s="185"/>
      <c r="U767" s="185"/>
      <c r="V767" s="185"/>
      <c r="W767" s="185"/>
      <c r="X767" s="185"/>
      <c r="Y767" s="185"/>
      <c r="Z767" s="185"/>
    </row>
    <row r="768" spans="1:26" ht="16" thickBot="1" x14ac:dyDescent="0.25">
      <c r="A768" s="185"/>
      <c r="B768" s="185"/>
      <c r="C768" s="185"/>
      <c r="D768" s="185"/>
      <c r="E768" s="185"/>
      <c r="F768" s="185"/>
      <c r="G768" s="185"/>
      <c r="H768" s="185"/>
      <c r="I768" s="185"/>
      <c r="J768" s="185"/>
      <c r="K768" s="185"/>
      <c r="L768" s="185"/>
      <c r="M768" s="185"/>
      <c r="N768" s="185"/>
      <c r="O768" s="185"/>
      <c r="P768" s="185"/>
      <c r="Q768" s="185"/>
      <c r="R768" s="185"/>
      <c r="S768" s="185"/>
      <c r="T768" s="185"/>
      <c r="U768" s="185"/>
      <c r="V768" s="185"/>
      <c r="W768" s="185"/>
      <c r="X768" s="185"/>
      <c r="Y768" s="185"/>
      <c r="Z768" s="185"/>
    </row>
    <row r="769" spans="1:26" ht="16" thickBot="1" x14ac:dyDescent="0.25">
      <c r="A769" s="185"/>
      <c r="B769" s="185"/>
      <c r="C769" s="185"/>
      <c r="D769" s="185"/>
      <c r="E769" s="185"/>
      <c r="F769" s="185"/>
      <c r="G769" s="185"/>
      <c r="H769" s="185"/>
      <c r="I769" s="185"/>
      <c r="J769" s="185"/>
      <c r="K769" s="185"/>
      <c r="L769" s="185"/>
      <c r="M769" s="185"/>
      <c r="N769" s="185"/>
      <c r="O769" s="185"/>
      <c r="P769" s="185"/>
      <c r="Q769" s="185"/>
      <c r="R769" s="185"/>
      <c r="S769" s="185"/>
      <c r="T769" s="185"/>
      <c r="U769" s="185"/>
      <c r="V769" s="185"/>
      <c r="W769" s="185"/>
      <c r="X769" s="185"/>
      <c r="Y769" s="185"/>
      <c r="Z769" s="185"/>
    </row>
    <row r="770" spans="1:26" ht="16" thickBot="1" x14ac:dyDescent="0.25">
      <c r="A770" s="185"/>
      <c r="B770" s="185"/>
      <c r="C770" s="185"/>
      <c r="D770" s="185"/>
      <c r="E770" s="185"/>
      <c r="F770" s="185"/>
      <c r="G770" s="185"/>
      <c r="H770" s="185"/>
      <c r="I770" s="185"/>
      <c r="J770" s="185"/>
      <c r="K770" s="185"/>
      <c r="L770" s="185"/>
      <c r="M770" s="185"/>
      <c r="N770" s="185"/>
      <c r="O770" s="185"/>
      <c r="P770" s="185"/>
      <c r="Q770" s="185"/>
      <c r="R770" s="185"/>
      <c r="S770" s="185"/>
      <c r="T770" s="185"/>
      <c r="U770" s="185"/>
      <c r="V770" s="185"/>
      <c r="W770" s="185"/>
      <c r="X770" s="185"/>
      <c r="Y770" s="185"/>
      <c r="Z770" s="185"/>
    </row>
    <row r="771" spans="1:26" ht="16" thickBot="1" x14ac:dyDescent="0.25">
      <c r="A771" s="185"/>
      <c r="B771" s="185"/>
      <c r="C771" s="185"/>
      <c r="D771" s="185"/>
      <c r="E771" s="185"/>
      <c r="F771" s="185"/>
      <c r="G771" s="185"/>
      <c r="H771" s="185"/>
      <c r="I771" s="185"/>
      <c r="J771" s="185"/>
      <c r="K771" s="185"/>
      <c r="L771" s="185"/>
      <c r="M771" s="185"/>
      <c r="N771" s="185"/>
      <c r="O771" s="185"/>
      <c r="P771" s="185"/>
      <c r="Q771" s="185"/>
      <c r="R771" s="185"/>
      <c r="S771" s="185"/>
      <c r="T771" s="185"/>
      <c r="U771" s="185"/>
      <c r="V771" s="185"/>
      <c r="W771" s="185"/>
      <c r="X771" s="185"/>
      <c r="Y771" s="185"/>
      <c r="Z771" s="185"/>
    </row>
    <row r="772" spans="1:26" ht="16" thickBot="1" x14ac:dyDescent="0.25">
      <c r="A772" s="185"/>
      <c r="B772" s="185"/>
      <c r="C772" s="185"/>
      <c r="D772" s="185"/>
      <c r="E772" s="185"/>
      <c r="F772" s="185"/>
      <c r="G772" s="185"/>
      <c r="H772" s="185"/>
      <c r="I772" s="185"/>
      <c r="J772" s="185"/>
      <c r="K772" s="185"/>
      <c r="L772" s="185"/>
      <c r="M772" s="185"/>
      <c r="N772" s="185"/>
      <c r="O772" s="185"/>
      <c r="P772" s="185"/>
      <c r="Q772" s="185"/>
      <c r="R772" s="185"/>
      <c r="S772" s="185"/>
      <c r="T772" s="185"/>
      <c r="U772" s="185"/>
      <c r="V772" s="185"/>
      <c r="W772" s="185"/>
      <c r="X772" s="185"/>
      <c r="Y772" s="185"/>
      <c r="Z772" s="185"/>
    </row>
    <row r="773" spans="1:26" ht="16" thickBot="1" x14ac:dyDescent="0.25">
      <c r="A773" s="185"/>
      <c r="B773" s="185"/>
      <c r="C773" s="185"/>
      <c r="D773" s="185"/>
      <c r="E773" s="185"/>
      <c r="F773" s="185"/>
      <c r="G773" s="185"/>
      <c r="H773" s="185"/>
      <c r="I773" s="185"/>
      <c r="J773" s="185"/>
      <c r="K773" s="185"/>
      <c r="L773" s="185"/>
      <c r="M773" s="185"/>
      <c r="N773" s="185"/>
      <c r="O773" s="185"/>
      <c r="P773" s="185"/>
      <c r="Q773" s="185"/>
      <c r="R773" s="185"/>
      <c r="S773" s="185"/>
      <c r="T773" s="185"/>
      <c r="U773" s="185"/>
      <c r="V773" s="185"/>
      <c r="W773" s="185"/>
      <c r="X773" s="185"/>
      <c r="Y773" s="185"/>
      <c r="Z773" s="185"/>
    </row>
    <row r="774" spans="1:26" ht="16" thickBot="1" x14ac:dyDescent="0.25">
      <c r="A774" s="185"/>
      <c r="B774" s="185"/>
      <c r="C774" s="185"/>
      <c r="D774" s="185"/>
      <c r="E774" s="185"/>
      <c r="F774" s="185"/>
      <c r="G774" s="185"/>
      <c r="H774" s="185"/>
      <c r="I774" s="185"/>
      <c r="J774" s="185"/>
      <c r="K774" s="185"/>
      <c r="L774" s="185"/>
      <c r="M774" s="185"/>
      <c r="N774" s="185"/>
      <c r="O774" s="185"/>
      <c r="P774" s="185"/>
      <c r="Q774" s="185"/>
      <c r="R774" s="185"/>
      <c r="S774" s="185"/>
      <c r="T774" s="185"/>
      <c r="U774" s="185"/>
      <c r="V774" s="185"/>
      <c r="W774" s="185"/>
      <c r="X774" s="185"/>
      <c r="Y774" s="185"/>
      <c r="Z774" s="185"/>
    </row>
    <row r="775" spans="1:26" ht="16" thickBot="1" x14ac:dyDescent="0.25">
      <c r="A775" s="185"/>
      <c r="B775" s="185"/>
      <c r="C775" s="185"/>
      <c r="D775" s="185"/>
      <c r="E775" s="185"/>
      <c r="F775" s="185"/>
      <c r="G775" s="185"/>
      <c r="H775" s="185"/>
      <c r="I775" s="185"/>
      <c r="J775" s="185"/>
      <c r="K775" s="185"/>
      <c r="L775" s="185"/>
      <c r="M775" s="185"/>
      <c r="N775" s="185"/>
      <c r="O775" s="185"/>
      <c r="P775" s="185"/>
      <c r="Q775" s="185"/>
      <c r="R775" s="185"/>
      <c r="S775" s="185"/>
      <c r="T775" s="185"/>
      <c r="U775" s="185"/>
      <c r="V775" s="185"/>
      <c r="W775" s="185"/>
      <c r="X775" s="185"/>
      <c r="Y775" s="185"/>
      <c r="Z775" s="185"/>
    </row>
    <row r="776" spans="1:26" ht="16" thickBot="1" x14ac:dyDescent="0.25">
      <c r="A776" s="185"/>
      <c r="B776" s="185"/>
      <c r="C776" s="185"/>
      <c r="D776" s="185"/>
      <c r="E776" s="185"/>
      <c r="F776" s="185"/>
      <c r="G776" s="185"/>
      <c r="H776" s="185"/>
      <c r="I776" s="185"/>
      <c r="J776" s="185"/>
      <c r="K776" s="185"/>
      <c r="L776" s="185"/>
      <c r="M776" s="185"/>
      <c r="N776" s="185"/>
      <c r="O776" s="185"/>
      <c r="P776" s="185"/>
      <c r="Q776" s="185"/>
      <c r="R776" s="185"/>
      <c r="S776" s="185"/>
      <c r="T776" s="185"/>
      <c r="U776" s="185"/>
      <c r="V776" s="185"/>
      <c r="W776" s="185"/>
      <c r="X776" s="185"/>
      <c r="Y776" s="185"/>
      <c r="Z776" s="185"/>
    </row>
    <row r="777" spans="1:26" ht="16" thickBot="1" x14ac:dyDescent="0.25">
      <c r="A777" s="185"/>
      <c r="B777" s="185"/>
      <c r="C777" s="185"/>
      <c r="D777" s="185"/>
      <c r="E777" s="185"/>
      <c r="F777" s="185"/>
      <c r="G777" s="185"/>
      <c r="H777" s="185"/>
      <c r="I777" s="185"/>
      <c r="J777" s="185"/>
      <c r="K777" s="185"/>
      <c r="L777" s="185"/>
      <c r="M777" s="185"/>
      <c r="N777" s="185"/>
      <c r="O777" s="185"/>
      <c r="P777" s="185"/>
      <c r="Q777" s="185"/>
      <c r="R777" s="185"/>
      <c r="S777" s="185"/>
      <c r="T777" s="185"/>
      <c r="U777" s="185"/>
      <c r="V777" s="185"/>
      <c r="W777" s="185"/>
      <c r="X777" s="185"/>
      <c r="Y777" s="185"/>
      <c r="Z777" s="185"/>
    </row>
    <row r="778" spans="1:26" ht="16" thickBot="1" x14ac:dyDescent="0.25">
      <c r="A778" s="185"/>
      <c r="B778" s="185"/>
      <c r="C778" s="185"/>
      <c r="D778" s="185"/>
      <c r="E778" s="185"/>
      <c r="F778" s="185"/>
      <c r="G778" s="185"/>
      <c r="H778" s="185"/>
      <c r="I778" s="185"/>
      <c r="J778" s="185"/>
      <c r="K778" s="185"/>
      <c r="L778" s="185"/>
      <c r="M778" s="185"/>
      <c r="N778" s="185"/>
      <c r="O778" s="185"/>
      <c r="P778" s="185"/>
      <c r="Q778" s="185"/>
      <c r="R778" s="185"/>
      <c r="S778" s="185"/>
      <c r="T778" s="185"/>
      <c r="U778" s="185"/>
      <c r="V778" s="185"/>
      <c r="W778" s="185"/>
      <c r="X778" s="185"/>
      <c r="Y778" s="185"/>
      <c r="Z778" s="185"/>
    </row>
    <row r="779" spans="1:26" ht="16" thickBot="1" x14ac:dyDescent="0.25">
      <c r="A779" s="185"/>
      <c r="B779" s="185"/>
      <c r="C779" s="185"/>
      <c r="D779" s="185"/>
      <c r="E779" s="185"/>
      <c r="F779" s="185"/>
      <c r="G779" s="185"/>
      <c r="H779" s="185"/>
      <c r="I779" s="185"/>
      <c r="J779" s="185"/>
      <c r="K779" s="185"/>
      <c r="L779" s="185"/>
      <c r="M779" s="185"/>
      <c r="N779" s="185"/>
      <c r="O779" s="185"/>
      <c r="P779" s="185"/>
      <c r="Q779" s="185"/>
      <c r="R779" s="185"/>
      <c r="S779" s="185"/>
      <c r="T779" s="185"/>
      <c r="U779" s="185"/>
      <c r="V779" s="185"/>
      <c r="W779" s="185"/>
      <c r="X779" s="185"/>
      <c r="Y779" s="185"/>
      <c r="Z779" s="185"/>
    </row>
    <row r="780" spans="1:26" ht="16" thickBot="1" x14ac:dyDescent="0.25">
      <c r="A780" s="185"/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5"/>
      <c r="O780" s="185"/>
      <c r="P780" s="185"/>
      <c r="Q780" s="185"/>
      <c r="R780" s="185"/>
      <c r="S780" s="185"/>
      <c r="T780" s="185"/>
      <c r="U780" s="185"/>
      <c r="V780" s="185"/>
      <c r="W780" s="185"/>
      <c r="X780" s="185"/>
      <c r="Y780" s="185"/>
      <c r="Z780" s="185"/>
    </row>
    <row r="781" spans="1:26" ht="16" thickBot="1" x14ac:dyDescent="0.25">
      <c r="A781" s="185"/>
      <c r="B781" s="185"/>
      <c r="C781" s="185"/>
      <c r="D781" s="185"/>
      <c r="E781" s="185"/>
      <c r="F781" s="185"/>
      <c r="G781" s="185"/>
      <c r="H781" s="185"/>
      <c r="I781" s="185"/>
      <c r="J781" s="185"/>
      <c r="K781" s="185"/>
      <c r="L781" s="185"/>
      <c r="M781" s="185"/>
      <c r="N781" s="185"/>
      <c r="O781" s="185"/>
      <c r="P781" s="185"/>
      <c r="Q781" s="185"/>
      <c r="R781" s="185"/>
      <c r="S781" s="185"/>
      <c r="T781" s="185"/>
      <c r="U781" s="185"/>
      <c r="V781" s="185"/>
      <c r="W781" s="185"/>
      <c r="X781" s="185"/>
      <c r="Y781" s="185"/>
      <c r="Z781" s="185"/>
    </row>
    <row r="782" spans="1:26" ht="16" thickBot="1" x14ac:dyDescent="0.25">
      <c r="A782" s="185"/>
      <c r="B782" s="185"/>
      <c r="C782" s="185"/>
      <c r="D782" s="185"/>
      <c r="E782" s="185"/>
      <c r="F782" s="185"/>
      <c r="G782" s="185"/>
      <c r="H782" s="185"/>
      <c r="I782" s="185"/>
      <c r="J782" s="185"/>
      <c r="K782" s="185"/>
      <c r="L782" s="185"/>
      <c r="M782" s="185"/>
      <c r="N782" s="185"/>
      <c r="O782" s="185"/>
      <c r="P782" s="185"/>
      <c r="Q782" s="185"/>
      <c r="R782" s="185"/>
      <c r="S782" s="185"/>
      <c r="T782" s="185"/>
      <c r="U782" s="185"/>
      <c r="V782" s="185"/>
      <c r="W782" s="185"/>
      <c r="X782" s="185"/>
      <c r="Y782" s="185"/>
      <c r="Z782" s="185"/>
    </row>
    <row r="783" spans="1:26" ht="16" thickBot="1" x14ac:dyDescent="0.25">
      <c r="A783" s="185"/>
      <c r="B783" s="185"/>
      <c r="C783" s="185"/>
      <c r="D783" s="185"/>
      <c r="E783" s="185"/>
      <c r="F783" s="185"/>
      <c r="G783" s="185"/>
      <c r="H783" s="185"/>
      <c r="I783" s="185"/>
      <c r="J783" s="185"/>
      <c r="K783" s="185"/>
      <c r="L783" s="185"/>
      <c r="M783" s="185"/>
      <c r="N783" s="185"/>
      <c r="O783" s="185"/>
      <c r="P783" s="185"/>
      <c r="Q783" s="185"/>
      <c r="R783" s="185"/>
      <c r="S783" s="185"/>
      <c r="T783" s="185"/>
      <c r="U783" s="185"/>
      <c r="V783" s="185"/>
      <c r="W783" s="185"/>
      <c r="X783" s="185"/>
      <c r="Y783" s="185"/>
      <c r="Z783" s="185"/>
    </row>
    <row r="784" spans="1:26" ht="16" thickBot="1" x14ac:dyDescent="0.25">
      <c r="A784" s="185"/>
      <c r="B784" s="185"/>
      <c r="C784" s="185"/>
      <c r="D784" s="185"/>
      <c r="E784" s="185"/>
      <c r="F784" s="185"/>
      <c r="G784" s="185"/>
      <c r="H784" s="185"/>
      <c r="I784" s="185"/>
      <c r="J784" s="185"/>
      <c r="K784" s="185"/>
      <c r="L784" s="185"/>
      <c r="M784" s="185"/>
      <c r="N784" s="185"/>
      <c r="O784" s="185"/>
      <c r="P784" s="185"/>
      <c r="Q784" s="185"/>
      <c r="R784" s="185"/>
      <c r="S784" s="185"/>
      <c r="T784" s="185"/>
      <c r="U784" s="185"/>
      <c r="V784" s="185"/>
      <c r="W784" s="185"/>
      <c r="X784" s="185"/>
      <c r="Y784" s="185"/>
      <c r="Z784" s="185"/>
    </row>
    <row r="785" spans="1:26" ht="16" thickBot="1" x14ac:dyDescent="0.25">
      <c r="A785" s="185"/>
      <c r="B785" s="185"/>
      <c r="C785" s="185"/>
      <c r="D785" s="185"/>
      <c r="E785" s="185"/>
      <c r="F785" s="185"/>
      <c r="G785" s="185"/>
      <c r="H785" s="185"/>
      <c r="I785" s="185"/>
      <c r="J785" s="185"/>
      <c r="K785" s="185"/>
      <c r="L785" s="185"/>
      <c r="M785" s="185"/>
      <c r="N785" s="185"/>
      <c r="O785" s="185"/>
      <c r="P785" s="185"/>
      <c r="Q785" s="185"/>
      <c r="R785" s="185"/>
      <c r="S785" s="185"/>
      <c r="T785" s="185"/>
      <c r="U785" s="185"/>
      <c r="V785" s="185"/>
      <c r="W785" s="185"/>
      <c r="X785" s="185"/>
      <c r="Y785" s="185"/>
      <c r="Z785" s="185"/>
    </row>
    <row r="786" spans="1:26" ht="16" thickBot="1" x14ac:dyDescent="0.25">
      <c r="A786" s="185"/>
      <c r="B786" s="185"/>
      <c r="C786" s="185"/>
      <c r="D786" s="185"/>
      <c r="E786" s="185"/>
      <c r="F786" s="185"/>
      <c r="G786" s="185"/>
      <c r="H786" s="185"/>
      <c r="I786" s="185"/>
      <c r="J786" s="185"/>
      <c r="K786" s="185"/>
      <c r="L786" s="185"/>
      <c r="M786" s="185"/>
      <c r="N786" s="185"/>
      <c r="O786" s="185"/>
      <c r="P786" s="185"/>
      <c r="Q786" s="185"/>
      <c r="R786" s="185"/>
      <c r="S786" s="185"/>
      <c r="T786" s="185"/>
      <c r="U786" s="185"/>
      <c r="V786" s="185"/>
      <c r="W786" s="185"/>
      <c r="X786" s="185"/>
      <c r="Y786" s="185"/>
      <c r="Z786" s="185"/>
    </row>
    <row r="787" spans="1:26" ht="16" thickBot="1" x14ac:dyDescent="0.25">
      <c r="A787" s="185"/>
      <c r="B787" s="185"/>
      <c r="C787" s="185"/>
      <c r="D787" s="185"/>
      <c r="E787" s="185"/>
      <c r="F787" s="185"/>
      <c r="G787" s="185"/>
      <c r="H787" s="185"/>
      <c r="I787" s="185"/>
      <c r="J787" s="185"/>
      <c r="K787" s="185"/>
      <c r="L787" s="185"/>
      <c r="M787" s="185"/>
      <c r="N787" s="185"/>
      <c r="O787" s="185"/>
      <c r="P787" s="185"/>
      <c r="Q787" s="185"/>
      <c r="R787" s="185"/>
      <c r="S787" s="185"/>
      <c r="T787" s="185"/>
      <c r="U787" s="185"/>
      <c r="V787" s="185"/>
      <c r="W787" s="185"/>
      <c r="X787" s="185"/>
      <c r="Y787" s="185"/>
      <c r="Z787" s="185"/>
    </row>
    <row r="788" spans="1:26" ht="16" thickBot="1" x14ac:dyDescent="0.25">
      <c r="A788" s="185"/>
      <c r="B788" s="185"/>
      <c r="C788" s="185"/>
      <c r="D788" s="185"/>
      <c r="E788" s="185"/>
      <c r="F788" s="185"/>
      <c r="G788" s="185"/>
      <c r="H788" s="185"/>
      <c r="I788" s="185"/>
      <c r="J788" s="185"/>
      <c r="K788" s="185"/>
      <c r="L788" s="185"/>
      <c r="M788" s="185"/>
      <c r="N788" s="185"/>
      <c r="O788" s="185"/>
      <c r="P788" s="185"/>
      <c r="Q788" s="185"/>
      <c r="R788" s="185"/>
      <c r="S788" s="185"/>
      <c r="T788" s="185"/>
      <c r="U788" s="185"/>
      <c r="V788" s="185"/>
      <c r="W788" s="185"/>
      <c r="X788" s="185"/>
      <c r="Y788" s="185"/>
      <c r="Z788" s="185"/>
    </row>
    <row r="789" spans="1:26" ht="16" thickBot="1" x14ac:dyDescent="0.25">
      <c r="A789" s="185"/>
      <c r="B789" s="185"/>
      <c r="C789" s="185"/>
      <c r="D789" s="185"/>
      <c r="E789" s="185"/>
      <c r="F789" s="185"/>
      <c r="G789" s="185"/>
      <c r="H789" s="185"/>
      <c r="I789" s="185"/>
      <c r="J789" s="185"/>
      <c r="K789" s="185"/>
      <c r="L789" s="185"/>
      <c r="M789" s="185"/>
      <c r="N789" s="185"/>
      <c r="O789" s="185"/>
      <c r="P789" s="185"/>
      <c r="Q789" s="185"/>
      <c r="R789" s="185"/>
      <c r="S789" s="185"/>
      <c r="T789" s="185"/>
      <c r="U789" s="185"/>
      <c r="V789" s="185"/>
      <c r="W789" s="185"/>
      <c r="X789" s="185"/>
      <c r="Y789" s="185"/>
      <c r="Z789" s="185"/>
    </row>
    <row r="790" spans="1:26" ht="16" thickBot="1" x14ac:dyDescent="0.25">
      <c r="A790" s="185"/>
      <c r="B790" s="185"/>
      <c r="C790" s="185"/>
      <c r="D790" s="185"/>
      <c r="E790" s="185"/>
      <c r="F790" s="185"/>
      <c r="G790" s="185"/>
      <c r="H790" s="185"/>
      <c r="I790" s="185"/>
      <c r="J790" s="185"/>
      <c r="K790" s="185"/>
      <c r="L790" s="185"/>
      <c r="M790" s="185"/>
      <c r="N790" s="185"/>
      <c r="O790" s="185"/>
      <c r="P790" s="185"/>
      <c r="Q790" s="185"/>
      <c r="R790" s="185"/>
      <c r="S790" s="185"/>
      <c r="T790" s="185"/>
      <c r="U790" s="185"/>
      <c r="V790" s="185"/>
      <c r="W790" s="185"/>
      <c r="X790" s="185"/>
      <c r="Y790" s="185"/>
      <c r="Z790" s="185"/>
    </row>
    <row r="791" spans="1:26" ht="16" thickBot="1" x14ac:dyDescent="0.25">
      <c r="A791" s="185"/>
      <c r="B791" s="185"/>
      <c r="C791" s="185"/>
      <c r="D791" s="185"/>
      <c r="E791" s="185"/>
      <c r="F791" s="185"/>
      <c r="G791" s="185"/>
      <c r="H791" s="185"/>
      <c r="I791" s="185"/>
      <c r="J791" s="185"/>
      <c r="K791" s="185"/>
      <c r="L791" s="185"/>
      <c r="M791" s="185"/>
      <c r="N791" s="185"/>
      <c r="O791" s="185"/>
      <c r="P791" s="185"/>
      <c r="Q791" s="185"/>
      <c r="R791" s="185"/>
      <c r="S791" s="185"/>
      <c r="T791" s="185"/>
      <c r="U791" s="185"/>
      <c r="V791" s="185"/>
      <c r="W791" s="185"/>
      <c r="X791" s="185"/>
      <c r="Y791" s="185"/>
      <c r="Z791" s="185"/>
    </row>
    <row r="792" spans="1:26" ht="16" thickBot="1" x14ac:dyDescent="0.25">
      <c r="A792" s="185"/>
      <c r="B792" s="185"/>
      <c r="C792" s="185"/>
      <c r="D792" s="185"/>
      <c r="E792" s="185"/>
      <c r="F792" s="185"/>
      <c r="G792" s="185"/>
      <c r="H792" s="185"/>
      <c r="I792" s="185"/>
      <c r="J792" s="185"/>
      <c r="K792" s="185"/>
      <c r="L792" s="185"/>
      <c r="M792" s="185"/>
      <c r="N792" s="185"/>
      <c r="O792" s="185"/>
      <c r="P792" s="185"/>
      <c r="Q792" s="185"/>
      <c r="R792" s="185"/>
      <c r="S792" s="185"/>
      <c r="T792" s="185"/>
      <c r="U792" s="185"/>
      <c r="V792" s="185"/>
      <c r="W792" s="185"/>
      <c r="X792" s="185"/>
      <c r="Y792" s="185"/>
      <c r="Z792" s="185"/>
    </row>
    <row r="793" spans="1:26" ht="16" thickBot="1" x14ac:dyDescent="0.25">
      <c r="A793" s="185"/>
      <c r="B793" s="185"/>
      <c r="C793" s="185"/>
      <c r="D793" s="185"/>
      <c r="E793" s="185"/>
      <c r="F793" s="185"/>
      <c r="G793" s="185"/>
      <c r="H793" s="185"/>
      <c r="I793" s="185"/>
      <c r="J793" s="185"/>
      <c r="K793" s="185"/>
      <c r="L793" s="185"/>
      <c r="M793" s="185"/>
      <c r="N793" s="185"/>
      <c r="O793" s="185"/>
      <c r="P793" s="185"/>
      <c r="Q793" s="185"/>
      <c r="R793" s="185"/>
      <c r="S793" s="185"/>
      <c r="T793" s="185"/>
      <c r="U793" s="185"/>
      <c r="V793" s="185"/>
      <c r="W793" s="185"/>
      <c r="X793" s="185"/>
      <c r="Y793" s="185"/>
      <c r="Z793" s="185"/>
    </row>
    <row r="794" spans="1:26" ht="16" thickBot="1" x14ac:dyDescent="0.25">
      <c r="A794" s="185"/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5"/>
      <c r="O794" s="185"/>
      <c r="P794" s="185"/>
      <c r="Q794" s="185"/>
      <c r="R794" s="185"/>
      <c r="S794" s="185"/>
      <c r="T794" s="185"/>
      <c r="U794" s="185"/>
      <c r="V794" s="185"/>
      <c r="W794" s="185"/>
      <c r="X794" s="185"/>
      <c r="Y794" s="185"/>
      <c r="Z794" s="185"/>
    </row>
    <row r="795" spans="1:26" ht="16" thickBot="1" x14ac:dyDescent="0.25">
      <c r="A795" s="185"/>
      <c r="B795" s="185"/>
      <c r="C795" s="185"/>
      <c r="D795" s="185"/>
      <c r="E795" s="185"/>
      <c r="F795" s="185"/>
      <c r="G795" s="185"/>
      <c r="H795" s="185"/>
      <c r="I795" s="185"/>
      <c r="J795" s="185"/>
      <c r="K795" s="185"/>
      <c r="L795" s="185"/>
      <c r="M795" s="185"/>
      <c r="N795" s="185"/>
      <c r="O795" s="185"/>
      <c r="P795" s="185"/>
      <c r="Q795" s="185"/>
      <c r="R795" s="185"/>
      <c r="S795" s="185"/>
      <c r="T795" s="185"/>
      <c r="U795" s="185"/>
      <c r="V795" s="185"/>
      <c r="W795" s="185"/>
      <c r="X795" s="185"/>
      <c r="Y795" s="185"/>
      <c r="Z795" s="185"/>
    </row>
    <row r="796" spans="1:26" ht="16" thickBot="1" x14ac:dyDescent="0.25">
      <c r="A796" s="185"/>
      <c r="B796" s="185"/>
      <c r="C796" s="185"/>
      <c r="D796" s="185"/>
      <c r="E796" s="185"/>
      <c r="F796" s="185"/>
      <c r="G796" s="185"/>
      <c r="H796" s="185"/>
      <c r="I796" s="185"/>
      <c r="J796" s="185"/>
      <c r="K796" s="185"/>
      <c r="L796" s="185"/>
      <c r="M796" s="185"/>
      <c r="N796" s="185"/>
      <c r="O796" s="185"/>
      <c r="P796" s="185"/>
      <c r="Q796" s="185"/>
      <c r="R796" s="185"/>
      <c r="S796" s="185"/>
      <c r="T796" s="185"/>
      <c r="U796" s="185"/>
      <c r="V796" s="185"/>
      <c r="W796" s="185"/>
      <c r="X796" s="185"/>
      <c r="Y796" s="185"/>
      <c r="Z796" s="185"/>
    </row>
    <row r="797" spans="1:26" ht="16" thickBot="1" x14ac:dyDescent="0.25">
      <c r="A797" s="185"/>
      <c r="B797" s="185"/>
      <c r="C797" s="185"/>
      <c r="D797" s="185"/>
      <c r="E797" s="185"/>
      <c r="F797" s="185"/>
      <c r="G797" s="185"/>
      <c r="H797" s="185"/>
      <c r="I797" s="185"/>
      <c r="J797" s="185"/>
      <c r="K797" s="185"/>
      <c r="L797" s="185"/>
      <c r="M797" s="185"/>
      <c r="N797" s="185"/>
      <c r="O797" s="185"/>
      <c r="P797" s="185"/>
      <c r="Q797" s="185"/>
      <c r="R797" s="185"/>
      <c r="S797" s="185"/>
      <c r="T797" s="185"/>
      <c r="U797" s="185"/>
      <c r="V797" s="185"/>
      <c r="W797" s="185"/>
      <c r="X797" s="185"/>
      <c r="Y797" s="185"/>
      <c r="Z797" s="185"/>
    </row>
    <row r="798" spans="1:26" ht="16" thickBot="1" x14ac:dyDescent="0.25">
      <c r="A798" s="185"/>
      <c r="B798" s="185"/>
      <c r="C798" s="185"/>
      <c r="D798" s="185"/>
      <c r="E798" s="185"/>
      <c r="F798" s="185"/>
      <c r="G798" s="185"/>
      <c r="H798" s="185"/>
      <c r="I798" s="185"/>
      <c r="J798" s="185"/>
      <c r="K798" s="185"/>
      <c r="L798" s="185"/>
      <c r="M798" s="185"/>
      <c r="N798" s="185"/>
      <c r="O798" s="185"/>
      <c r="P798" s="185"/>
      <c r="Q798" s="185"/>
      <c r="R798" s="185"/>
      <c r="S798" s="185"/>
      <c r="T798" s="185"/>
      <c r="U798" s="185"/>
      <c r="V798" s="185"/>
      <c r="W798" s="185"/>
      <c r="X798" s="185"/>
      <c r="Y798" s="185"/>
      <c r="Z798" s="185"/>
    </row>
    <row r="799" spans="1:26" ht="16" thickBot="1" x14ac:dyDescent="0.25">
      <c r="A799" s="185"/>
      <c r="B799" s="185"/>
      <c r="C799" s="185"/>
      <c r="D799" s="185"/>
      <c r="E799" s="185"/>
      <c r="F799" s="185"/>
      <c r="G799" s="185"/>
      <c r="H799" s="185"/>
      <c r="I799" s="185"/>
      <c r="J799" s="185"/>
      <c r="K799" s="185"/>
      <c r="L799" s="185"/>
      <c r="M799" s="185"/>
      <c r="N799" s="185"/>
      <c r="O799" s="185"/>
      <c r="P799" s="185"/>
      <c r="Q799" s="185"/>
      <c r="R799" s="185"/>
      <c r="S799" s="185"/>
      <c r="T799" s="185"/>
      <c r="U799" s="185"/>
      <c r="V799" s="185"/>
      <c r="W799" s="185"/>
      <c r="X799" s="185"/>
      <c r="Y799" s="185"/>
      <c r="Z799" s="185"/>
    </row>
    <row r="800" spans="1:26" ht="16" thickBot="1" x14ac:dyDescent="0.25">
      <c r="A800" s="185"/>
      <c r="B800" s="185"/>
      <c r="C800" s="185"/>
      <c r="D800" s="185"/>
      <c r="E800" s="185"/>
      <c r="F800" s="185"/>
      <c r="G800" s="185"/>
      <c r="H800" s="185"/>
      <c r="I800" s="185"/>
      <c r="J800" s="185"/>
      <c r="K800" s="185"/>
      <c r="L800" s="185"/>
      <c r="M800" s="185"/>
      <c r="N800" s="185"/>
      <c r="O800" s="185"/>
      <c r="P800" s="185"/>
      <c r="Q800" s="185"/>
      <c r="R800" s="185"/>
      <c r="S800" s="185"/>
      <c r="T800" s="185"/>
      <c r="U800" s="185"/>
      <c r="V800" s="185"/>
      <c r="W800" s="185"/>
      <c r="X800" s="185"/>
      <c r="Y800" s="185"/>
      <c r="Z800" s="185"/>
    </row>
    <row r="801" spans="1:26" ht="16" thickBot="1" x14ac:dyDescent="0.25">
      <c r="A801" s="185"/>
      <c r="B801" s="185"/>
      <c r="C801" s="185"/>
      <c r="D801" s="185"/>
      <c r="E801" s="185"/>
      <c r="F801" s="185"/>
      <c r="G801" s="185"/>
      <c r="H801" s="185"/>
      <c r="I801" s="185"/>
      <c r="J801" s="185"/>
      <c r="K801" s="185"/>
      <c r="L801" s="185"/>
      <c r="M801" s="185"/>
      <c r="N801" s="185"/>
      <c r="O801" s="185"/>
      <c r="P801" s="185"/>
      <c r="Q801" s="185"/>
      <c r="R801" s="185"/>
      <c r="S801" s="185"/>
      <c r="T801" s="185"/>
      <c r="U801" s="185"/>
      <c r="V801" s="185"/>
      <c r="W801" s="185"/>
      <c r="X801" s="185"/>
      <c r="Y801" s="185"/>
      <c r="Z801" s="185"/>
    </row>
    <row r="802" spans="1:26" ht="16" thickBot="1" x14ac:dyDescent="0.25">
      <c r="A802" s="185"/>
      <c r="B802" s="185"/>
      <c r="C802" s="185"/>
      <c r="D802" s="185"/>
      <c r="E802" s="185"/>
      <c r="F802" s="185"/>
      <c r="G802" s="185"/>
      <c r="H802" s="185"/>
      <c r="I802" s="185"/>
      <c r="J802" s="185"/>
      <c r="K802" s="185"/>
      <c r="L802" s="185"/>
      <c r="M802" s="185"/>
      <c r="N802" s="185"/>
      <c r="O802" s="185"/>
      <c r="P802" s="185"/>
      <c r="Q802" s="185"/>
      <c r="R802" s="185"/>
      <c r="S802" s="185"/>
      <c r="T802" s="185"/>
      <c r="U802" s="185"/>
      <c r="V802" s="185"/>
      <c r="W802" s="185"/>
      <c r="X802" s="185"/>
      <c r="Y802" s="185"/>
      <c r="Z802" s="185"/>
    </row>
    <row r="803" spans="1:26" ht="16" thickBot="1" x14ac:dyDescent="0.25">
      <c r="A803" s="185"/>
      <c r="B803" s="185"/>
      <c r="C803" s="185"/>
      <c r="D803" s="185"/>
      <c r="E803" s="185"/>
      <c r="F803" s="185"/>
      <c r="G803" s="185"/>
      <c r="H803" s="185"/>
      <c r="I803" s="185"/>
      <c r="J803" s="185"/>
      <c r="K803" s="185"/>
      <c r="L803" s="185"/>
      <c r="M803" s="185"/>
      <c r="N803" s="185"/>
      <c r="O803" s="185"/>
      <c r="P803" s="185"/>
      <c r="Q803" s="185"/>
      <c r="R803" s="185"/>
      <c r="S803" s="185"/>
      <c r="T803" s="185"/>
      <c r="U803" s="185"/>
      <c r="V803" s="185"/>
      <c r="W803" s="185"/>
      <c r="X803" s="185"/>
      <c r="Y803" s="185"/>
      <c r="Z803" s="185"/>
    </row>
    <row r="804" spans="1:26" ht="16" thickBot="1" x14ac:dyDescent="0.25">
      <c r="A804" s="185"/>
      <c r="B804" s="185"/>
      <c r="C804" s="185"/>
      <c r="D804" s="185"/>
      <c r="E804" s="185"/>
      <c r="F804" s="185"/>
      <c r="G804" s="185"/>
      <c r="H804" s="185"/>
      <c r="I804" s="185"/>
      <c r="J804" s="185"/>
      <c r="K804" s="185"/>
      <c r="L804" s="185"/>
      <c r="M804" s="185"/>
      <c r="N804" s="185"/>
      <c r="O804" s="185"/>
      <c r="P804" s="185"/>
      <c r="Q804" s="185"/>
      <c r="R804" s="185"/>
      <c r="S804" s="185"/>
      <c r="T804" s="185"/>
      <c r="U804" s="185"/>
      <c r="V804" s="185"/>
      <c r="W804" s="185"/>
      <c r="X804" s="185"/>
      <c r="Y804" s="185"/>
      <c r="Z804" s="185"/>
    </row>
    <row r="805" spans="1:26" ht="16" thickBot="1" x14ac:dyDescent="0.25">
      <c r="A805" s="185"/>
      <c r="B805" s="185"/>
      <c r="C805" s="185"/>
      <c r="D805" s="185"/>
      <c r="E805" s="185"/>
      <c r="F805" s="185"/>
      <c r="G805" s="185"/>
      <c r="H805" s="185"/>
      <c r="I805" s="185"/>
      <c r="J805" s="185"/>
      <c r="K805" s="185"/>
      <c r="L805" s="185"/>
      <c r="M805" s="185"/>
      <c r="N805" s="185"/>
      <c r="O805" s="185"/>
      <c r="P805" s="185"/>
      <c r="Q805" s="185"/>
      <c r="R805" s="185"/>
      <c r="S805" s="185"/>
      <c r="T805" s="185"/>
      <c r="U805" s="185"/>
      <c r="V805" s="185"/>
      <c r="W805" s="185"/>
      <c r="X805" s="185"/>
      <c r="Y805" s="185"/>
      <c r="Z805" s="185"/>
    </row>
    <row r="806" spans="1:26" ht="16" thickBot="1" x14ac:dyDescent="0.25">
      <c r="A806" s="185"/>
      <c r="B806" s="185"/>
      <c r="C806" s="185"/>
      <c r="D806" s="185"/>
      <c r="E806" s="185"/>
      <c r="F806" s="185"/>
      <c r="G806" s="185"/>
      <c r="H806" s="185"/>
      <c r="I806" s="185"/>
      <c r="J806" s="185"/>
      <c r="K806" s="185"/>
      <c r="L806" s="185"/>
      <c r="M806" s="185"/>
      <c r="N806" s="185"/>
      <c r="O806" s="185"/>
      <c r="P806" s="185"/>
      <c r="Q806" s="185"/>
      <c r="R806" s="185"/>
      <c r="S806" s="185"/>
      <c r="T806" s="185"/>
      <c r="U806" s="185"/>
      <c r="V806" s="185"/>
      <c r="W806" s="185"/>
      <c r="X806" s="185"/>
      <c r="Y806" s="185"/>
      <c r="Z806" s="185"/>
    </row>
    <row r="807" spans="1:26" ht="16" thickBot="1" x14ac:dyDescent="0.25">
      <c r="A807" s="185"/>
      <c r="B807" s="185"/>
      <c r="C807" s="185"/>
      <c r="D807" s="185"/>
      <c r="E807" s="185"/>
      <c r="F807" s="185"/>
      <c r="G807" s="185"/>
      <c r="H807" s="185"/>
      <c r="I807" s="185"/>
      <c r="J807" s="185"/>
      <c r="K807" s="185"/>
      <c r="L807" s="185"/>
      <c r="M807" s="185"/>
      <c r="N807" s="185"/>
      <c r="O807" s="185"/>
      <c r="P807" s="185"/>
      <c r="Q807" s="185"/>
      <c r="R807" s="185"/>
      <c r="S807" s="185"/>
      <c r="T807" s="185"/>
      <c r="U807" s="185"/>
      <c r="V807" s="185"/>
      <c r="W807" s="185"/>
      <c r="X807" s="185"/>
      <c r="Y807" s="185"/>
      <c r="Z807" s="185"/>
    </row>
    <row r="808" spans="1:26" ht="16" thickBot="1" x14ac:dyDescent="0.25">
      <c r="A808" s="185"/>
      <c r="B808" s="185"/>
      <c r="C808" s="185"/>
      <c r="D808" s="185"/>
      <c r="E808" s="185"/>
      <c r="F808" s="185"/>
      <c r="G808" s="185"/>
      <c r="H808" s="185"/>
      <c r="I808" s="185"/>
      <c r="J808" s="185"/>
      <c r="K808" s="185"/>
      <c r="L808" s="185"/>
      <c r="M808" s="185"/>
      <c r="N808" s="185"/>
      <c r="O808" s="185"/>
      <c r="P808" s="185"/>
      <c r="Q808" s="185"/>
      <c r="R808" s="185"/>
      <c r="S808" s="185"/>
      <c r="T808" s="185"/>
      <c r="U808" s="185"/>
      <c r="V808" s="185"/>
      <c r="W808" s="185"/>
      <c r="X808" s="185"/>
      <c r="Y808" s="185"/>
      <c r="Z808" s="185"/>
    </row>
    <row r="809" spans="1:26" ht="16" thickBot="1" x14ac:dyDescent="0.25">
      <c r="A809" s="185"/>
      <c r="B809" s="185"/>
      <c r="C809" s="185"/>
      <c r="D809" s="185"/>
      <c r="E809" s="185"/>
      <c r="F809" s="185"/>
      <c r="G809" s="185"/>
      <c r="H809" s="185"/>
      <c r="I809" s="185"/>
      <c r="J809" s="185"/>
      <c r="K809" s="185"/>
      <c r="L809" s="185"/>
      <c r="M809" s="185"/>
      <c r="N809" s="185"/>
      <c r="O809" s="185"/>
      <c r="P809" s="185"/>
      <c r="Q809" s="185"/>
      <c r="R809" s="185"/>
      <c r="S809" s="185"/>
      <c r="T809" s="185"/>
      <c r="U809" s="185"/>
      <c r="V809" s="185"/>
      <c r="W809" s="185"/>
      <c r="X809" s="185"/>
      <c r="Y809" s="185"/>
      <c r="Z809" s="185"/>
    </row>
    <row r="810" spans="1:26" ht="16" thickBot="1" x14ac:dyDescent="0.25">
      <c r="A810" s="185"/>
      <c r="B810" s="185"/>
      <c r="C810" s="185"/>
      <c r="D810" s="185"/>
      <c r="E810" s="185"/>
      <c r="F810" s="185"/>
      <c r="G810" s="185"/>
      <c r="H810" s="185"/>
      <c r="I810" s="185"/>
      <c r="J810" s="185"/>
      <c r="K810" s="185"/>
      <c r="L810" s="185"/>
      <c r="M810" s="185"/>
      <c r="N810" s="185"/>
      <c r="O810" s="185"/>
      <c r="P810" s="185"/>
      <c r="Q810" s="185"/>
      <c r="R810" s="185"/>
      <c r="S810" s="185"/>
      <c r="T810" s="185"/>
      <c r="U810" s="185"/>
      <c r="V810" s="185"/>
      <c r="W810" s="185"/>
      <c r="X810" s="185"/>
      <c r="Y810" s="185"/>
      <c r="Z810" s="185"/>
    </row>
    <row r="811" spans="1:26" ht="16" thickBot="1" x14ac:dyDescent="0.25">
      <c r="A811" s="185"/>
      <c r="B811" s="185"/>
      <c r="C811" s="185"/>
      <c r="D811" s="185"/>
      <c r="E811" s="185"/>
      <c r="F811" s="185"/>
      <c r="G811" s="185"/>
      <c r="H811" s="185"/>
      <c r="I811" s="185"/>
      <c r="J811" s="185"/>
      <c r="K811" s="185"/>
      <c r="L811" s="185"/>
      <c r="M811" s="185"/>
      <c r="N811" s="185"/>
      <c r="O811" s="185"/>
      <c r="P811" s="185"/>
      <c r="Q811" s="185"/>
      <c r="R811" s="185"/>
      <c r="S811" s="185"/>
      <c r="T811" s="185"/>
      <c r="U811" s="185"/>
      <c r="V811" s="185"/>
      <c r="W811" s="185"/>
      <c r="X811" s="185"/>
      <c r="Y811" s="185"/>
      <c r="Z811" s="185"/>
    </row>
    <row r="812" spans="1:26" ht="16" thickBot="1" x14ac:dyDescent="0.25">
      <c r="A812" s="185"/>
      <c r="B812" s="185"/>
      <c r="C812" s="185"/>
      <c r="D812" s="185"/>
      <c r="E812" s="185"/>
      <c r="F812" s="185"/>
      <c r="G812" s="185"/>
      <c r="H812" s="185"/>
      <c r="I812" s="185"/>
      <c r="J812" s="185"/>
      <c r="K812" s="185"/>
      <c r="L812" s="185"/>
      <c r="M812" s="185"/>
      <c r="N812" s="185"/>
      <c r="O812" s="185"/>
      <c r="P812" s="185"/>
      <c r="Q812" s="185"/>
      <c r="R812" s="185"/>
      <c r="S812" s="185"/>
      <c r="T812" s="185"/>
      <c r="U812" s="185"/>
      <c r="V812" s="185"/>
      <c r="W812" s="185"/>
      <c r="X812" s="185"/>
      <c r="Y812" s="185"/>
      <c r="Z812" s="185"/>
    </row>
    <row r="813" spans="1:26" ht="16" thickBot="1" x14ac:dyDescent="0.25">
      <c r="A813" s="185"/>
      <c r="B813" s="185"/>
      <c r="C813" s="185"/>
      <c r="D813" s="185"/>
      <c r="E813" s="185"/>
      <c r="F813" s="185"/>
      <c r="G813" s="185"/>
      <c r="H813" s="185"/>
      <c r="I813" s="185"/>
      <c r="J813" s="185"/>
      <c r="K813" s="185"/>
      <c r="L813" s="185"/>
      <c r="M813" s="185"/>
      <c r="N813" s="185"/>
      <c r="O813" s="185"/>
      <c r="P813" s="185"/>
      <c r="Q813" s="185"/>
      <c r="R813" s="185"/>
      <c r="S813" s="185"/>
      <c r="T813" s="185"/>
      <c r="U813" s="185"/>
      <c r="V813" s="185"/>
      <c r="W813" s="185"/>
      <c r="X813" s="185"/>
      <c r="Y813" s="185"/>
      <c r="Z813" s="185"/>
    </row>
    <row r="814" spans="1:26" ht="16" thickBot="1" x14ac:dyDescent="0.25">
      <c r="A814" s="185"/>
      <c r="B814" s="185"/>
      <c r="C814" s="185"/>
      <c r="D814" s="185"/>
      <c r="E814" s="185"/>
      <c r="F814" s="185"/>
      <c r="G814" s="185"/>
      <c r="H814" s="185"/>
      <c r="I814" s="185"/>
      <c r="J814" s="185"/>
      <c r="K814" s="185"/>
      <c r="L814" s="185"/>
      <c r="M814" s="185"/>
      <c r="N814" s="185"/>
      <c r="O814" s="185"/>
      <c r="P814" s="185"/>
      <c r="Q814" s="185"/>
      <c r="R814" s="185"/>
      <c r="S814" s="185"/>
      <c r="T814" s="185"/>
      <c r="U814" s="185"/>
      <c r="V814" s="185"/>
      <c r="W814" s="185"/>
      <c r="X814" s="185"/>
      <c r="Y814" s="185"/>
      <c r="Z814" s="185"/>
    </row>
    <row r="815" spans="1:26" ht="16" thickBot="1" x14ac:dyDescent="0.25">
      <c r="A815" s="185"/>
      <c r="B815" s="185"/>
      <c r="C815" s="185"/>
      <c r="D815" s="185"/>
      <c r="E815" s="185"/>
      <c r="F815" s="185"/>
      <c r="G815" s="185"/>
      <c r="H815" s="185"/>
      <c r="I815" s="185"/>
      <c r="J815" s="185"/>
      <c r="K815" s="185"/>
      <c r="L815" s="185"/>
      <c r="M815" s="185"/>
      <c r="N815" s="185"/>
      <c r="O815" s="185"/>
      <c r="P815" s="185"/>
      <c r="Q815" s="185"/>
      <c r="R815" s="185"/>
      <c r="S815" s="185"/>
      <c r="T815" s="185"/>
      <c r="U815" s="185"/>
      <c r="V815" s="185"/>
      <c r="W815" s="185"/>
      <c r="X815" s="185"/>
      <c r="Y815" s="185"/>
      <c r="Z815" s="185"/>
    </row>
    <row r="816" spans="1:26" ht="16" thickBot="1" x14ac:dyDescent="0.25">
      <c r="A816" s="185"/>
      <c r="B816" s="185"/>
      <c r="C816" s="185"/>
      <c r="D816" s="185"/>
      <c r="E816" s="185"/>
      <c r="F816" s="185"/>
      <c r="G816" s="185"/>
      <c r="H816" s="185"/>
      <c r="I816" s="185"/>
      <c r="J816" s="185"/>
      <c r="K816" s="185"/>
      <c r="L816" s="185"/>
      <c r="M816" s="185"/>
      <c r="N816" s="185"/>
      <c r="O816" s="185"/>
      <c r="P816" s="185"/>
      <c r="Q816" s="185"/>
      <c r="R816" s="185"/>
      <c r="S816" s="185"/>
      <c r="T816" s="185"/>
      <c r="U816" s="185"/>
      <c r="V816" s="185"/>
      <c r="W816" s="185"/>
      <c r="X816" s="185"/>
      <c r="Y816" s="185"/>
      <c r="Z816" s="185"/>
    </row>
    <row r="817" spans="1:26" ht="16" thickBot="1" x14ac:dyDescent="0.25">
      <c r="A817" s="185"/>
      <c r="B817" s="185"/>
      <c r="C817" s="185"/>
      <c r="D817" s="185"/>
      <c r="E817" s="185"/>
      <c r="F817" s="185"/>
      <c r="G817" s="185"/>
      <c r="H817" s="185"/>
      <c r="I817" s="185"/>
      <c r="J817" s="185"/>
      <c r="K817" s="185"/>
      <c r="L817" s="185"/>
      <c r="M817" s="185"/>
      <c r="N817" s="185"/>
      <c r="O817" s="185"/>
      <c r="P817" s="185"/>
      <c r="Q817" s="185"/>
      <c r="R817" s="185"/>
      <c r="S817" s="185"/>
      <c r="T817" s="185"/>
      <c r="U817" s="185"/>
      <c r="V817" s="185"/>
      <c r="W817" s="185"/>
      <c r="X817" s="185"/>
      <c r="Y817" s="185"/>
      <c r="Z817" s="185"/>
    </row>
    <row r="818" spans="1:26" ht="16" thickBot="1" x14ac:dyDescent="0.25">
      <c r="A818" s="185"/>
      <c r="B818" s="185"/>
      <c r="C818" s="185"/>
      <c r="D818" s="185"/>
      <c r="E818" s="185"/>
      <c r="F818" s="185"/>
      <c r="G818" s="185"/>
      <c r="H818" s="185"/>
      <c r="I818" s="185"/>
      <c r="J818" s="185"/>
      <c r="K818" s="185"/>
      <c r="L818" s="185"/>
      <c r="M818" s="185"/>
      <c r="N818" s="185"/>
      <c r="O818" s="185"/>
      <c r="P818" s="185"/>
      <c r="Q818" s="185"/>
      <c r="R818" s="185"/>
      <c r="S818" s="185"/>
      <c r="T818" s="185"/>
      <c r="U818" s="185"/>
      <c r="V818" s="185"/>
      <c r="W818" s="185"/>
      <c r="X818" s="185"/>
      <c r="Y818" s="185"/>
      <c r="Z818" s="185"/>
    </row>
    <row r="819" spans="1:26" ht="16" thickBot="1" x14ac:dyDescent="0.25">
      <c r="A819" s="185"/>
      <c r="B819" s="185"/>
      <c r="C819" s="185"/>
      <c r="D819" s="185"/>
      <c r="E819" s="185"/>
      <c r="F819" s="185"/>
      <c r="G819" s="185"/>
      <c r="H819" s="185"/>
      <c r="I819" s="185"/>
      <c r="J819" s="185"/>
      <c r="K819" s="185"/>
      <c r="L819" s="185"/>
      <c r="M819" s="185"/>
      <c r="N819" s="185"/>
      <c r="O819" s="185"/>
      <c r="P819" s="185"/>
      <c r="Q819" s="185"/>
      <c r="R819" s="185"/>
      <c r="S819" s="185"/>
      <c r="T819" s="185"/>
      <c r="U819" s="185"/>
      <c r="V819" s="185"/>
      <c r="W819" s="185"/>
      <c r="X819" s="185"/>
      <c r="Y819" s="185"/>
      <c r="Z819" s="185"/>
    </row>
    <row r="820" spans="1:26" ht="16" thickBot="1" x14ac:dyDescent="0.25">
      <c r="A820" s="185"/>
      <c r="B820" s="185"/>
      <c r="C820" s="185"/>
      <c r="D820" s="185"/>
      <c r="E820" s="185"/>
      <c r="F820" s="185"/>
      <c r="G820" s="185"/>
      <c r="H820" s="185"/>
      <c r="I820" s="185"/>
      <c r="J820" s="185"/>
      <c r="K820" s="185"/>
      <c r="L820" s="185"/>
      <c r="M820" s="185"/>
      <c r="N820" s="185"/>
      <c r="O820" s="185"/>
      <c r="P820" s="185"/>
      <c r="Q820" s="185"/>
      <c r="R820" s="185"/>
      <c r="S820" s="185"/>
      <c r="T820" s="185"/>
      <c r="U820" s="185"/>
      <c r="V820" s="185"/>
      <c r="W820" s="185"/>
      <c r="X820" s="185"/>
      <c r="Y820" s="185"/>
      <c r="Z820" s="185"/>
    </row>
    <row r="821" spans="1:26" ht="16" thickBot="1" x14ac:dyDescent="0.25">
      <c r="A821" s="185"/>
      <c r="B821" s="185"/>
      <c r="C821" s="185"/>
      <c r="D821" s="185"/>
      <c r="E821" s="185"/>
      <c r="F821" s="185"/>
      <c r="G821" s="185"/>
      <c r="H821" s="185"/>
      <c r="I821" s="185"/>
      <c r="J821" s="185"/>
      <c r="K821" s="185"/>
      <c r="L821" s="185"/>
      <c r="M821" s="185"/>
      <c r="N821" s="185"/>
      <c r="O821" s="185"/>
      <c r="P821" s="185"/>
      <c r="Q821" s="185"/>
      <c r="R821" s="185"/>
      <c r="S821" s="185"/>
      <c r="T821" s="185"/>
      <c r="U821" s="185"/>
      <c r="V821" s="185"/>
      <c r="W821" s="185"/>
      <c r="X821" s="185"/>
      <c r="Y821" s="185"/>
      <c r="Z821" s="185"/>
    </row>
    <row r="822" spans="1:26" ht="16" thickBot="1" x14ac:dyDescent="0.25">
      <c r="A822" s="185"/>
      <c r="B822" s="185"/>
      <c r="C822" s="185"/>
      <c r="D822" s="185"/>
      <c r="E822" s="185"/>
      <c r="F822" s="185"/>
      <c r="G822" s="185"/>
      <c r="H822" s="185"/>
      <c r="I822" s="185"/>
      <c r="J822" s="185"/>
      <c r="K822" s="185"/>
      <c r="L822" s="185"/>
      <c r="M822" s="185"/>
      <c r="N822" s="185"/>
      <c r="O822" s="185"/>
      <c r="P822" s="185"/>
      <c r="Q822" s="185"/>
      <c r="R822" s="185"/>
      <c r="S822" s="185"/>
      <c r="T822" s="185"/>
      <c r="U822" s="185"/>
      <c r="V822" s="185"/>
      <c r="W822" s="185"/>
      <c r="X822" s="185"/>
      <c r="Y822" s="185"/>
      <c r="Z822" s="185"/>
    </row>
    <row r="823" spans="1:26" ht="16" thickBot="1" x14ac:dyDescent="0.25">
      <c r="A823" s="185"/>
      <c r="B823" s="185"/>
      <c r="C823" s="185"/>
      <c r="D823" s="185"/>
      <c r="E823" s="185"/>
      <c r="F823" s="185"/>
      <c r="G823" s="185"/>
      <c r="H823" s="185"/>
      <c r="I823" s="185"/>
      <c r="J823" s="185"/>
      <c r="K823" s="185"/>
      <c r="L823" s="185"/>
      <c r="M823" s="185"/>
      <c r="N823" s="185"/>
      <c r="O823" s="185"/>
      <c r="P823" s="185"/>
      <c r="Q823" s="185"/>
      <c r="R823" s="185"/>
      <c r="S823" s="185"/>
      <c r="T823" s="185"/>
      <c r="U823" s="185"/>
      <c r="V823" s="185"/>
      <c r="W823" s="185"/>
      <c r="X823" s="185"/>
      <c r="Y823" s="185"/>
      <c r="Z823" s="185"/>
    </row>
    <row r="824" spans="1:26" ht="16" thickBot="1" x14ac:dyDescent="0.25">
      <c r="A824" s="185"/>
      <c r="B824" s="185"/>
      <c r="C824" s="185"/>
      <c r="D824" s="185"/>
      <c r="E824" s="185"/>
      <c r="F824" s="185"/>
      <c r="G824" s="185"/>
      <c r="H824" s="185"/>
      <c r="I824" s="185"/>
      <c r="J824" s="185"/>
      <c r="K824" s="185"/>
      <c r="L824" s="185"/>
      <c r="M824" s="185"/>
      <c r="N824" s="185"/>
      <c r="O824" s="185"/>
      <c r="P824" s="185"/>
      <c r="Q824" s="185"/>
      <c r="R824" s="185"/>
      <c r="S824" s="185"/>
      <c r="T824" s="185"/>
      <c r="U824" s="185"/>
      <c r="V824" s="185"/>
      <c r="W824" s="185"/>
      <c r="X824" s="185"/>
      <c r="Y824" s="185"/>
      <c r="Z824" s="185"/>
    </row>
    <row r="825" spans="1:26" ht="16" thickBot="1" x14ac:dyDescent="0.25">
      <c r="A825" s="185"/>
      <c r="B825" s="185"/>
      <c r="C825" s="185"/>
      <c r="D825" s="185"/>
      <c r="E825" s="185"/>
      <c r="F825" s="185"/>
      <c r="G825" s="185"/>
      <c r="H825" s="185"/>
      <c r="I825" s="185"/>
      <c r="J825" s="185"/>
      <c r="K825" s="185"/>
      <c r="L825" s="185"/>
      <c r="M825" s="185"/>
      <c r="N825" s="185"/>
      <c r="O825" s="185"/>
      <c r="P825" s="185"/>
      <c r="Q825" s="185"/>
      <c r="R825" s="185"/>
      <c r="S825" s="185"/>
      <c r="T825" s="185"/>
      <c r="U825" s="185"/>
      <c r="V825" s="185"/>
      <c r="W825" s="185"/>
      <c r="X825" s="185"/>
      <c r="Y825" s="185"/>
      <c r="Z825" s="185"/>
    </row>
    <row r="826" spans="1:26" ht="16" thickBot="1" x14ac:dyDescent="0.25">
      <c r="A826" s="185"/>
      <c r="B826" s="185"/>
      <c r="C826" s="185"/>
      <c r="D826" s="185"/>
      <c r="E826" s="185"/>
      <c r="F826" s="185"/>
      <c r="G826" s="185"/>
      <c r="H826" s="185"/>
      <c r="I826" s="185"/>
      <c r="J826" s="185"/>
      <c r="K826" s="185"/>
      <c r="L826" s="185"/>
      <c r="M826" s="185"/>
      <c r="N826" s="185"/>
      <c r="O826" s="185"/>
      <c r="P826" s="185"/>
      <c r="Q826" s="185"/>
      <c r="R826" s="185"/>
      <c r="S826" s="185"/>
      <c r="T826" s="185"/>
      <c r="U826" s="185"/>
      <c r="V826" s="185"/>
      <c r="W826" s="185"/>
      <c r="X826" s="185"/>
      <c r="Y826" s="185"/>
      <c r="Z826" s="185"/>
    </row>
    <row r="827" spans="1:26" ht="16" thickBot="1" x14ac:dyDescent="0.25">
      <c r="A827" s="185"/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5"/>
      <c r="O827" s="185"/>
      <c r="P827" s="185"/>
      <c r="Q827" s="185"/>
      <c r="R827" s="185"/>
      <c r="S827" s="185"/>
      <c r="T827" s="185"/>
      <c r="U827" s="185"/>
      <c r="V827" s="185"/>
      <c r="W827" s="185"/>
      <c r="X827" s="185"/>
      <c r="Y827" s="185"/>
      <c r="Z827" s="185"/>
    </row>
    <row r="828" spans="1:26" ht="16" thickBot="1" x14ac:dyDescent="0.25">
      <c r="A828" s="185"/>
      <c r="B828" s="185"/>
      <c r="C828" s="185"/>
      <c r="D828" s="185"/>
      <c r="E828" s="185"/>
      <c r="F828" s="185"/>
      <c r="G828" s="185"/>
      <c r="H828" s="185"/>
      <c r="I828" s="185"/>
      <c r="J828" s="185"/>
      <c r="K828" s="185"/>
      <c r="L828" s="185"/>
      <c r="M828" s="185"/>
      <c r="N828" s="185"/>
      <c r="O828" s="185"/>
      <c r="P828" s="185"/>
      <c r="Q828" s="185"/>
      <c r="R828" s="185"/>
      <c r="S828" s="185"/>
      <c r="T828" s="185"/>
      <c r="U828" s="185"/>
      <c r="V828" s="185"/>
      <c r="W828" s="185"/>
      <c r="X828" s="185"/>
      <c r="Y828" s="185"/>
      <c r="Z828" s="185"/>
    </row>
    <row r="829" spans="1:26" ht="16" thickBot="1" x14ac:dyDescent="0.25">
      <c r="A829" s="185"/>
      <c r="B829" s="185"/>
      <c r="C829" s="185"/>
      <c r="D829" s="185"/>
      <c r="E829" s="185"/>
      <c r="F829" s="185"/>
      <c r="G829" s="185"/>
      <c r="H829" s="185"/>
      <c r="I829" s="185"/>
      <c r="J829" s="185"/>
      <c r="K829" s="185"/>
      <c r="L829" s="185"/>
      <c r="M829" s="185"/>
      <c r="N829" s="185"/>
      <c r="O829" s="185"/>
      <c r="P829" s="185"/>
      <c r="Q829" s="185"/>
      <c r="R829" s="185"/>
      <c r="S829" s="185"/>
      <c r="T829" s="185"/>
      <c r="U829" s="185"/>
      <c r="V829" s="185"/>
      <c r="W829" s="185"/>
      <c r="X829" s="185"/>
      <c r="Y829" s="185"/>
      <c r="Z829" s="185"/>
    </row>
    <row r="830" spans="1:26" ht="16" thickBot="1" x14ac:dyDescent="0.25">
      <c r="A830" s="185"/>
      <c r="B830" s="185"/>
      <c r="C830" s="185"/>
      <c r="D830" s="185"/>
      <c r="E830" s="185"/>
      <c r="F830" s="185"/>
      <c r="G830" s="185"/>
      <c r="H830" s="185"/>
      <c r="I830" s="185"/>
      <c r="J830" s="185"/>
      <c r="K830" s="185"/>
      <c r="L830" s="185"/>
      <c r="M830" s="185"/>
      <c r="N830" s="185"/>
      <c r="O830" s="185"/>
      <c r="P830" s="185"/>
      <c r="Q830" s="185"/>
      <c r="R830" s="185"/>
      <c r="S830" s="185"/>
      <c r="T830" s="185"/>
      <c r="U830" s="185"/>
      <c r="V830" s="185"/>
      <c r="W830" s="185"/>
      <c r="X830" s="185"/>
      <c r="Y830" s="185"/>
      <c r="Z830" s="185"/>
    </row>
    <row r="831" spans="1:26" ht="16" thickBot="1" x14ac:dyDescent="0.25">
      <c r="A831" s="185"/>
      <c r="B831" s="185"/>
      <c r="C831" s="185"/>
      <c r="D831" s="185"/>
      <c r="E831" s="185"/>
      <c r="F831" s="185"/>
      <c r="G831" s="185"/>
      <c r="H831" s="185"/>
      <c r="I831" s="185"/>
      <c r="J831" s="185"/>
      <c r="K831" s="185"/>
      <c r="L831" s="185"/>
      <c r="M831" s="185"/>
      <c r="N831" s="185"/>
      <c r="O831" s="185"/>
      <c r="P831" s="185"/>
      <c r="Q831" s="185"/>
      <c r="R831" s="185"/>
      <c r="S831" s="185"/>
      <c r="T831" s="185"/>
      <c r="U831" s="185"/>
      <c r="V831" s="185"/>
      <c r="W831" s="185"/>
      <c r="X831" s="185"/>
      <c r="Y831" s="185"/>
      <c r="Z831" s="185"/>
    </row>
    <row r="832" spans="1:26" ht="16" thickBot="1" x14ac:dyDescent="0.25">
      <c r="A832" s="185"/>
      <c r="B832" s="185"/>
      <c r="C832" s="185"/>
      <c r="D832" s="185"/>
      <c r="E832" s="185"/>
      <c r="F832" s="185"/>
      <c r="G832" s="185"/>
      <c r="H832" s="185"/>
      <c r="I832" s="185"/>
      <c r="J832" s="185"/>
      <c r="K832" s="185"/>
      <c r="L832" s="185"/>
      <c r="M832" s="185"/>
      <c r="N832" s="185"/>
      <c r="O832" s="185"/>
      <c r="P832" s="185"/>
      <c r="Q832" s="185"/>
      <c r="R832" s="185"/>
      <c r="S832" s="185"/>
      <c r="T832" s="185"/>
      <c r="U832" s="185"/>
      <c r="V832" s="185"/>
      <c r="W832" s="185"/>
      <c r="X832" s="185"/>
      <c r="Y832" s="185"/>
      <c r="Z832" s="185"/>
    </row>
    <row r="833" spans="1:26" ht="16" thickBot="1" x14ac:dyDescent="0.25">
      <c r="A833" s="185"/>
      <c r="B833" s="185"/>
      <c r="C833" s="185"/>
      <c r="D833" s="185"/>
      <c r="E833" s="185"/>
      <c r="F833" s="185"/>
      <c r="G833" s="185"/>
      <c r="H833" s="185"/>
      <c r="I833" s="185"/>
      <c r="J833" s="185"/>
      <c r="K833" s="185"/>
      <c r="L833" s="185"/>
      <c r="M833" s="185"/>
      <c r="N833" s="185"/>
      <c r="O833" s="185"/>
      <c r="P833" s="185"/>
      <c r="Q833" s="185"/>
      <c r="R833" s="185"/>
      <c r="S833" s="185"/>
      <c r="T833" s="185"/>
      <c r="U833" s="185"/>
      <c r="V833" s="185"/>
      <c r="W833" s="185"/>
      <c r="X833" s="185"/>
      <c r="Y833" s="185"/>
      <c r="Z833" s="185"/>
    </row>
    <row r="834" spans="1:26" ht="16" thickBot="1" x14ac:dyDescent="0.25">
      <c r="A834" s="185"/>
      <c r="B834" s="185"/>
      <c r="C834" s="185"/>
      <c r="D834" s="185"/>
      <c r="E834" s="185"/>
      <c r="F834" s="185"/>
      <c r="G834" s="185"/>
      <c r="H834" s="185"/>
      <c r="I834" s="185"/>
      <c r="J834" s="185"/>
      <c r="K834" s="185"/>
      <c r="L834" s="185"/>
      <c r="M834" s="185"/>
      <c r="N834" s="185"/>
      <c r="O834" s="185"/>
      <c r="P834" s="185"/>
      <c r="Q834" s="185"/>
      <c r="R834" s="185"/>
      <c r="S834" s="185"/>
      <c r="T834" s="185"/>
      <c r="U834" s="185"/>
      <c r="V834" s="185"/>
      <c r="W834" s="185"/>
      <c r="X834" s="185"/>
      <c r="Y834" s="185"/>
      <c r="Z834" s="185"/>
    </row>
    <row r="835" spans="1:26" ht="16" thickBot="1" x14ac:dyDescent="0.25">
      <c r="A835" s="185"/>
      <c r="B835" s="185"/>
      <c r="C835" s="185"/>
      <c r="D835" s="185"/>
      <c r="E835" s="185"/>
      <c r="F835" s="185"/>
      <c r="G835" s="185"/>
      <c r="H835" s="185"/>
      <c r="I835" s="185"/>
      <c r="J835" s="185"/>
      <c r="K835" s="185"/>
      <c r="L835" s="185"/>
      <c r="M835" s="185"/>
      <c r="N835" s="185"/>
      <c r="O835" s="185"/>
      <c r="P835" s="185"/>
      <c r="Q835" s="185"/>
      <c r="R835" s="185"/>
      <c r="S835" s="185"/>
      <c r="T835" s="185"/>
      <c r="U835" s="185"/>
      <c r="V835" s="185"/>
      <c r="W835" s="185"/>
      <c r="X835" s="185"/>
      <c r="Y835" s="185"/>
      <c r="Z835" s="185"/>
    </row>
    <row r="836" spans="1:26" ht="16" thickBot="1" x14ac:dyDescent="0.25">
      <c r="A836" s="185"/>
      <c r="B836" s="185"/>
      <c r="C836" s="185"/>
      <c r="D836" s="185"/>
      <c r="E836" s="185"/>
      <c r="F836" s="185"/>
      <c r="G836" s="185"/>
      <c r="H836" s="185"/>
      <c r="I836" s="185"/>
      <c r="J836" s="185"/>
      <c r="K836" s="185"/>
      <c r="L836" s="185"/>
      <c r="M836" s="185"/>
      <c r="N836" s="185"/>
      <c r="O836" s="185"/>
      <c r="P836" s="185"/>
      <c r="Q836" s="185"/>
      <c r="R836" s="185"/>
      <c r="S836" s="185"/>
      <c r="T836" s="185"/>
      <c r="U836" s="185"/>
      <c r="V836" s="185"/>
      <c r="W836" s="185"/>
      <c r="X836" s="185"/>
      <c r="Y836" s="185"/>
      <c r="Z836" s="185"/>
    </row>
    <row r="837" spans="1:26" ht="16" thickBot="1" x14ac:dyDescent="0.25">
      <c r="A837" s="185"/>
      <c r="B837" s="185"/>
      <c r="C837" s="185"/>
      <c r="D837" s="185"/>
      <c r="E837" s="185"/>
      <c r="F837" s="185"/>
      <c r="G837" s="185"/>
      <c r="H837" s="185"/>
      <c r="I837" s="185"/>
      <c r="J837" s="185"/>
      <c r="K837" s="185"/>
      <c r="L837" s="185"/>
      <c r="M837" s="185"/>
      <c r="N837" s="185"/>
      <c r="O837" s="185"/>
      <c r="P837" s="185"/>
      <c r="Q837" s="185"/>
      <c r="R837" s="185"/>
      <c r="S837" s="185"/>
      <c r="T837" s="185"/>
      <c r="U837" s="185"/>
      <c r="V837" s="185"/>
      <c r="W837" s="185"/>
      <c r="X837" s="185"/>
      <c r="Y837" s="185"/>
      <c r="Z837" s="185"/>
    </row>
    <row r="838" spans="1:26" ht="16" thickBot="1" x14ac:dyDescent="0.25">
      <c r="A838" s="185"/>
      <c r="B838" s="185"/>
      <c r="C838" s="185"/>
      <c r="D838" s="185"/>
      <c r="E838" s="185"/>
      <c r="F838" s="185"/>
      <c r="G838" s="185"/>
      <c r="H838" s="185"/>
      <c r="I838" s="185"/>
      <c r="J838" s="185"/>
      <c r="K838" s="185"/>
      <c r="L838" s="185"/>
      <c r="M838" s="185"/>
      <c r="N838" s="185"/>
      <c r="O838" s="185"/>
      <c r="P838" s="185"/>
      <c r="Q838" s="185"/>
      <c r="R838" s="185"/>
      <c r="S838" s="185"/>
      <c r="T838" s="185"/>
      <c r="U838" s="185"/>
      <c r="V838" s="185"/>
      <c r="W838" s="185"/>
      <c r="X838" s="185"/>
      <c r="Y838" s="185"/>
      <c r="Z838" s="185"/>
    </row>
    <row r="839" spans="1:26" ht="16" thickBot="1" x14ac:dyDescent="0.25">
      <c r="A839" s="185"/>
      <c r="B839" s="185"/>
      <c r="C839" s="185"/>
      <c r="D839" s="185"/>
      <c r="E839" s="185"/>
      <c r="F839" s="185"/>
      <c r="G839" s="185"/>
      <c r="H839" s="185"/>
      <c r="I839" s="185"/>
      <c r="J839" s="185"/>
      <c r="K839" s="185"/>
      <c r="L839" s="185"/>
      <c r="M839" s="185"/>
      <c r="N839" s="185"/>
      <c r="O839" s="185"/>
      <c r="P839" s="185"/>
      <c r="Q839" s="185"/>
      <c r="R839" s="185"/>
      <c r="S839" s="185"/>
      <c r="T839" s="185"/>
      <c r="U839" s="185"/>
      <c r="V839" s="185"/>
      <c r="W839" s="185"/>
      <c r="X839" s="185"/>
      <c r="Y839" s="185"/>
      <c r="Z839" s="185"/>
    </row>
    <row r="840" spans="1:26" ht="16" thickBot="1" x14ac:dyDescent="0.25">
      <c r="A840" s="185"/>
      <c r="B840" s="185"/>
      <c r="C840" s="185"/>
      <c r="D840" s="185"/>
      <c r="E840" s="185"/>
      <c r="F840" s="185"/>
      <c r="G840" s="185"/>
      <c r="H840" s="185"/>
      <c r="I840" s="185"/>
      <c r="J840" s="185"/>
      <c r="K840" s="185"/>
      <c r="L840" s="185"/>
      <c r="M840" s="185"/>
      <c r="N840" s="185"/>
      <c r="O840" s="185"/>
      <c r="P840" s="185"/>
      <c r="Q840" s="185"/>
      <c r="R840" s="185"/>
      <c r="S840" s="185"/>
      <c r="T840" s="185"/>
      <c r="U840" s="185"/>
      <c r="V840" s="185"/>
      <c r="W840" s="185"/>
      <c r="X840" s="185"/>
      <c r="Y840" s="185"/>
      <c r="Z840" s="185"/>
    </row>
    <row r="841" spans="1:26" ht="16" thickBot="1" x14ac:dyDescent="0.25">
      <c r="A841" s="185"/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5"/>
      <c r="O841" s="185"/>
      <c r="P841" s="185"/>
      <c r="Q841" s="185"/>
      <c r="R841" s="185"/>
      <c r="S841" s="185"/>
      <c r="T841" s="185"/>
      <c r="U841" s="185"/>
      <c r="V841" s="185"/>
      <c r="W841" s="185"/>
      <c r="X841" s="185"/>
      <c r="Y841" s="185"/>
      <c r="Z841" s="185"/>
    </row>
    <row r="842" spans="1:26" ht="16" thickBot="1" x14ac:dyDescent="0.25">
      <c r="A842" s="185"/>
      <c r="B842" s="185"/>
      <c r="C842" s="185"/>
      <c r="D842" s="185"/>
      <c r="E842" s="185"/>
      <c r="F842" s="185"/>
      <c r="G842" s="185"/>
      <c r="H842" s="185"/>
      <c r="I842" s="185"/>
      <c r="J842" s="185"/>
      <c r="K842" s="185"/>
      <c r="L842" s="185"/>
      <c r="M842" s="185"/>
      <c r="N842" s="185"/>
      <c r="O842" s="185"/>
      <c r="P842" s="185"/>
      <c r="Q842" s="185"/>
      <c r="R842" s="185"/>
      <c r="S842" s="185"/>
      <c r="T842" s="185"/>
      <c r="U842" s="185"/>
      <c r="V842" s="185"/>
      <c r="W842" s="185"/>
      <c r="X842" s="185"/>
      <c r="Y842" s="185"/>
      <c r="Z842" s="185"/>
    </row>
    <row r="843" spans="1:26" ht="16" thickBot="1" x14ac:dyDescent="0.25">
      <c r="A843" s="185"/>
      <c r="B843" s="185"/>
      <c r="C843" s="185"/>
      <c r="D843" s="185"/>
      <c r="E843" s="185"/>
      <c r="F843" s="185"/>
      <c r="G843" s="185"/>
      <c r="H843" s="185"/>
      <c r="I843" s="185"/>
      <c r="J843" s="185"/>
      <c r="K843" s="185"/>
      <c r="L843" s="185"/>
      <c r="M843" s="185"/>
      <c r="N843" s="185"/>
      <c r="O843" s="185"/>
      <c r="P843" s="185"/>
      <c r="Q843" s="185"/>
      <c r="R843" s="185"/>
      <c r="S843" s="185"/>
      <c r="T843" s="185"/>
      <c r="U843" s="185"/>
      <c r="V843" s="185"/>
      <c r="W843" s="185"/>
      <c r="X843" s="185"/>
      <c r="Y843" s="185"/>
      <c r="Z843" s="185"/>
    </row>
    <row r="844" spans="1:26" ht="16" thickBot="1" x14ac:dyDescent="0.25">
      <c r="A844" s="185"/>
      <c r="B844" s="185"/>
      <c r="C844" s="185"/>
      <c r="D844" s="185"/>
      <c r="E844" s="185"/>
      <c r="F844" s="185"/>
      <c r="G844" s="185"/>
      <c r="H844" s="185"/>
      <c r="I844" s="185"/>
      <c r="J844" s="185"/>
      <c r="K844" s="185"/>
      <c r="L844" s="185"/>
      <c r="M844" s="185"/>
      <c r="N844" s="185"/>
      <c r="O844" s="185"/>
      <c r="P844" s="185"/>
      <c r="Q844" s="185"/>
      <c r="R844" s="185"/>
      <c r="S844" s="185"/>
      <c r="T844" s="185"/>
      <c r="U844" s="185"/>
      <c r="V844" s="185"/>
      <c r="W844" s="185"/>
      <c r="X844" s="185"/>
      <c r="Y844" s="185"/>
      <c r="Z844" s="185"/>
    </row>
    <row r="845" spans="1:26" ht="16" thickBot="1" x14ac:dyDescent="0.25">
      <c r="A845" s="185"/>
      <c r="B845" s="185"/>
      <c r="C845" s="185"/>
      <c r="D845" s="185"/>
      <c r="E845" s="185"/>
      <c r="F845" s="185"/>
      <c r="G845" s="185"/>
      <c r="H845" s="185"/>
      <c r="I845" s="185"/>
      <c r="J845" s="185"/>
      <c r="K845" s="185"/>
      <c r="L845" s="185"/>
      <c r="M845" s="185"/>
      <c r="N845" s="185"/>
      <c r="O845" s="185"/>
      <c r="P845" s="185"/>
      <c r="Q845" s="185"/>
      <c r="R845" s="185"/>
      <c r="S845" s="185"/>
      <c r="T845" s="185"/>
      <c r="U845" s="185"/>
      <c r="V845" s="185"/>
      <c r="W845" s="185"/>
      <c r="X845" s="185"/>
      <c r="Y845" s="185"/>
      <c r="Z845" s="185"/>
    </row>
    <row r="846" spans="1:26" ht="16" thickBot="1" x14ac:dyDescent="0.25">
      <c r="A846" s="185"/>
      <c r="B846" s="185"/>
      <c r="C846" s="185"/>
      <c r="D846" s="185"/>
      <c r="E846" s="185"/>
      <c r="F846" s="185"/>
      <c r="G846" s="185"/>
      <c r="H846" s="185"/>
      <c r="I846" s="185"/>
      <c r="J846" s="185"/>
      <c r="K846" s="185"/>
      <c r="L846" s="185"/>
      <c r="M846" s="185"/>
      <c r="N846" s="185"/>
      <c r="O846" s="185"/>
      <c r="P846" s="185"/>
      <c r="Q846" s="185"/>
      <c r="R846" s="185"/>
      <c r="S846" s="185"/>
      <c r="T846" s="185"/>
      <c r="U846" s="185"/>
      <c r="V846" s="185"/>
      <c r="W846" s="185"/>
      <c r="X846" s="185"/>
      <c r="Y846" s="185"/>
      <c r="Z846" s="185"/>
    </row>
    <row r="847" spans="1:26" ht="16" thickBot="1" x14ac:dyDescent="0.25">
      <c r="A847" s="185"/>
      <c r="B847" s="185"/>
      <c r="C847" s="185"/>
      <c r="D847" s="185"/>
      <c r="E847" s="185"/>
      <c r="F847" s="185"/>
      <c r="G847" s="185"/>
      <c r="H847" s="185"/>
      <c r="I847" s="185"/>
      <c r="J847" s="185"/>
      <c r="K847" s="185"/>
      <c r="L847" s="185"/>
      <c r="M847" s="185"/>
      <c r="N847" s="185"/>
      <c r="O847" s="185"/>
      <c r="P847" s="185"/>
      <c r="Q847" s="185"/>
      <c r="R847" s="185"/>
      <c r="S847" s="185"/>
      <c r="T847" s="185"/>
      <c r="U847" s="185"/>
      <c r="V847" s="185"/>
      <c r="W847" s="185"/>
      <c r="X847" s="185"/>
      <c r="Y847" s="185"/>
      <c r="Z847" s="185"/>
    </row>
    <row r="848" spans="1:26" ht="16" thickBot="1" x14ac:dyDescent="0.25">
      <c r="A848" s="185"/>
      <c r="B848" s="185"/>
      <c r="C848" s="185"/>
      <c r="D848" s="185"/>
      <c r="E848" s="185"/>
      <c r="F848" s="185"/>
      <c r="G848" s="185"/>
      <c r="H848" s="185"/>
      <c r="I848" s="185"/>
      <c r="J848" s="185"/>
      <c r="K848" s="185"/>
      <c r="L848" s="185"/>
      <c r="M848" s="185"/>
      <c r="N848" s="185"/>
      <c r="O848" s="185"/>
      <c r="P848" s="185"/>
      <c r="Q848" s="185"/>
      <c r="R848" s="185"/>
      <c r="S848" s="185"/>
      <c r="T848" s="185"/>
      <c r="U848" s="185"/>
      <c r="V848" s="185"/>
      <c r="W848" s="185"/>
      <c r="X848" s="185"/>
      <c r="Y848" s="185"/>
      <c r="Z848" s="185"/>
    </row>
    <row r="849" spans="1:26" ht="16" thickBot="1" x14ac:dyDescent="0.25">
      <c r="A849" s="185"/>
      <c r="B849" s="185"/>
      <c r="C849" s="185"/>
      <c r="D849" s="185"/>
      <c r="E849" s="185"/>
      <c r="F849" s="185"/>
      <c r="G849" s="185"/>
      <c r="H849" s="185"/>
      <c r="I849" s="185"/>
      <c r="J849" s="185"/>
      <c r="K849" s="185"/>
      <c r="L849" s="185"/>
      <c r="M849" s="185"/>
      <c r="N849" s="185"/>
      <c r="O849" s="185"/>
      <c r="P849" s="185"/>
      <c r="Q849" s="185"/>
      <c r="R849" s="185"/>
      <c r="S849" s="185"/>
      <c r="T849" s="185"/>
      <c r="U849" s="185"/>
      <c r="V849" s="185"/>
      <c r="W849" s="185"/>
      <c r="X849" s="185"/>
      <c r="Y849" s="185"/>
      <c r="Z849" s="185"/>
    </row>
    <row r="850" spans="1:26" ht="16" thickBot="1" x14ac:dyDescent="0.25">
      <c r="A850" s="185"/>
      <c r="B850" s="185"/>
      <c r="C850" s="185"/>
      <c r="D850" s="185"/>
      <c r="E850" s="185"/>
      <c r="F850" s="185"/>
      <c r="G850" s="185"/>
      <c r="H850" s="185"/>
      <c r="I850" s="185"/>
      <c r="J850" s="185"/>
      <c r="K850" s="185"/>
      <c r="L850" s="185"/>
      <c r="M850" s="185"/>
      <c r="N850" s="185"/>
      <c r="O850" s="185"/>
      <c r="P850" s="185"/>
      <c r="Q850" s="185"/>
      <c r="R850" s="185"/>
      <c r="S850" s="185"/>
      <c r="T850" s="185"/>
      <c r="U850" s="185"/>
      <c r="V850" s="185"/>
      <c r="W850" s="185"/>
      <c r="X850" s="185"/>
      <c r="Y850" s="185"/>
      <c r="Z850" s="185"/>
    </row>
    <row r="851" spans="1:26" ht="16" thickBot="1" x14ac:dyDescent="0.25">
      <c r="A851" s="185"/>
      <c r="B851" s="185"/>
      <c r="C851" s="185"/>
      <c r="D851" s="185"/>
      <c r="E851" s="185"/>
      <c r="F851" s="185"/>
      <c r="G851" s="185"/>
      <c r="H851" s="185"/>
      <c r="I851" s="185"/>
      <c r="J851" s="185"/>
      <c r="K851" s="185"/>
      <c r="L851" s="185"/>
      <c r="M851" s="185"/>
      <c r="N851" s="185"/>
      <c r="O851" s="185"/>
      <c r="P851" s="185"/>
      <c r="Q851" s="185"/>
      <c r="R851" s="185"/>
      <c r="S851" s="185"/>
      <c r="T851" s="185"/>
      <c r="U851" s="185"/>
      <c r="V851" s="185"/>
      <c r="W851" s="185"/>
      <c r="X851" s="185"/>
      <c r="Y851" s="185"/>
      <c r="Z851" s="185"/>
    </row>
    <row r="852" spans="1:26" ht="16" thickBot="1" x14ac:dyDescent="0.25">
      <c r="A852" s="185"/>
      <c r="B852" s="185"/>
      <c r="C852" s="185"/>
      <c r="D852" s="185"/>
      <c r="E852" s="185"/>
      <c r="F852" s="185"/>
      <c r="G852" s="185"/>
      <c r="H852" s="185"/>
      <c r="I852" s="185"/>
      <c r="J852" s="185"/>
      <c r="K852" s="185"/>
      <c r="L852" s="185"/>
      <c r="M852" s="185"/>
      <c r="N852" s="185"/>
      <c r="O852" s="185"/>
      <c r="P852" s="185"/>
      <c r="Q852" s="185"/>
      <c r="R852" s="185"/>
      <c r="S852" s="185"/>
      <c r="T852" s="185"/>
      <c r="U852" s="185"/>
      <c r="V852" s="185"/>
      <c r="W852" s="185"/>
      <c r="X852" s="185"/>
      <c r="Y852" s="185"/>
      <c r="Z852" s="185"/>
    </row>
    <row r="853" spans="1:26" ht="16" thickBot="1" x14ac:dyDescent="0.25">
      <c r="A853" s="185"/>
      <c r="B853" s="185"/>
      <c r="C853" s="185"/>
      <c r="D853" s="185"/>
      <c r="E853" s="185"/>
      <c r="F853" s="185"/>
      <c r="G853" s="185"/>
      <c r="H853" s="185"/>
      <c r="I853" s="185"/>
      <c r="J853" s="185"/>
      <c r="K853" s="185"/>
      <c r="L853" s="185"/>
      <c r="M853" s="185"/>
      <c r="N853" s="185"/>
      <c r="O853" s="185"/>
      <c r="P853" s="185"/>
      <c r="Q853" s="185"/>
      <c r="R853" s="185"/>
      <c r="S853" s="185"/>
      <c r="T853" s="185"/>
      <c r="U853" s="185"/>
      <c r="V853" s="185"/>
      <c r="W853" s="185"/>
      <c r="X853" s="185"/>
      <c r="Y853" s="185"/>
      <c r="Z853" s="185"/>
    </row>
    <row r="854" spans="1:26" ht="16" thickBot="1" x14ac:dyDescent="0.25">
      <c r="A854" s="185"/>
      <c r="B854" s="185"/>
      <c r="C854" s="185"/>
      <c r="D854" s="185"/>
      <c r="E854" s="185"/>
      <c r="F854" s="185"/>
      <c r="G854" s="185"/>
      <c r="H854" s="185"/>
      <c r="I854" s="185"/>
      <c r="J854" s="185"/>
      <c r="K854" s="185"/>
      <c r="L854" s="185"/>
      <c r="M854" s="185"/>
      <c r="N854" s="185"/>
      <c r="O854" s="185"/>
      <c r="P854" s="185"/>
      <c r="Q854" s="185"/>
      <c r="R854" s="185"/>
      <c r="S854" s="185"/>
      <c r="T854" s="185"/>
      <c r="U854" s="185"/>
      <c r="V854" s="185"/>
      <c r="W854" s="185"/>
      <c r="X854" s="185"/>
      <c r="Y854" s="185"/>
      <c r="Z854" s="185"/>
    </row>
    <row r="855" spans="1:26" ht="16" thickBot="1" x14ac:dyDescent="0.25">
      <c r="A855" s="185"/>
      <c r="B855" s="185"/>
      <c r="C855" s="185"/>
      <c r="D855" s="185"/>
      <c r="E855" s="185"/>
      <c r="F855" s="185"/>
      <c r="G855" s="185"/>
      <c r="H855" s="185"/>
      <c r="I855" s="185"/>
      <c r="J855" s="185"/>
      <c r="K855" s="185"/>
      <c r="L855" s="185"/>
      <c r="M855" s="185"/>
      <c r="N855" s="185"/>
      <c r="O855" s="185"/>
      <c r="P855" s="185"/>
      <c r="Q855" s="185"/>
      <c r="R855" s="185"/>
      <c r="S855" s="185"/>
      <c r="T855" s="185"/>
      <c r="U855" s="185"/>
      <c r="V855" s="185"/>
      <c r="W855" s="185"/>
      <c r="X855" s="185"/>
      <c r="Y855" s="185"/>
      <c r="Z855" s="185"/>
    </row>
    <row r="856" spans="1:26" ht="16" thickBot="1" x14ac:dyDescent="0.25">
      <c r="A856" s="185"/>
      <c r="B856" s="185"/>
      <c r="C856" s="185"/>
      <c r="D856" s="185"/>
      <c r="E856" s="185"/>
      <c r="F856" s="185"/>
      <c r="G856" s="185"/>
      <c r="H856" s="185"/>
      <c r="I856" s="185"/>
      <c r="J856" s="185"/>
      <c r="K856" s="185"/>
      <c r="L856" s="185"/>
      <c r="M856" s="185"/>
      <c r="N856" s="185"/>
      <c r="O856" s="185"/>
      <c r="P856" s="185"/>
      <c r="Q856" s="185"/>
      <c r="R856" s="185"/>
      <c r="S856" s="185"/>
      <c r="T856" s="185"/>
      <c r="U856" s="185"/>
      <c r="V856" s="185"/>
      <c r="W856" s="185"/>
      <c r="X856" s="185"/>
      <c r="Y856" s="185"/>
      <c r="Z856" s="185"/>
    </row>
    <row r="857" spans="1:26" ht="16" thickBot="1" x14ac:dyDescent="0.25">
      <c r="A857" s="185"/>
      <c r="B857" s="185"/>
      <c r="C857" s="185"/>
      <c r="D857" s="185"/>
      <c r="E857" s="185"/>
      <c r="F857" s="185"/>
      <c r="G857" s="185"/>
      <c r="H857" s="185"/>
      <c r="I857" s="185"/>
      <c r="J857" s="185"/>
      <c r="K857" s="185"/>
      <c r="L857" s="185"/>
      <c r="M857" s="185"/>
      <c r="N857" s="185"/>
      <c r="O857" s="185"/>
      <c r="P857" s="185"/>
      <c r="Q857" s="185"/>
      <c r="R857" s="185"/>
      <c r="S857" s="185"/>
      <c r="T857" s="185"/>
      <c r="U857" s="185"/>
      <c r="V857" s="185"/>
      <c r="W857" s="185"/>
      <c r="X857" s="185"/>
      <c r="Y857" s="185"/>
      <c r="Z857" s="185"/>
    </row>
    <row r="858" spans="1:26" ht="16" thickBot="1" x14ac:dyDescent="0.25">
      <c r="A858" s="185"/>
      <c r="B858" s="185"/>
      <c r="C858" s="185"/>
      <c r="D858" s="185"/>
      <c r="E858" s="185"/>
      <c r="F858" s="185"/>
      <c r="G858" s="185"/>
      <c r="H858" s="185"/>
      <c r="I858" s="185"/>
      <c r="J858" s="185"/>
      <c r="K858" s="185"/>
      <c r="L858" s="185"/>
      <c r="M858" s="185"/>
      <c r="N858" s="185"/>
      <c r="O858" s="185"/>
      <c r="P858" s="185"/>
      <c r="Q858" s="185"/>
      <c r="R858" s="185"/>
      <c r="S858" s="185"/>
      <c r="T858" s="185"/>
      <c r="U858" s="185"/>
      <c r="V858" s="185"/>
      <c r="W858" s="185"/>
      <c r="X858" s="185"/>
      <c r="Y858" s="185"/>
      <c r="Z858" s="185"/>
    </row>
    <row r="859" spans="1:26" ht="16" thickBot="1" x14ac:dyDescent="0.25">
      <c r="A859" s="185"/>
      <c r="B859" s="185"/>
      <c r="C859" s="185"/>
      <c r="D859" s="185"/>
      <c r="E859" s="185"/>
      <c r="F859" s="185"/>
      <c r="G859" s="185"/>
      <c r="H859" s="185"/>
      <c r="I859" s="185"/>
      <c r="J859" s="185"/>
      <c r="K859" s="185"/>
      <c r="L859" s="185"/>
      <c r="M859" s="185"/>
      <c r="N859" s="185"/>
      <c r="O859" s="185"/>
      <c r="P859" s="185"/>
      <c r="Q859" s="185"/>
      <c r="R859" s="185"/>
      <c r="S859" s="185"/>
      <c r="T859" s="185"/>
      <c r="U859" s="185"/>
      <c r="V859" s="185"/>
      <c r="W859" s="185"/>
      <c r="X859" s="185"/>
      <c r="Y859" s="185"/>
      <c r="Z859" s="185"/>
    </row>
    <row r="860" spans="1:26" ht="16" thickBot="1" x14ac:dyDescent="0.25">
      <c r="A860" s="185"/>
      <c r="B860" s="185"/>
      <c r="C860" s="185"/>
      <c r="D860" s="185"/>
      <c r="E860" s="185"/>
      <c r="F860" s="185"/>
      <c r="G860" s="185"/>
      <c r="H860" s="185"/>
      <c r="I860" s="185"/>
      <c r="J860" s="185"/>
      <c r="K860" s="185"/>
      <c r="L860" s="185"/>
      <c r="M860" s="185"/>
      <c r="N860" s="185"/>
      <c r="O860" s="185"/>
      <c r="P860" s="185"/>
      <c r="Q860" s="185"/>
      <c r="R860" s="185"/>
      <c r="S860" s="185"/>
      <c r="T860" s="185"/>
      <c r="U860" s="185"/>
      <c r="V860" s="185"/>
      <c r="W860" s="185"/>
      <c r="X860" s="185"/>
      <c r="Y860" s="185"/>
      <c r="Z860" s="185"/>
    </row>
    <row r="861" spans="1:26" ht="16" thickBot="1" x14ac:dyDescent="0.25">
      <c r="A861" s="185"/>
      <c r="B861" s="185"/>
      <c r="C861" s="185"/>
      <c r="D861" s="185"/>
      <c r="E861" s="185"/>
      <c r="F861" s="185"/>
      <c r="G861" s="185"/>
      <c r="H861" s="185"/>
      <c r="I861" s="185"/>
      <c r="J861" s="185"/>
      <c r="K861" s="185"/>
      <c r="L861" s="185"/>
      <c r="M861" s="185"/>
      <c r="N861" s="185"/>
      <c r="O861" s="185"/>
      <c r="P861" s="185"/>
      <c r="Q861" s="185"/>
      <c r="R861" s="185"/>
      <c r="S861" s="185"/>
      <c r="T861" s="185"/>
      <c r="U861" s="185"/>
      <c r="V861" s="185"/>
      <c r="W861" s="185"/>
      <c r="X861" s="185"/>
      <c r="Y861" s="185"/>
      <c r="Z861" s="185"/>
    </row>
    <row r="862" spans="1:26" ht="16" thickBot="1" x14ac:dyDescent="0.25">
      <c r="A862" s="185"/>
      <c r="B862" s="185"/>
      <c r="C862" s="185"/>
      <c r="D862" s="185"/>
      <c r="E862" s="185"/>
      <c r="F862" s="185"/>
      <c r="G862" s="185"/>
      <c r="H862" s="185"/>
      <c r="I862" s="185"/>
      <c r="J862" s="185"/>
      <c r="K862" s="185"/>
      <c r="L862" s="185"/>
      <c r="M862" s="185"/>
      <c r="N862" s="185"/>
      <c r="O862" s="185"/>
      <c r="P862" s="185"/>
      <c r="Q862" s="185"/>
      <c r="R862" s="185"/>
      <c r="S862" s="185"/>
      <c r="T862" s="185"/>
      <c r="U862" s="185"/>
      <c r="V862" s="185"/>
      <c r="W862" s="185"/>
      <c r="X862" s="185"/>
      <c r="Y862" s="185"/>
      <c r="Z862" s="185"/>
    </row>
    <row r="863" spans="1:26" ht="16" thickBot="1" x14ac:dyDescent="0.25">
      <c r="A863" s="185"/>
      <c r="B863" s="185"/>
      <c r="C863" s="185"/>
      <c r="D863" s="185"/>
      <c r="E863" s="185"/>
      <c r="F863" s="185"/>
      <c r="G863" s="185"/>
      <c r="H863" s="185"/>
      <c r="I863" s="185"/>
      <c r="J863" s="185"/>
      <c r="K863" s="185"/>
      <c r="L863" s="185"/>
      <c r="M863" s="185"/>
      <c r="N863" s="185"/>
      <c r="O863" s="185"/>
      <c r="P863" s="185"/>
      <c r="Q863" s="185"/>
      <c r="R863" s="185"/>
      <c r="S863" s="185"/>
      <c r="T863" s="185"/>
      <c r="U863" s="185"/>
      <c r="V863" s="185"/>
      <c r="W863" s="185"/>
      <c r="X863" s="185"/>
      <c r="Y863" s="185"/>
      <c r="Z863" s="185"/>
    </row>
    <row r="864" spans="1:26" ht="16" thickBot="1" x14ac:dyDescent="0.25">
      <c r="A864" s="185"/>
      <c r="B864" s="185"/>
      <c r="C864" s="185"/>
      <c r="D864" s="185"/>
      <c r="E864" s="185"/>
      <c r="F864" s="185"/>
      <c r="G864" s="185"/>
      <c r="H864" s="185"/>
      <c r="I864" s="185"/>
      <c r="J864" s="185"/>
      <c r="K864" s="185"/>
      <c r="L864" s="185"/>
      <c r="M864" s="185"/>
      <c r="N864" s="185"/>
      <c r="O864" s="185"/>
      <c r="P864" s="185"/>
      <c r="Q864" s="185"/>
      <c r="R864" s="185"/>
      <c r="S864" s="185"/>
      <c r="T864" s="185"/>
      <c r="U864" s="185"/>
      <c r="V864" s="185"/>
      <c r="W864" s="185"/>
      <c r="X864" s="185"/>
      <c r="Y864" s="185"/>
      <c r="Z864" s="185"/>
    </row>
    <row r="865" spans="1:26" ht="16" thickBot="1" x14ac:dyDescent="0.25">
      <c r="A865" s="185"/>
      <c r="B865" s="185"/>
      <c r="C865" s="185"/>
      <c r="D865" s="185"/>
      <c r="E865" s="185"/>
      <c r="F865" s="185"/>
      <c r="G865" s="185"/>
      <c r="H865" s="185"/>
      <c r="I865" s="185"/>
      <c r="J865" s="185"/>
      <c r="K865" s="185"/>
      <c r="L865" s="185"/>
      <c r="M865" s="185"/>
      <c r="N865" s="185"/>
      <c r="O865" s="185"/>
      <c r="P865" s="185"/>
      <c r="Q865" s="185"/>
      <c r="R865" s="185"/>
      <c r="S865" s="185"/>
      <c r="T865" s="185"/>
      <c r="U865" s="185"/>
      <c r="V865" s="185"/>
      <c r="W865" s="185"/>
      <c r="X865" s="185"/>
      <c r="Y865" s="185"/>
      <c r="Z865" s="185"/>
    </row>
    <row r="866" spans="1:26" ht="16" thickBot="1" x14ac:dyDescent="0.25">
      <c r="A866" s="185"/>
      <c r="B866" s="185"/>
      <c r="C866" s="185"/>
      <c r="D866" s="185"/>
      <c r="E866" s="185"/>
      <c r="F866" s="185"/>
      <c r="G866" s="185"/>
      <c r="H866" s="185"/>
      <c r="I866" s="185"/>
      <c r="J866" s="185"/>
      <c r="K866" s="185"/>
      <c r="L866" s="185"/>
      <c r="M866" s="185"/>
      <c r="N866" s="185"/>
      <c r="O866" s="185"/>
      <c r="P866" s="185"/>
      <c r="Q866" s="185"/>
      <c r="R866" s="185"/>
      <c r="S866" s="185"/>
      <c r="T866" s="185"/>
      <c r="U866" s="185"/>
      <c r="V866" s="185"/>
      <c r="W866" s="185"/>
      <c r="X866" s="185"/>
      <c r="Y866" s="185"/>
      <c r="Z866" s="185"/>
    </row>
    <row r="867" spans="1:26" ht="16" thickBot="1" x14ac:dyDescent="0.25">
      <c r="A867" s="185"/>
      <c r="B867" s="185"/>
      <c r="C867" s="185"/>
      <c r="D867" s="185"/>
      <c r="E867" s="185"/>
      <c r="F867" s="185"/>
      <c r="G867" s="185"/>
      <c r="H867" s="185"/>
      <c r="I867" s="185"/>
      <c r="J867" s="185"/>
      <c r="K867" s="185"/>
      <c r="L867" s="185"/>
      <c r="M867" s="185"/>
      <c r="N867" s="185"/>
      <c r="O867" s="185"/>
      <c r="P867" s="185"/>
      <c r="Q867" s="185"/>
      <c r="R867" s="185"/>
      <c r="S867" s="185"/>
      <c r="T867" s="185"/>
      <c r="U867" s="185"/>
      <c r="V867" s="185"/>
      <c r="W867" s="185"/>
      <c r="X867" s="185"/>
      <c r="Y867" s="185"/>
      <c r="Z867" s="185"/>
    </row>
    <row r="868" spans="1:26" ht="16" thickBot="1" x14ac:dyDescent="0.25">
      <c r="A868" s="185"/>
      <c r="B868" s="185"/>
      <c r="C868" s="185"/>
      <c r="D868" s="185"/>
      <c r="E868" s="185"/>
      <c r="F868" s="185"/>
      <c r="G868" s="185"/>
      <c r="H868" s="185"/>
      <c r="I868" s="185"/>
      <c r="J868" s="185"/>
      <c r="K868" s="185"/>
      <c r="L868" s="185"/>
      <c r="M868" s="185"/>
      <c r="N868" s="185"/>
      <c r="O868" s="185"/>
      <c r="P868" s="185"/>
      <c r="Q868" s="185"/>
      <c r="R868" s="185"/>
      <c r="S868" s="185"/>
      <c r="T868" s="185"/>
      <c r="U868" s="185"/>
      <c r="V868" s="185"/>
      <c r="W868" s="185"/>
      <c r="X868" s="185"/>
      <c r="Y868" s="185"/>
      <c r="Z868" s="185"/>
    </row>
    <row r="869" spans="1:26" ht="16" thickBot="1" x14ac:dyDescent="0.25">
      <c r="A869" s="185"/>
      <c r="B869" s="185"/>
      <c r="C869" s="185"/>
      <c r="D869" s="185"/>
      <c r="E869" s="185"/>
      <c r="F869" s="185"/>
      <c r="G869" s="185"/>
      <c r="H869" s="185"/>
      <c r="I869" s="185"/>
      <c r="J869" s="185"/>
      <c r="K869" s="185"/>
      <c r="L869" s="185"/>
      <c r="M869" s="185"/>
      <c r="N869" s="185"/>
      <c r="O869" s="185"/>
      <c r="P869" s="185"/>
      <c r="Q869" s="185"/>
      <c r="R869" s="185"/>
      <c r="S869" s="185"/>
      <c r="T869" s="185"/>
      <c r="U869" s="185"/>
      <c r="V869" s="185"/>
      <c r="W869" s="185"/>
      <c r="X869" s="185"/>
      <c r="Y869" s="185"/>
      <c r="Z869" s="185"/>
    </row>
    <row r="870" spans="1:26" ht="16" thickBot="1" x14ac:dyDescent="0.25">
      <c r="A870" s="185"/>
      <c r="B870" s="185"/>
      <c r="C870" s="185"/>
      <c r="D870" s="185"/>
      <c r="E870" s="185"/>
      <c r="F870" s="185"/>
      <c r="G870" s="185"/>
      <c r="H870" s="185"/>
      <c r="I870" s="185"/>
      <c r="J870" s="185"/>
      <c r="K870" s="185"/>
      <c r="L870" s="185"/>
      <c r="M870" s="185"/>
      <c r="N870" s="185"/>
      <c r="O870" s="185"/>
      <c r="P870" s="185"/>
      <c r="Q870" s="185"/>
      <c r="R870" s="185"/>
      <c r="S870" s="185"/>
      <c r="T870" s="185"/>
      <c r="U870" s="185"/>
      <c r="V870" s="185"/>
      <c r="W870" s="185"/>
      <c r="X870" s="185"/>
      <c r="Y870" s="185"/>
      <c r="Z870" s="185"/>
    </row>
    <row r="871" spans="1:26" ht="16" thickBot="1" x14ac:dyDescent="0.25">
      <c r="A871" s="185"/>
      <c r="B871" s="185"/>
      <c r="C871" s="185"/>
      <c r="D871" s="185"/>
      <c r="E871" s="185"/>
      <c r="F871" s="185"/>
      <c r="G871" s="185"/>
      <c r="H871" s="185"/>
      <c r="I871" s="185"/>
      <c r="J871" s="185"/>
      <c r="K871" s="185"/>
      <c r="L871" s="185"/>
      <c r="M871" s="185"/>
      <c r="N871" s="185"/>
      <c r="O871" s="185"/>
      <c r="P871" s="185"/>
      <c r="Q871" s="185"/>
      <c r="R871" s="185"/>
      <c r="S871" s="185"/>
      <c r="T871" s="185"/>
      <c r="U871" s="185"/>
      <c r="V871" s="185"/>
      <c r="W871" s="185"/>
      <c r="X871" s="185"/>
      <c r="Y871" s="185"/>
      <c r="Z871" s="185"/>
    </row>
    <row r="872" spans="1:26" ht="16" thickBot="1" x14ac:dyDescent="0.25">
      <c r="A872" s="185"/>
      <c r="B872" s="185"/>
      <c r="C872" s="185"/>
      <c r="D872" s="185"/>
      <c r="E872" s="185"/>
      <c r="F872" s="185"/>
      <c r="G872" s="185"/>
      <c r="H872" s="185"/>
      <c r="I872" s="185"/>
      <c r="J872" s="185"/>
      <c r="K872" s="185"/>
      <c r="L872" s="185"/>
      <c r="M872" s="185"/>
      <c r="N872" s="185"/>
      <c r="O872" s="185"/>
      <c r="P872" s="185"/>
      <c r="Q872" s="185"/>
      <c r="R872" s="185"/>
      <c r="S872" s="185"/>
      <c r="T872" s="185"/>
      <c r="U872" s="185"/>
      <c r="V872" s="185"/>
      <c r="W872" s="185"/>
      <c r="X872" s="185"/>
      <c r="Y872" s="185"/>
      <c r="Z872" s="185"/>
    </row>
    <row r="873" spans="1:26" ht="16" thickBot="1" x14ac:dyDescent="0.25">
      <c r="A873" s="185"/>
      <c r="B873" s="185"/>
      <c r="C873" s="185"/>
      <c r="D873" s="185"/>
      <c r="E873" s="185"/>
      <c r="F873" s="185"/>
      <c r="G873" s="185"/>
      <c r="H873" s="185"/>
      <c r="I873" s="185"/>
      <c r="J873" s="185"/>
      <c r="K873" s="185"/>
      <c r="L873" s="185"/>
      <c r="M873" s="185"/>
      <c r="N873" s="185"/>
      <c r="O873" s="185"/>
      <c r="P873" s="185"/>
      <c r="Q873" s="185"/>
      <c r="R873" s="185"/>
      <c r="S873" s="185"/>
      <c r="T873" s="185"/>
      <c r="U873" s="185"/>
      <c r="V873" s="185"/>
      <c r="W873" s="185"/>
      <c r="X873" s="185"/>
      <c r="Y873" s="185"/>
      <c r="Z873" s="185"/>
    </row>
    <row r="874" spans="1:26" ht="16" thickBot="1" x14ac:dyDescent="0.25">
      <c r="A874" s="185"/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5"/>
      <c r="O874" s="185"/>
      <c r="P874" s="185"/>
      <c r="Q874" s="185"/>
      <c r="R874" s="185"/>
      <c r="S874" s="185"/>
      <c r="T874" s="185"/>
      <c r="U874" s="185"/>
      <c r="V874" s="185"/>
      <c r="W874" s="185"/>
      <c r="X874" s="185"/>
      <c r="Y874" s="185"/>
      <c r="Z874" s="185"/>
    </row>
    <row r="875" spans="1:26" ht="16" thickBot="1" x14ac:dyDescent="0.25">
      <c r="A875" s="185"/>
      <c r="B875" s="185"/>
      <c r="C875" s="185"/>
      <c r="D875" s="185"/>
      <c r="E875" s="185"/>
      <c r="F875" s="185"/>
      <c r="G875" s="185"/>
      <c r="H875" s="185"/>
      <c r="I875" s="185"/>
      <c r="J875" s="185"/>
      <c r="K875" s="185"/>
      <c r="L875" s="185"/>
      <c r="M875" s="185"/>
      <c r="N875" s="185"/>
      <c r="O875" s="185"/>
      <c r="P875" s="185"/>
      <c r="Q875" s="185"/>
      <c r="R875" s="185"/>
      <c r="S875" s="185"/>
      <c r="T875" s="185"/>
      <c r="U875" s="185"/>
      <c r="V875" s="185"/>
      <c r="W875" s="185"/>
      <c r="X875" s="185"/>
      <c r="Y875" s="185"/>
      <c r="Z875" s="185"/>
    </row>
    <row r="876" spans="1:26" ht="16" thickBot="1" x14ac:dyDescent="0.25">
      <c r="A876" s="185"/>
      <c r="B876" s="185"/>
      <c r="C876" s="185"/>
      <c r="D876" s="185"/>
      <c r="E876" s="185"/>
      <c r="F876" s="185"/>
      <c r="G876" s="185"/>
      <c r="H876" s="185"/>
      <c r="I876" s="185"/>
      <c r="J876" s="185"/>
      <c r="K876" s="185"/>
      <c r="L876" s="185"/>
      <c r="M876" s="185"/>
      <c r="N876" s="185"/>
      <c r="O876" s="185"/>
      <c r="P876" s="185"/>
      <c r="Q876" s="185"/>
      <c r="R876" s="185"/>
      <c r="S876" s="185"/>
      <c r="T876" s="185"/>
      <c r="U876" s="185"/>
      <c r="V876" s="185"/>
      <c r="W876" s="185"/>
      <c r="X876" s="185"/>
      <c r="Y876" s="185"/>
      <c r="Z876" s="185"/>
    </row>
    <row r="877" spans="1:26" ht="16" thickBot="1" x14ac:dyDescent="0.25">
      <c r="A877" s="185"/>
      <c r="B877" s="185"/>
      <c r="C877" s="185"/>
      <c r="D877" s="185"/>
      <c r="E877" s="185"/>
      <c r="F877" s="185"/>
      <c r="G877" s="185"/>
      <c r="H877" s="185"/>
      <c r="I877" s="185"/>
      <c r="J877" s="185"/>
      <c r="K877" s="185"/>
      <c r="L877" s="185"/>
      <c r="M877" s="185"/>
      <c r="N877" s="185"/>
      <c r="O877" s="185"/>
      <c r="P877" s="185"/>
      <c r="Q877" s="185"/>
      <c r="R877" s="185"/>
      <c r="S877" s="185"/>
      <c r="T877" s="185"/>
      <c r="U877" s="185"/>
      <c r="V877" s="185"/>
      <c r="W877" s="185"/>
      <c r="X877" s="185"/>
      <c r="Y877" s="185"/>
      <c r="Z877" s="185"/>
    </row>
    <row r="878" spans="1:26" ht="16" thickBot="1" x14ac:dyDescent="0.25">
      <c r="A878" s="185"/>
      <c r="B878" s="185"/>
      <c r="C878" s="185"/>
      <c r="D878" s="185"/>
      <c r="E878" s="185"/>
      <c r="F878" s="185"/>
      <c r="G878" s="185"/>
      <c r="H878" s="185"/>
      <c r="I878" s="185"/>
      <c r="J878" s="185"/>
      <c r="K878" s="185"/>
      <c r="L878" s="185"/>
      <c r="M878" s="185"/>
      <c r="N878" s="185"/>
      <c r="O878" s="185"/>
      <c r="P878" s="185"/>
      <c r="Q878" s="185"/>
      <c r="R878" s="185"/>
      <c r="S878" s="185"/>
      <c r="T878" s="185"/>
      <c r="U878" s="185"/>
      <c r="V878" s="185"/>
      <c r="W878" s="185"/>
      <c r="X878" s="185"/>
      <c r="Y878" s="185"/>
      <c r="Z878" s="185"/>
    </row>
    <row r="879" spans="1:26" ht="16" thickBot="1" x14ac:dyDescent="0.25">
      <c r="A879" s="185"/>
      <c r="B879" s="185"/>
      <c r="C879" s="185"/>
      <c r="D879" s="185"/>
      <c r="E879" s="185"/>
      <c r="F879" s="185"/>
      <c r="G879" s="185"/>
      <c r="H879" s="185"/>
      <c r="I879" s="185"/>
      <c r="J879" s="185"/>
      <c r="K879" s="185"/>
      <c r="L879" s="185"/>
      <c r="M879" s="185"/>
      <c r="N879" s="185"/>
      <c r="O879" s="185"/>
      <c r="P879" s="185"/>
      <c r="Q879" s="185"/>
      <c r="R879" s="185"/>
      <c r="S879" s="185"/>
      <c r="T879" s="185"/>
      <c r="U879" s="185"/>
      <c r="V879" s="185"/>
      <c r="W879" s="185"/>
      <c r="X879" s="185"/>
      <c r="Y879" s="185"/>
      <c r="Z879" s="185"/>
    </row>
    <row r="880" spans="1:26" ht="16" thickBot="1" x14ac:dyDescent="0.25">
      <c r="A880" s="185"/>
      <c r="B880" s="185"/>
      <c r="C880" s="185"/>
      <c r="D880" s="185"/>
      <c r="E880" s="185"/>
      <c r="F880" s="185"/>
      <c r="G880" s="185"/>
      <c r="H880" s="185"/>
      <c r="I880" s="185"/>
      <c r="J880" s="185"/>
      <c r="K880" s="185"/>
      <c r="L880" s="185"/>
      <c r="M880" s="185"/>
      <c r="N880" s="185"/>
      <c r="O880" s="185"/>
      <c r="P880" s="185"/>
      <c r="Q880" s="185"/>
      <c r="R880" s="185"/>
      <c r="S880" s="185"/>
      <c r="T880" s="185"/>
      <c r="U880" s="185"/>
      <c r="V880" s="185"/>
      <c r="W880" s="185"/>
      <c r="X880" s="185"/>
      <c r="Y880" s="185"/>
      <c r="Z880" s="185"/>
    </row>
    <row r="881" spans="1:26" ht="16" thickBot="1" x14ac:dyDescent="0.25">
      <c r="A881" s="185"/>
      <c r="B881" s="185"/>
      <c r="C881" s="185"/>
      <c r="D881" s="185"/>
      <c r="E881" s="185"/>
      <c r="F881" s="185"/>
      <c r="G881" s="185"/>
      <c r="H881" s="185"/>
      <c r="I881" s="185"/>
      <c r="J881" s="185"/>
      <c r="K881" s="185"/>
      <c r="L881" s="185"/>
      <c r="M881" s="185"/>
      <c r="N881" s="185"/>
      <c r="O881" s="185"/>
      <c r="P881" s="185"/>
      <c r="Q881" s="185"/>
      <c r="R881" s="185"/>
      <c r="S881" s="185"/>
      <c r="T881" s="185"/>
      <c r="U881" s="185"/>
      <c r="V881" s="185"/>
      <c r="W881" s="185"/>
      <c r="X881" s="185"/>
      <c r="Y881" s="185"/>
      <c r="Z881" s="185"/>
    </row>
    <row r="882" spans="1:26" ht="16" thickBot="1" x14ac:dyDescent="0.25">
      <c r="A882" s="185"/>
      <c r="B882" s="185"/>
      <c r="C882" s="185"/>
      <c r="D882" s="185"/>
      <c r="E882" s="185"/>
      <c r="F882" s="185"/>
      <c r="G882" s="185"/>
      <c r="H882" s="185"/>
      <c r="I882" s="185"/>
      <c r="J882" s="185"/>
      <c r="K882" s="185"/>
      <c r="L882" s="185"/>
      <c r="M882" s="185"/>
      <c r="N882" s="185"/>
      <c r="O882" s="185"/>
      <c r="P882" s="185"/>
      <c r="Q882" s="185"/>
      <c r="R882" s="185"/>
      <c r="S882" s="185"/>
      <c r="T882" s="185"/>
      <c r="U882" s="185"/>
      <c r="V882" s="185"/>
      <c r="W882" s="185"/>
      <c r="X882" s="185"/>
      <c r="Y882" s="185"/>
      <c r="Z882" s="185"/>
    </row>
    <row r="883" spans="1:26" ht="16" thickBot="1" x14ac:dyDescent="0.25">
      <c r="A883" s="185"/>
      <c r="B883" s="185"/>
      <c r="C883" s="185"/>
      <c r="D883" s="185"/>
      <c r="E883" s="185"/>
      <c r="F883" s="185"/>
      <c r="G883" s="185"/>
      <c r="H883" s="185"/>
      <c r="I883" s="185"/>
      <c r="J883" s="185"/>
      <c r="K883" s="185"/>
      <c r="L883" s="185"/>
      <c r="M883" s="185"/>
      <c r="N883" s="185"/>
      <c r="O883" s="185"/>
      <c r="P883" s="185"/>
      <c r="Q883" s="185"/>
      <c r="R883" s="185"/>
      <c r="S883" s="185"/>
      <c r="T883" s="185"/>
      <c r="U883" s="185"/>
      <c r="V883" s="185"/>
      <c r="W883" s="185"/>
      <c r="X883" s="185"/>
      <c r="Y883" s="185"/>
      <c r="Z883" s="185"/>
    </row>
    <row r="884" spans="1:26" ht="16" thickBot="1" x14ac:dyDescent="0.25">
      <c r="A884" s="185"/>
      <c r="B884" s="185"/>
      <c r="C884" s="185"/>
      <c r="D884" s="185"/>
      <c r="E884" s="185"/>
      <c r="F884" s="185"/>
      <c r="G884" s="185"/>
      <c r="H884" s="185"/>
      <c r="I884" s="185"/>
      <c r="J884" s="185"/>
      <c r="K884" s="185"/>
      <c r="L884" s="185"/>
      <c r="M884" s="185"/>
      <c r="N884" s="185"/>
      <c r="O884" s="185"/>
      <c r="P884" s="185"/>
      <c r="Q884" s="185"/>
      <c r="R884" s="185"/>
      <c r="S884" s="185"/>
      <c r="T884" s="185"/>
      <c r="U884" s="185"/>
      <c r="V884" s="185"/>
      <c r="W884" s="185"/>
      <c r="X884" s="185"/>
      <c r="Y884" s="185"/>
      <c r="Z884" s="185"/>
    </row>
    <row r="885" spans="1:26" ht="16" thickBot="1" x14ac:dyDescent="0.25">
      <c r="A885" s="185"/>
      <c r="B885" s="185"/>
      <c r="C885" s="185"/>
      <c r="D885" s="185"/>
      <c r="E885" s="185"/>
      <c r="F885" s="185"/>
      <c r="G885" s="185"/>
      <c r="H885" s="185"/>
      <c r="I885" s="185"/>
      <c r="J885" s="185"/>
      <c r="K885" s="185"/>
      <c r="L885" s="185"/>
      <c r="M885" s="185"/>
      <c r="N885" s="185"/>
      <c r="O885" s="185"/>
      <c r="P885" s="185"/>
      <c r="Q885" s="185"/>
      <c r="R885" s="185"/>
      <c r="S885" s="185"/>
      <c r="T885" s="185"/>
      <c r="U885" s="185"/>
      <c r="V885" s="185"/>
      <c r="W885" s="185"/>
      <c r="X885" s="185"/>
      <c r="Y885" s="185"/>
      <c r="Z885" s="185"/>
    </row>
    <row r="886" spans="1:26" ht="16" thickBot="1" x14ac:dyDescent="0.25">
      <c r="A886" s="185"/>
      <c r="B886" s="185"/>
      <c r="C886" s="185"/>
      <c r="D886" s="185"/>
      <c r="E886" s="185"/>
      <c r="F886" s="185"/>
      <c r="G886" s="185"/>
      <c r="H886" s="185"/>
      <c r="I886" s="185"/>
      <c r="J886" s="185"/>
      <c r="K886" s="185"/>
      <c r="L886" s="185"/>
      <c r="M886" s="185"/>
      <c r="N886" s="185"/>
      <c r="O886" s="185"/>
      <c r="P886" s="185"/>
      <c r="Q886" s="185"/>
      <c r="R886" s="185"/>
      <c r="S886" s="185"/>
      <c r="T886" s="185"/>
      <c r="U886" s="185"/>
      <c r="V886" s="185"/>
      <c r="W886" s="185"/>
      <c r="X886" s="185"/>
      <c r="Y886" s="185"/>
      <c r="Z886" s="185"/>
    </row>
    <row r="887" spans="1:26" ht="16" thickBot="1" x14ac:dyDescent="0.25">
      <c r="A887" s="185"/>
      <c r="B887" s="185"/>
      <c r="C887" s="185"/>
      <c r="D887" s="185"/>
      <c r="E887" s="185"/>
      <c r="F887" s="185"/>
      <c r="G887" s="185"/>
      <c r="H887" s="185"/>
      <c r="I887" s="185"/>
      <c r="J887" s="185"/>
      <c r="K887" s="185"/>
      <c r="L887" s="185"/>
      <c r="M887" s="185"/>
      <c r="N887" s="185"/>
      <c r="O887" s="185"/>
      <c r="P887" s="185"/>
      <c r="Q887" s="185"/>
      <c r="R887" s="185"/>
      <c r="S887" s="185"/>
      <c r="T887" s="185"/>
      <c r="U887" s="185"/>
      <c r="V887" s="185"/>
      <c r="W887" s="185"/>
      <c r="X887" s="185"/>
      <c r="Y887" s="185"/>
      <c r="Z887" s="185"/>
    </row>
    <row r="888" spans="1:26" ht="16" thickBot="1" x14ac:dyDescent="0.25">
      <c r="A888" s="185"/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5"/>
      <c r="O888" s="185"/>
      <c r="P888" s="185"/>
      <c r="Q888" s="185"/>
      <c r="R888" s="185"/>
      <c r="S888" s="185"/>
      <c r="T888" s="185"/>
      <c r="U888" s="185"/>
      <c r="V888" s="185"/>
      <c r="W888" s="185"/>
      <c r="X888" s="185"/>
      <c r="Y888" s="185"/>
      <c r="Z888" s="185"/>
    </row>
    <row r="889" spans="1:26" ht="16" thickBot="1" x14ac:dyDescent="0.25">
      <c r="A889" s="185"/>
      <c r="B889" s="185"/>
      <c r="C889" s="185"/>
      <c r="D889" s="185"/>
      <c r="E889" s="185"/>
      <c r="F889" s="185"/>
      <c r="G889" s="185"/>
      <c r="H889" s="185"/>
      <c r="I889" s="185"/>
      <c r="J889" s="185"/>
      <c r="K889" s="185"/>
      <c r="L889" s="185"/>
      <c r="M889" s="185"/>
      <c r="N889" s="185"/>
      <c r="O889" s="185"/>
      <c r="P889" s="185"/>
      <c r="Q889" s="185"/>
      <c r="R889" s="185"/>
      <c r="S889" s="185"/>
      <c r="T889" s="185"/>
      <c r="U889" s="185"/>
      <c r="V889" s="185"/>
      <c r="W889" s="185"/>
      <c r="X889" s="185"/>
      <c r="Y889" s="185"/>
      <c r="Z889" s="185"/>
    </row>
    <row r="890" spans="1:26" ht="16" thickBot="1" x14ac:dyDescent="0.25">
      <c r="A890" s="185"/>
      <c r="B890" s="185"/>
      <c r="C890" s="185"/>
      <c r="D890" s="185"/>
      <c r="E890" s="185"/>
      <c r="F890" s="185"/>
      <c r="G890" s="185"/>
      <c r="H890" s="185"/>
      <c r="I890" s="185"/>
      <c r="J890" s="185"/>
      <c r="K890" s="185"/>
      <c r="L890" s="185"/>
      <c r="M890" s="185"/>
      <c r="N890" s="185"/>
      <c r="O890" s="185"/>
      <c r="P890" s="185"/>
      <c r="Q890" s="185"/>
      <c r="R890" s="185"/>
      <c r="S890" s="185"/>
      <c r="T890" s="185"/>
      <c r="U890" s="185"/>
      <c r="V890" s="185"/>
      <c r="W890" s="185"/>
      <c r="X890" s="185"/>
      <c r="Y890" s="185"/>
      <c r="Z890" s="185"/>
    </row>
    <row r="891" spans="1:26" ht="16" thickBot="1" x14ac:dyDescent="0.25">
      <c r="A891" s="185"/>
      <c r="B891" s="185"/>
      <c r="C891" s="185"/>
      <c r="D891" s="185"/>
      <c r="E891" s="185"/>
      <c r="F891" s="185"/>
      <c r="G891" s="185"/>
      <c r="H891" s="185"/>
      <c r="I891" s="185"/>
      <c r="J891" s="185"/>
      <c r="K891" s="185"/>
      <c r="L891" s="185"/>
      <c r="M891" s="185"/>
      <c r="N891" s="185"/>
      <c r="O891" s="185"/>
      <c r="P891" s="185"/>
      <c r="Q891" s="185"/>
      <c r="R891" s="185"/>
      <c r="S891" s="185"/>
      <c r="T891" s="185"/>
      <c r="U891" s="185"/>
      <c r="V891" s="185"/>
      <c r="W891" s="185"/>
      <c r="X891" s="185"/>
      <c r="Y891" s="185"/>
      <c r="Z891" s="185"/>
    </row>
    <row r="892" spans="1:26" ht="16" thickBot="1" x14ac:dyDescent="0.25">
      <c r="A892" s="185"/>
      <c r="B892" s="185"/>
      <c r="C892" s="185"/>
      <c r="D892" s="185"/>
      <c r="E892" s="185"/>
      <c r="F892" s="185"/>
      <c r="G892" s="185"/>
      <c r="H892" s="185"/>
      <c r="I892" s="185"/>
      <c r="J892" s="185"/>
      <c r="K892" s="185"/>
      <c r="L892" s="185"/>
      <c r="M892" s="185"/>
      <c r="N892" s="185"/>
      <c r="O892" s="185"/>
      <c r="P892" s="185"/>
      <c r="Q892" s="185"/>
      <c r="R892" s="185"/>
      <c r="S892" s="185"/>
      <c r="T892" s="185"/>
      <c r="U892" s="185"/>
      <c r="V892" s="185"/>
      <c r="W892" s="185"/>
      <c r="X892" s="185"/>
      <c r="Y892" s="185"/>
      <c r="Z892" s="185"/>
    </row>
    <row r="893" spans="1:26" ht="16" thickBot="1" x14ac:dyDescent="0.25">
      <c r="A893" s="185"/>
      <c r="B893" s="185"/>
      <c r="C893" s="185"/>
      <c r="D893" s="185"/>
      <c r="E893" s="185"/>
      <c r="F893" s="185"/>
      <c r="G893" s="185"/>
      <c r="H893" s="185"/>
      <c r="I893" s="185"/>
      <c r="J893" s="185"/>
      <c r="K893" s="185"/>
      <c r="L893" s="185"/>
      <c r="M893" s="185"/>
      <c r="N893" s="185"/>
      <c r="O893" s="185"/>
      <c r="P893" s="185"/>
      <c r="Q893" s="185"/>
      <c r="R893" s="185"/>
      <c r="S893" s="185"/>
      <c r="T893" s="185"/>
      <c r="U893" s="185"/>
      <c r="V893" s="185"/>
      <c r="W893" s="185"/>
      <c r="X893" s="185"/>
      <c r="Y893" s="185"/>
      <c r="Z893" s="185"/>
    </row>
    <row r="894" spans="1:26" ht="16" thickBot="1" x14ac:dyDescent="0.25">
      <c r="A894" s="185"/>
      <c r="B894" s="185"/>
      <c r="C894" s="185"/>
      <c r="D894" s="185"/>
      <c r="E894" s="185"/>
      <c r="F894" s="185"/>
      <c r="G894" s="185"/>
      <c r="H894" s="185"/>
      <c r="I894" s="185"/>
      <c r="J894" s="185"/>
      <c r="K894" s="185"/>
      <c r="L894" s="185"/>
      <c r="M894" s="185"/>
      <c r="N894" s="185"/>
      <c r="O894" s="185"/>
      <c r="P894" s="185"/>
      <c r="Q894" s="185"/>
      <c r="R894" s="185"/>
      <c r="S894" s="185"/>
      <c r="T894" s="185"/>
      <c r="U894" s="185"/>
      <c r="V894" s="185"/>
      <c r="W894" s="185"/>
      <c r="X894" s="185"/>
      <c r="Y894" s="185"/>
      <c r="Z894" s="185"/>
    </row>
    <row r="895" spans="1:26" ht="16" thickBot="1" x14ac:dyDescent="0.25">
      <c r="A895" s="185"/>
      <c r="B895" s="185"/>
      <c r="C895" s="185"/>
      <c r="D895" s="185"/>
      <c r="E895" s="185"/>
      <c r="F895" s="185"/>
      <c r="G895" s="185"/>
      <c r="H895" s="185"/>
      <c r="I895" s="185"/>
      <c r="J895" s="185"/>
      <c r="K895" s="185"/>
      <c r="L895" s="185"/>
      <c r="M895" s="185"/>
      <c r="N895" s="185"/>
      <c r="O895" s="185"/>
      <c r="P895" s="185"/>
      <c r="Q895" s="185"/>
      <c r="R895" s="185"/>
      <c r="S895" s="185"/>
      <c r="T895" s="185"/>
      <c r="U895" s="185"/>
      <c r="V895" s="185"/>
      <c r="W895" s="185"/>
      <c r="X895" s="185"/>
      <c r="Y895" s="185"/>
      <c r="Z895" s="185"/>
    </row>
    <row r="896" spans="1:26" ht="16" thickBot="1" x14ac:dyDescent="0.25">
      <c r="A896" s="185"/>
      <c r="B896" s="185"/>
      <c r="C896" s="185"/>
      <c r="D896" s="185"/>
      <c r="E896" s="185"/>
      <c r="F896" s="185"/>
      <c r="G896" s="185"/>
      <c r="H896" s="185"/>
      <c r="I896" s="185"/>
      <c r="J896" s="185"/>
      <c r="K896" s="185"/>
      <c r="L896" s="185"/>
      <c r="M896" s="185"/>
      <c r="N896" s="185"/>
      <c r="O896" s="185"/>
      <c r="P896" s="185"/>
      <c r="Q896" s="185"/>
      <c r="R896" s="185"/>
      <c r="S896" s="185"/>
      <c r="T896" s="185"/>
      <c r="U896" s="185"/>
      <c r="V896" s="185"/>
      <c r="W896" s="185"/>
      <c r="X896" s="185"/>
      <c r="Y896" s="185"/>
      <c r="Z896" s="185"/>
    </row>
    <row r="897" spans="1:26" ht="16" thickBot="1" x14ac:dyDescent="0.25">
      <c r="A897" s="185"/>
      <c r="B897" s="185"/>
      <c r="C897" s="185"/>
      <c r="D897" s="185"/>
      <c r="E897" s="185"/>
      <c r="F897" s="185"/>
      <c r="G897" s="185"/>
      <c r="H897" s="185"/>
      <c r="I897" s="185"/>
      <c r="J897" s="185"/>
      <c r="K897" s="185"/>
      <c r="L897" s="185"/>
      <c r="M897" s="185"/>
      <c r="N897" s="185"/>
      <c r="O897" s="185"/>
      <c r="P897" s="185"/>
      <c r="Q897" s="185"/>
      <c r="R897" s="185"/>
      <c r="S897" s="185"/>
      <c r="T897" s="185"/>
      <c r="U897" s="185"/>
      <c r="V897" s="185"/>
      <c r="W897" s="185"/>
      <c r="X897" s="185"/>
      <c r="Y897" s="185"/>
      <c r="Z897" s="185"/>
    </row>
    <row r="898" spans="1:26" ht="16" thickBot="1" x14ac:dyDescent="0.25">
      <c r="A898" s="185"/>
      <c r="B898" s="185"/>
      <c r="C898" s="185"/>
      <c r="D898" s="185"/>
      <c r="E898" s="185"/>
      <c r="F898" s="185"/>
      <c r="G898" s="185"/>
      <c r="H898" s="185"/>
      <c r="I898" s="185"/>
      <c r="J898" s="185"/>
      <c r="K898" s="185"/>
      <c r="L898" s="185"/>
      <c r="M898" s="185"/>
      <c r="N898" s="185"/>
      <c r="O898" s="185"/>
      <c r="P898" s="185"/>
      <c r="Q898" s="185"/>
      <c r="R898" s="185"/>
      <c r="S898" s="185"/>
      <c r="T898" s="185"/>
      <c r="U898" s="185"/>
      <c r="V898" s="185"/>
      <c r="W898" s="185"/>
      <c r="X898" s="185"/>
      <c r="Y898" s="185"/>
      <c r="Z898" s="185"/>
    </row>
    <row r="899" spans="1:26" ht="16" thickBot="1" x14ac:dyDescent="0.25">
      <c r="A899" s="185"/>
      <c r="B899" s="185"/>
      <c r="C899" s="185"/>
      <c r="D899" s="185"/>
      <c r="E899" s="185"/>
      <c r="F899" s="185"/>
      <c r="G899" s="185"/>
      <c r="H899" s="185"/>
      <c r="I899" s="185"/>
      <c r="J899" s="185"/>
      <c r="K899" s="185"/>
      <c r="L899" s="185"/>
      <c r="M899" s="185"/>
      <c r="N899" s="185"/>
      <c r="O899" s="185"/>
      <c r="P899" s="185"/>
      <c r="Q899" s="185"/>
      <c r="R899" s="185"/>
      <c r="S899" s="185"/>
      <c r="T899" s="185"/>
      <c r="U899" s="185"/>
      <c r="V899" s="185"/>
      <c r="W899" s="185"/>
      <c r="X899" s="185"/>
      <c r="Y899" s="185"/>
      <c r="Z899" s="185"/>
    </row>
    <row r="900" spans="1:26" ht="16" thickBot="1" x14ac:dyDescent="0.25">
      <c r="A900" s="185"/>
      <c r="B900" s="185"/>
      <c r="C900" s="185"/>
      <c r="D900" s="185"/>
      <c r="E900" s="185"/>
      <c r="F900" s="185"/>
      <c r="G900" s="185"/>
      <c r="H900" s="185"/>
      <c r="I900" s="185"/>
      <c r="J900" s="185"/>
      <c r="K900" s="185"/>
      <c r="L900" s="185"/>
      <c r="M900" s="185"/>
      <c r="N900" s="185"/>
      <c r="O900" s="185"/>
      <c r="P900" s="185"/>
      <c r="Q900" s="185"/>
      <c r="R900" s="185"/>
      <c r="S900" s="185"/>
      <c r="T900" s="185"/>
      <c r="U900" s="185"/>
      <c r="V900" s="185"/>
      <c r="W900" s="185"/>
      <c r="X900" s="185"/>
      <c r="Y900" s="185"/>
      <c r="Z900" s="185"/>
    </row>
    <row r="901" spans="1:26" ht="16" thickBot="1" x14ac:dyDescent="0.25">
      <c r="A901" s="185"/>
      <c r="B901" s="185"/>
      <c r="C901" s="185"/>
      <c r="D901" s="185"/>
      <c r="E901" s="185"/>
      <c r="F901" s="185"/>
      <c r="G901" s="185"/>
      <c r="H901" s="185"/>
      <c r="I901" s="185"/>
      <c r="J901" s="185"/>
      <c r="K901" s="185"/>
      <c r="L901" s="185"/>
      <c r="M901" s="185"/>
      <c r="N901" s="185"/>
      <c r="O901" s="185"/>
      <c r="P901" s="185"/>
      <c r="Q901" s="185"/>
      <c r="R901" s="185"/>
      <c r="S901" s="185"/>
      <c r="T901" s="185"/>
      <c r="U901" s="185"/>
      <c r="V901" s="185"/>
      <c r="W901" s="185"/>
      <c r="X901" s="185"/>
      <c r="Y901" s="185"/>
      <c r="Z901" s="185"/>
    </row>
    <row r="902" spans="1:26" ht="16" thickBot="1" x14ac:dyDescent="0.25">
      <c r="A902" s="185"/>
      <c r="B902" s="185"/>
      <c r="C902" s="185"/>
      <c r="D902" s="185"/>
      <c r="E902" s="185"/>
      <c r="F902" s="185"/>
      <c r="G902" s="185"/>
      <c r="H902" s="185"/>
      <c r="I902" s="185"/>
      <c r="J902" s="185"/>
      <c r="K902" s="185"/>
      <c r="L902" s="185"/>
      <c r="M902" s="185"/>
      <c r="N902" s="185"/>
      <c r="O902" s="185"/>
      <c r="P902" s="185"/>
      <c r="Q902" s="185"/>
      <c r="R902" s="185"/>
      <c r="S902" s="185"/>
      <c r="T902" s="185"/>
      <c r="U902" s="185"/>
      <c r="V902" s="185"/>
      <c r="W902" s="185"/>
      <c r="X902" s="185"/>
      <c r="Y902" s="185"/>
      <c r="Z902" s="185"/>
    </row>
    <row r="903" spans="1:26" ht="16" thickBot="1" x14ac:dyDescent="0.25">
      <c r="A903" s="185"/>
      <c r="B903" s="185"/>
      <c r="C903" s="185"/>
      <c r="D903" s="185"/>
      <c r="E903" s="185"/>
      <c r="F903" s="185"/>
      <c r="G903" s="185"/>
      <c r="H903" s="185"/>
      <c r="I903" s="185"/>
      <c r="J903" s="185"/>
      <c r="K903" s="185"/>
      <c r="L903" s="185"/>
      <c r="M903" s="185"/>
      <c r="N903" s="185"/>
      <c r="O903" s="185"/>
      <c r="P903" s="185"/>
      <c r="Q903" s="185"/>
      <c r="R903" s="185"/>
      <c r="S903" s="185"/>
      <c r="T903" s="185"/>
      <c r="U903" s="185"/>
      <c r="V903" s="185"/>
      <c r="W903" s="185"/>
      <c r="X903" s="185"/>
      <c r="Y903" s="185"/>
      <c r="Z903" s="185"/>
    </row>
    <row r="904" spans="1:26" ht="16" thickBot="1" x14ac:dyDescent="0.25">
      <c r="A904" s="185"/>
      <c r="B904" s="185"/>
      <c r="C904" s="185"/>
      <c r="D904" s="185"/>
      <c r="E904" s="185"/>
      <c r="F904" s="185"/>
      <c r="G904" s="185"/>
      <c r="H904" s="185"/>
      <c r="I904" s="185"/>
      <c r="J904" s="185"/>
      <c r="K904" s="185"/>
      <c r="L904" s="185"/>
      <c r="M904" s="185"/>
      <c r="N904" s="185"/>
      <c r="O904" s="185"/>
      <c r="P904" s="185"/>
      <c r="Q904" s="185"/>
      <c r="R904" s="185"/>
      <c r="S904" s="185"/>
      <c r="T904" s="185"/>
      <c r="U904" s="185"/>
      <c r="V904" s="185"/>
      <c r="W904" s="185"/>
      <c r="X904" s="185"/>
      <c r="Y904" s="185"/>
      <c r="Z904" s="185"/>
    </row>
    <row r="905" spans="1:26" ht="16" thickBot="1" x14ac:dyDescent="0.25">
      <c r="A905" s="185"/>
      <c r="B905" s="185"/>
      <c r="C905" s="185"/>
      <c r="D905" s="185"/>
      <c r="E905" s="185"/>
      <c r="F905" s="185"/>
      <c r="G905" s="185"/>
      <c r="H905" s="185"/>
      <c r="I905" s="185"/>
      <c r="J905" s="185"/>
      <c r="K905" s="185"/>
      <c r="L905" s="185"/>
      <c r="M905" s="185"/>
      <c r="N905" s="185"/>
      <c r="O905" s="185"/>
      <c r="P905" s="185"/>
      <c r="Q905" s="185"/>
      <c r="R905" s="185"/>
      <c r="S905" s="185"/>
      <c r="T905" s="185"/>
      <c r="U905" s="185"/>
      <c r="V905" s="185"/>
      <c r="W905" s="185"/>
      <c r="X905" s="185"/>
      <c r="Y905" s="185"/>
      <c r="Z905" s="185"/>
    </row>
    <row r="906" spans="1:26" ht="16" thickBot="1" x14ac:dyDescent="0.25">
      <c r="A906" s="185"/>
      <c r="B906" s="185"/>
      <c r="C906" s="185"/>
      <c r="D906" s="185"/>
      <c r="E906" s="185"/>
      <c r="F906" s="185"/>
      <c r="G906" s="185"/>
      <c r="H906" s="185"/>
      <c r="I906" s="185"/>
      <c r="J906" s="185"/>
      <c r="K906" s="185"/>
      <c r="L906" s="185"/>
      <c r="M906" s="185"/>
      <c r="N906" s="185"/>
      <c r="O906" s="185"/>
      <c r="P906" s="185"/>
      <c r="Q906" s="185"/>
      <c r="R906" s="185"/>
      <c r="S906" s="185"/>
      <c r="T906" s="185"/>
      <c r="U906" s="185"/>
      <c r="V906" s="185"/>
      <c r="W906" s="185"/>
      <c r="X906" s="185"/>
      <c r="Y906" s="185"/>
      <c r="Z906" s="185"/>
    </row>
    <row r="907" spans="1:26" ht="16" thickBot="1" x14ac:dyDescent="0.25">
      <c r="A907" s="185"/>
      <c r="B907" s="185"/>
      <c r="C907" s="185"/>
      <c r="D907" s="185"/>
      <c r="E907" s="185"/>
      <c r="F907" s="185"/>
      <c r="G907" s="185"/>
      <c r="H907" s="185"/>
      <c r="I907" s="185"/>
      <c r="J907" s="185"/>
      <c r="K907" s="185"/>
      <c r="L907" s="185"/>
      <c r="M907" s="185"/>
      <c r="N907" s="185"/>
      <c r="O907" s="185"/>
      <c r="P907" s="185"/>
      <c r="Q907" s="185"/>
      <c r="R907" s="185"/>
      <c r="S907" s="185"/>
      <c r="T907" s="185"/>
      <c r="U907" s="185"/>
      <c r="V907" s="185"/>
      <c r="W907" s="185"/>
      <c r="X907" s="185"/>
      <c r="Y907" s="185"/>
      <c r="Z907" s="185"/>
    </row>
    <row r="908" spans="1:26" ht="16" thickBot="1" x14ac:dyDescent="0.25">
      <c r="A908" s="185"/>
      <c r="B908" s="185"/>
      <c r="C908" s="185"/>
      <c r="D908" s="185"/>
      <c r="E908" s="185"/>
      <c r="F908" s="185"/>
      <c r="G908" s="185"/>
      <c r="H908" s="185"/>
      <c r="I908" s="185"/>
      <c r="J908" s="185"/>
      <c r="K908" s="185"/>
      <c r="L908" s="185"/>
      <c r="M908" s="185"/>
      <c r="N908" s="185"/>
      <c r="O908" s="185"/>
      <c r="P908" s="185"/>
      <c r="Q908" s="185"/>
      <c r="R908" s="185"/>
      <c r="S908" s="185"/>
      <c r="T908" s="185"/>
      <c r="U908" s="185"/>
      <c r="V908" s="185"/>
      <c r="W908" s="185"/>
      <c r="X908" s="185"/>
      <c r="Y908" s="185"/>
      <c r="Z908" s="185"/>
    </row>
    <row r="909" spans="1:26" ht="16" thickBot="1" x14ac:dyDescent="0.25">
      <c r="A909" s="185"/>
      <c r="B909" s="185"/>
      <c r="C909" s="185"/>
      <c r="D909" s="185"/>
      <c r="E909" s="185"/>
      <c r="F909" s="185"/>
      <c r="G909" s="185"/>
      <c r="H909" s="185"/>
      <c r="I909" s="185"/>
      <c r="J909" s="185"/>
      <c r="K909" s="185"/>
      <c r="L909" s="185"/>
      <c r="M909" s="185"/>
      <c r="N909" s="185"/>
      <c r="O909" s="185"/>
      <c r="P909" s="185"/>
      <c r="Q909" s="185"/>
      <c r="R909" s="185"/>
      <c r="S909" s="185"/>
      <c r="T909" s="185"/>
      <c r="U909" s="185"/>
      <c r="V909" s="185"/>
      <c r="W909" s="185"/>
      <c r="X909" s="185"/>
      <c r="Y909" s="185"/>
      <c r="Z909" s="185"/>
    </row>
    <row r="910" spans="1:26" ht="16" thickBot="1" x14ac:dyDescent="0.25">
      <c r="A910" s="185"/>
      <c r="B910" s="185"/>
      <c r="C910" s="185"/>
      <c r="D910" s="185"/>
      <c r="E910" s="185"/>
      <c r="F910" s="185"/>
      <c r="G910" s="185"/>
      <c r="H910" s="185"/>
      <c r="I910" s="185"/>
      <c r="J910" s="185"/>
      <c r="K910" s="185"/>
      <c r="L910" s="185"/>
      <c r="M910" s="185"/>
      <c r="N910" s="185"/>
      <c r="O910" s="185"/>
      <c r="P910" s="185"/>
      <c r="Q910" s="185"/>
      <c r="R910" s="185"/>
      <c r="S910" s="185"/>
      <c r="T910" s="185"/>
      <c r="U910" s="185"/>
      <c r="V910" s="185"/>
      <c r="W910" s="185"/>
      <c r="X910" s="185"/>
      <c r="Y910" s="185"/>
      <c r="Z910" s="185"/>
    </row>
    <row r="911" spans="1:26" ht="16" thickBot="1" x14ac:dyDescent="0.25">
      <c r="A911" s="185"/>
      <c r="B911" s="185"/>
      <c r="C911" s="185"/>
      <c r="D911" s="185"/>
      <c r="E911" s="185"/>
      <c r="F911" s="185"/>
      <c r="G911" s="185"/>
      <c r="H911" s="185"/>
      <c r="I911" s="185"/>
      <c r="J911" s="185"/>
      <c r="K911" s="185"/>
      <c r="L911" s="185"/>
      <c r="M911" s="185"/>
      <c r="N911" s="185"/>
      <c r="O911" s="185"/>
      <c r="P911" s="185"/>
      <c r="Q911" s="185"/>
      <c r="R911" s="185"/>
      <c r="S911" s="185"/>
      <c r="T911" s="185"/>
      <c r="U911" s="185"/>
      <c r="V911" s="185"/>
      <c r="W911" s="185"/>
      <c r="X911" s="185"/>
      <c r="Y911" s="185"/>
      <c r="Z911" s="185"/>
    </row>
    <row r="912" spans="1:26" ht="16" thickBot="1" x14ac:dyDescent="0.25">
      <c r="A912" s="185"/>
      <c r="B912" s="185"/>
      <c r="C912" s="185"/>
      <c r="D912" s="185"/>
      <c r="E912" s="185"/>
      <c r="F912" s="185"/>
      <c r="G912" s="185"/>
      <c r="H912" s="185"/>
      <c r="I912" s="185"/>
      <c r="J912" s="185"/>
      <c r="K912" s="185"/>
      <c r="L912" s="185"/>
      <c r="M912" s="185"/>
      <c r="N912" s="185"/>
      <c r="O912" s="185"/>
      <c r="P912" s="185"/>
      <c r="Q912" s="185"/>
      <c r="R912" s="185"/>
      <c r="S912" s="185"/>
      <c r="T912" s="185"/>
      <c r="U912" s="185"/>
      <c r="V912" s="185"/>
      <c r="W912" s="185"/>
      <c r="X912" s="185"/>
      <c r="Y912" s="185"/>
      <c r="Z912" s="185"/>
    </row>
    <row r="913" spans="1:26" ht="16" thickBot="1" x14ac:dyDescent="0.25">
      <c r="A913" s="185"/>
      <c r="B913" s="185"/>
      <c r="C913" s="185"/>
      <c r="D913" s="185"/>
      <c r="E913" s="185"/>
      <c r="F913" s="185"/>
      <c r="G913" s="185"/>
      <c r="H913" s="185"/>
      <c r="I913" s="185"/>
      <c r="J913" s="185"/>
      <c r="K913" s="185"/>
      <c r="L913" s="185"/>
      <c r="M913" s="185"/>
      <c r="N913" s="185"/>
      <c r="O913" s="185"/>
      <c r="P913" s="185"/>
      <c r="Q913" s="185"/>
      <c r="R913" s="185"/>
      <c r="S913" s="185"/>
      <c r="T913" s="185"/>
      <c r="U913" s="185"/>
      <c r="V913" s="185"/>
      <c r="W913" s="185"/>
      <c r="X913" s="185"/>
      <c r="Y913" s="185"/>
      <c r="Z913" s="185"/>
    </row>
    <row r="914" spans="1:26" ht="16" thickBot="1" x14ac:dyDescent="0.25">
      <c r="A914" s="185"/>
      <c r="B914" s="185"/>
      <c r="C914" s="185"/>
      <c r="D914" s="185"/>
      <c r="E914" s="185"/>
      <c r="F914" s="185"/>
      <c r="G914" s="185"/>
      <c r="H914" s="185"/>
      <c r="I914" s="185"/>
      <c r="J914" s="185"/>
      <c r="K914" s="185"/>
      <c r="L914" s="185"/>
      <c r="M914" s="185"/>
      <c r="N914" s="185"/>
      <c r="O914" s="185"/>
      <c r="P914" s="185"/>
      <c r="Q914" s="185"/>
      <c r="R914" s="185"/>
      <c r="S914" s="185"/>
      <c r="T914" s="185"/>
      <c r="U914" s="185"/>
      <c r="V914" s="185"/>
      <c r="W914" s="185"/>
      <c r="X914" s="185"/>
      <c r="Y914" s="185"/>
      <c r="Z914" s="185"/>
    </row>
    <row r="915" spans="1:26" ht="16" thickBot="1" x14ac:dyDescent="0.25">
      <c r="A915" s="185"/>
      <c r="B915" s="185"/>
      <c r="C915" s="185"/>
      <c r="D915" s="185"/>
      <c r="E915" s="185"/>
      <c r="F915" s="185"/>
      <c r="G915" s="185"/>
      <c r="H915" s="185"/>
      <c r="I915" s="185"/>
      <c r="J915" s="185"/>
      <c r="K915" s="185"/>
      <c r="L915" s="185"/>
      <c r="M915" s="185"/>
      <c r="N915" s="185"/>
      <c r="O915" s="185"/>
      <c r="P915" s="185"/>
      <c r="Q915" s="185"/>
      <c r="R915" s="185"/>
      <c r="S915" s="185"/>
      <c r="T915" s="185"/>
      <c r="U915" s="185"/>
      <c r="V915" s="185"/>
      <c r="W915" s="185"/>
      <c r="X915" s="185"/>
      <c r="Y915" s="185"/>
      <c r="Z915" s="185"/>
    </row>
    <row r="916" spans="1:26" ht="16" thickBot="1" x14ac:dyDescent="0.25">
      <c r="A916" s="185"/>
      <c r="B916" s="185"/>
      <c r="C916" s="185"/>
      <c r="D916" s="185"/>
      <c r="E916" s="185"/>
      <c r="F916" s="185"/>
      <c r="G916" s="185"/>
      <c r="H916" s="185"/>
      <c r="I916" s="185"/>
      <c r="J916" s="185"/>
      <c r="K916" s="185"/>
      <c r="L916" s="185"/>
      <c r="M916" s="185"/>
      <c r="N916" s="185"/>
      <c r="O916" s="185"/>
      <c r="P916" s="185"/>
      <c r="Q916" s="185"/>
      <c r="R916" s="185"/>
      <c r="S916" s="185"/>
      <c r="T916" s="185"/>
      <c r="U916" s="185"/>
      <c r="V916" s="185"/>
      <c r="W916" s="185"/>
      <c r="X916" s="185"/>
      <c r="Y916" s="185"/>
      <c r="Z916" s="185"/>
    </row>
    <row r="917" spans="1:26" ht="16" thickBot="1" x14ac:dyDescent="0.25">
      <c r="A917" s="185"/>
      <c r="B917" s="185"/>
      <c r="C917" s="185"/>
      <c r="D917" s="185"/>
      <c r="E917" s="185"/>
      <c r="F917" s="185"/>
      <c r="G917" s="185"/>
      <c r="H917" s="185"/>
      <c r="I917" s="185"/>
      <c r="J917" s="185"/>
      <c r="K917" s="185"/>
      <c r="L917" s="185"/>
      <c r="M917" s="185"/>
      <c r="N917" s="185"/>
      <c r="O917" s="185"/>
      <c r="P917" s="185"/>
      <c r="Q917" s="185"/>
      <c r="R917" s="185"/>
      <c r="S917" s="185"/>
      <c r="T917" s="185"/>
      <c r="U917" s="185"/>
      <c r="V917" s="185"/>
      <c r="W917" s="185"/>
      <c r="X917" s="185"/>
      <c r="Y917" s="185"/>
      <c r="Z917" s="185"/>
    </row>
    <row r="918" spans="1:26" ht="16" thickBot="1" x14ac:dyDescent="0.25">
      <c r="A918" s="185"/>
      <c r="B918" s="185"/>
      <c r="C918" s="185"/>
      <c r="D918" s="185"/>
      <c r="E918" s="185"/>
      <c r="F918" s="185"/>
      <c r="G918" s="185"/>
      <c r="H918" s="185"/>
      <c r="I918" s="185"/>
      <c r="J918" s="185"/>
      <c r="K918" s="185"/>
      <c r="L918" s="185"/>
      <c r="M918" s="185"/>
      <c r="N918" s="185"/>
      <c r="O918" s="185"/>
      <c r="P918" s="185"/>
      <c r="Q918" s="185"/>
      <c r="R918" s="185"/>
      <c r="S918" s="185"/>
      <c r="T918" s="185"/>
      <c r="U918" s="185"/>
      <c r="V918" s="185"/>
      <c r="W918" s="185"/>
      <c r="X918" s="185"/>
      <c r="Y918" s="185"/>
      <c r="Z918" s="185"/>
    </row>
    <row r="919" spans="1:26" ht="16" thickBot="1" x14ac:dyDescent="0.25">
      <c r="A919" s="185"/>
      <c r="B919" s="185"/>
      <c r="C919" s="185"/>
      <c r="D919" s="185"/>
      <c r="E919" s="185"/>
      <c r="F919" s="185"/>
      <c r="G919" s="185"/>
      <c r="H919" s="185"/>
      <c r="I919" s="185"/>
      <c r="J919" s="185"/>
      <c r="K919" s="185"/>
      <c r="L919" s="185"/>
      <c r="M919" s="185"/>
      <c r="N919" s="185"/>
      <c r="O919" s="185"/>
      <c r="P919" s="185"/>
      <c r="Q919" s="185"/>
      <c r="R919" s="185"/>
      <c r="S919" s="185"/>
      <c r="T919" s="185"/>
      <c r="U919" s="185"/>
      <c r="V919" s="185"/>
      <c r="W919" s="185"/>
      <c r="X919" s="185"/>
      <c r="Y919" s="185"/>
      <c r="Z919" s="185"/>
    </row>
    <row r="920" spans="1:26" ht="16" thickBot="1" x14ac:dyDescent="0.25">
      <c r="A920" s="185"/>
      <c r="B920" s="185"/>
      <c r="C920" s="185"/>
      <c r="D920" s="185"/>
      <c r="E920" s="185"/>
      <c r="F920" s="185"/>
      <c r="G920" s="185"/>
      <c r="H920" s="185"/>
      <c r="I920" s="185"/>
      <c r="J920" s="185"/>
      <c r="K920" s="185"/>
      <c r="L920" s="185"/>
      <c r="M920" s="185"/>
      <c r="N920" s="185"/>
      <c r="O920" s="185"/>
      <c r="P920" s="185"/>
      <c r="Q920" s="185"/>
      <c r="R920" s="185"/>
      <c r="S920" s="185"/>
      <c r="T920" s="185"/>
      <c r="U920" s="185"/>
      <c r="V920" s="185"/>
      <c r="W920" s="185"/>
      <c r="X920" s="185"/>
      <c r="Y920" s="185"/>
      <c r="Z920" s="185"/>
    </row>
    <row r="921" spans="1:26" ht="16" thickBot="1" x14ac:dyDescent="0.25">
      <c r="A921" s="185"/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5"/>
      <c r="O921" s="185"/>
      <c r="P921" s="185"/>
      <c r="Q921" s="185"/>
      <c r="R921" s="185"/>
      <c r="S921" s="185"/>
      <c r="T921" s="185"/>
      <c r="U921" s="185"/>
      <c r="V921" s="185"/>
      <c r="W921" s="185"/>
      <c r="X921" s="185"/>
      <c r="Y921" s="185"/>
      <c r="Z921" s="185"/>
    </row>
    <row r="922" spans="1:26" ht="16" thickBot="1" x14ac:dyDescent="0.25">
      <c r="A922" s="185"/>
      <c r="B922" s="185"/>
      <c r="C922" s="185"/>
      <c r="D922" s="185"/>
      <c r="E922" s="185"/>
      <c r="F922" s="185"/>
      <c r="G922" s="185"/>
      <c r="H922" s="185"/>
      <c r="I922" s="185"/>
      <c r="J922" s="185"/>
      <c r="K922" s="185"/>
      <c r="L922" s="185"/>
      <c r="M922" s="185"/>
      <c r="N922" s="185"/>
      <c r="O922" s="185"/>
      <c r="P922" s="185"/>
      <c r="Q922" s="185"/>
      <c r="R922" s="185"/>
      <c r="S922" s="185"/>
      <c r="T922" s="185"/>
      <c r="U922" s="185"/>
      <c r="V922" s="185"/>
      <c r="W922" s="185"/>
      <c r="X922" s="185"/>
      <c r="Y922" s="185"/>
      <c r="Z922" s="185"/>
    </row>
    <row r="923" spans="1:26" ht="16" thickBot="1" x14ac:dyDescent="0.25">
      <c r="A923" s="185"/>
      <c r="B923" s="185"/>
      <c r="C923" s="185"/>
      <c r="D923" s="185"/>
      <c r="E923" s="185"/>
      <c r="F923" s="185"/>
      <c r="G923" s="185"/>
      <c r="H923" s="185"/>
      <c r="I923" s="185"/>
      <c r="J923" s="185"/>
      <c r="K923" s="185"/>
      <c r="L923" s="185"/>
      <c r="M923" s="185"/>
      <c r="N923" s="185"/>
      <c r="O923" s="185"/>
      <c r="P923" s="185"/>
      <c r="Q923" s="185"/>
      <c r="R923" s="185"/>
      <c r="S923" s="185"/>
      <c r="T923" s="185"/>
      <c r="U923" s="185"/>
      <c r="V923" s="185"/>
      <c r="W923" s="185"/>
      <c r="X923" s="185"/>
      <c r="Y923" s="185"/>
      <c r="Z923" s="185"/>
    </row>
    <row r="924" spans="1:26" ht="16" thickBot="1" x14ac:dyDescent="0.25">
      <c r="A924" s="185"/>
      <c r="B924" s="185"/>
      <c r="C924" s="185"/>
      <c r="D924" s="185"/>
      <c r="E924" s="185"/>
      <c r="F924" s="185"/>
      <c r="G924" s="185"/>
      <c r="H924" s="185"/>
      <c r="I924" s="185"/>
      <c r="J924" s="185"/>
      <c r="K924" s="185"/>
      <c r="L924" s="185"/>
      <c r="M924" s="185"/>
      <c r="N924" s="185"/>
      <c r="O924" s="185"/>
      <c r="P924" s="185"/>
      <c r="Q924" s="185"/>
      <c r="R924" s="185"/>
      <c r="S924" s="185"/>
      <c r="T924" s="185"/>
      <c r="U924" s="185"/>
      <c r="V924" s="185"/>
      <c r="W924" s="185"/>
      <c r="X924" s="185"/>
      <c r="Y924" s="185"/>
      <c r="Z924" s="185"/>
    </row>
    <row r="925" spans="1:26" ht="16" thickBot="1" x14ac:dyDescent="0.25">
      <c r="A925" s="185"/>
      <c r="B925" s="185"/>
      <c r="C925" s="185"/>
      <c r="D925" s="185"/>
      <c r="E925" s="185"/>
      <c r="F925" s="185"/>
      <c r="G925" s="185"/>
      <c r="H925" s="185"/>
      <c r="I925" s="185"/>
      <c r="J925" s="185"/>
      <c r="K925" s="185"/>
      <c r="L925" s="185"/>
      <c r="M925" s="185"/>
      <c r="N925" s="185"/>
      <c r="O925" s="185"/>
      <c r="P925" s="185"/>
      <c r="Q925" s="185"/>
      <c r="R925" s="185"/>
      <c r="S925" s="185"/>
      <c r="T925" s="185"/>
      <c r="U925" s="185"/>
      <c r="V925" s="185"/>
      <c r="W925" s="185"/>
      <c r="X925" s="185"/>
      <c r="Y925" s="185"/>
      <c r="Z925" s="185"/>
    </row>
    <row r="926" spans="1:26" ht="16" thickBot="1" x14ac:dyDescent="0.25">
      <c r="A926" s="185"/>
      <c r="B926" s="185"/>
      <c r="C926" s="185"/>
      <c r="D926" s="185"/>
      <c r="E926" s="185"/>
      <c r="F926" s="185"/>
      <c r="G926" s="185"/>
      <c r="H926" s="185"/>
      <c r="I926" s="185"/>
      <c r="J926" s="185"/>
      <c r="K926" s="185"/>
      <c r="L926" s="185"/>
      <c r="M926" s="185"/>
      <c r="N926" s="185"/>
      <c r="O926" s="185"/>
      <c r="P926" s="185"/>
      <c r="Q926" s="185"/>
      <c r="R926" s="185"/>
      <c r="S926" s="185"/>
      <c r="T926" s="185"/>
      <c r="U926" s="185"/>
      <c r="V926" s="185"/>
      <c r="W926" s="185"/>
      <c r="X926" s="185"/>
      <c r="Y926" s="185"/>
      <c r="Z926" s="185"/>
    </row>
    <row r="927" spans="1:26" ht="16" thickBot="1" x14ac:dyDescent="0.25">
      <c r="A927" s="185"/>
      <c r="B927" s="185"/>
      <c r="C927" s="185"/>
      <c r="D927" s="185"/>
      <c r="E927" s="185"/>
      <c r="F927" s="185"/>
      <c r="G927" s="185"/>
      <c r="H927" s="185"/>
      <c r="I927" s="185"/>
      <c r="J927" s="185"/>
      <c r="K927" s="185"/>
      <c r="L927" s="185"/>
      <c r="M927" s="185"/>
      <c r="N927" s="185"/>
      <c r="O927" s="185"/>
      <c r="P927" s="185"/>
      <c r="Q927" s="185"/>
      <c r="R927" s="185"/>
      <c r="S927" s="185"/>
      <c r="T927" s="185"/>
      <c r="U927" s="185"/>
      <c r="V927" s="185"/>
      <c r="W927" s="185"/>
      <c r="X927" s="185"/>
      <c r="Y927" s="185"/>
      <c r="Z927" s="185"/>
    </row>
    <row r="928" spans="1:26" ht="16" thickBot="1" x14ac:dyDescent="0.25">
      <c r="A928" s="185"/>
      <c r="B928" s="185"/>
      <c r="C928" s="185"/>
      <c r="D928" s="185"/>
      <c r="E928" s="185"/>
      <c r="F928" s="185"/>
      <c r="G928" s="185"/>
      <c r="H928" s="185"/>
      <c r="I928" s="185"/>
      <c r="J928" s="185"/>
      <c r="K928" s="185"/>
      <c r="L928" s="185"/>
      <c r="M928" s="185"/>
      <c r="N928" s="185"/>
      <c r="O928" s="185"/>
      <c r="P928" s="185"/>
      <c r="Q928" s="185"/>
      <c r="R928" s="185"/>
      <c r="S928" s="185"/>
      <c r="T928" s="185"/>
      <c r="U928" s="185"/>
      <c r="V928" s="185"/>
      <c r="W928" s="185"/>
      <c r="X928" s="185"/>
      <c r="Y928" s="185"/>
      <c r="Z928" s="185"/>
    </row>
    <row r="929" spans="1:26" ht="16" thickBot="1" x14ac:dyDescent="0.25">
      <c r="A929" s="185"/>
      <c r="B929" s="185"/>
      <c r="C929" s="185"/>
      <c r="D929" s="185"/>
      <c r="E929" s="185"/>
      <c r="F929" s="185"/>
      <c r="G929" s="185"/>
      <c r="H929" s="185"/>
      <c r="I929" s="185"/>
      <c r="J929" s="185"/>
      <c r="K929" s="185"/>
      <c r="L929" s="185"/>
      <c r="M929" s="185"/>
      <c r="N929" s="185"/>
      <c r="O929" s="185"/>
      <c r="P929" s="185"/>
      <c r="Q929" s="185"/>
      <c r="R929" s="185"/>
      <c r="S929" s="185"/>
      <c r="T929" s="185"/>
      <c r="U929" s="185"/>
      <c r="V929" s="185"/>
      <c r="W929" s="185"/>
      <c r="X929" s="185"/>
      <c r="Y929" s="185"/>
      <c r="Z929" s="185"/>
    </row>
    <row r="930" spans="1:26" ht="16" thickBot="1" x14ac:dyDescent="0.25">
      <c r="A930" s="185"/>
      <c r="B930" s="185"/>
      <c r="C930" s="185"/>
      <c r="D930" s="185"/>
      <c r="E930" s="185"/>
      <c r="F930" s="185"/>
      <c r="G930" s="185"/>
      <c r="H930" s="185"/>
      <c r="I930" s="185"/>
      <c r="J930" s="185"/>
      <c r="K930" s="185"/>
      <c r="L930" s="185"/>
      <c r="M930" s="185"/>
      <c r="N930" s="185"/>
      <c r="O930" s="185"/>
      <c r="P930" s="185"/>
      <c r="Q930" s="185"/>
      <c r="R930" s="185"/>
      <c r="S930" s="185"/>
      <c r="T930" s="185"/>
      <c r="U930" s="185"/>
      <c r="V930" s="185"/>
      <c r="W930" s="185"/>
      <c r="X930" s="185"/>
      <c r="Y930" s="185"/>
      <c r="Z930" s="185"/>
    </row>
    <row r="931" spans="1:26" ht="16" thickBot="1" x14ac:dyDescent="0.25">
      <c r="A931" s="185"/>
      <c r="B931" s="185"/>
      <c r="C931" s="185"/>
      <c r="D931" s="185"/>
      <c r="E931" s="185"/>
      <c r="F931" s="185"/>
      <c r="G931" s="185"/>
      <c r="H931" s="185"/>
      <c r="I931" s="185"/>
      <c r="J931" s="185"/>
      <c r="K931" s="185"/>
      <c r="L931" s="185"/>
      <c r="M931" s="185"/>
      <c r="N931" s="185"/>
      <c r="O931" s="185"/>
      <c r="P931" s="185"/>
      <c r="Q931" s="185"/>
      <c r="R931" s="185"/>
      <c r="S931" s="185"/>
      <c r="T931" s="185"/>
      <c r="U931" s="185"/>
      <c r="V931" s="185"/>
      <c r="W931" s="185"/>
      <c r="X931" s="185"/>
      <c r="Y931" s="185"/>
      <c r="Z931" s="185"/>
    </row>
    <row r="932" spans="1:26" ht="16" thickBot="1" x14ac:dyDescent="0.25">
      <c r="A932" s="185"/>
      <c r="B932" s="185"/>
      <c r="C932" s="185"/>
      <c r="D932" s="185"/>
      <c r="E932" s="185"/>
      <c r="F932" s="185"/>
      <c r="G932" s="185"/>
      <c r="H932" s="185"/>
      <c r="I932" s="185"/>
      <c r="J932" s="185"/>
      <c r="K932" s="185"/>
      <c r="L932" s="185"/>
      <c r="M932" s="185"/>
      <c r="N932" s="185"/>
      <c r="O932" s="185"/>
      <c r="P932" s="185"/>
      <c r="Q932" s="185"/>
      <c r="R932" s="185"/>
      <c r="S932" s="185"/>
      <c r="T932" s="185"/>
      <c r="U932" s="185"/>
      <c r="V932" s="185"/>
      <c r="W932" s="185"/>
      <c r="X932" s="185"/>
      <c r="Y932" s="185"/>
      <c r="Z932" s="185"/>
    </row>
    <row r="933" spans="1:26" ht="16" thickBot="1" x14ac:dyDescent="0.25">
      <c r="A933" s="185"/>
      <c r="B933" s="185"/>
      <c r="C933" s="185"/>
      <c r="D933" s="185"/>
      <c r="E933" s="185"/>
      <c r="F933" s="185"/>
      <c r="G933" s="185"/>
      <c r="H933" s="185"/>
      <c r="I933" s="185"/>
      <c r="J933" s="185"/>
      <c r="K933" s="185"/>
      <c r="L933" s="185"/>
      <c r="M933" s="185"/>
      <c r="N933" s="185"/>
      <c r="O933" s="185"/>
      <c r="P933" s="185"/>
      <c r="Q933" s="185"/>
      <c r="R933" s="185"/>
      <c r="S933" s="185"/>
      <c r="T933" s="185"/>
      <c r="U933" s="185"/>
      <c r="V933" s="185"/>
      <c r="W933" s="185"/>
      <c r="X933" s="185"/>
      <c r="Y933" s="185"/>
      <c r="Z933" s="185"/>
    </row>
    <row r="934" spans="1:26" ht="16" thickBot="1" x14ac:dyDescent="0.25">
      <c r="A934" s="185"/>
      <c r="B934" s="185"/>
      <c r="C934" s="185"/>
      <c r="D934" s="185"/>
      <c r="E934" s="185"/>
      <c r="F934" s="185"/>
      <c r="G934" s="185"/>
      <c r="H934" s="185"/>
      <c r="I934" s="185"/>
      <c r="J934" s="185"/>
      <c r="K934" s="185"/>
      <c r="L934" s="185"/>
      <c r="M934" s="185"/>
      <c r="N934" s="185"/>
      <c r="O934" s="185"/>
      <c r="P934" s="185"/>
      <c r="Q934" s="185"/>
      <c r="R934" s="185"/>
      <c r="S934" s="185"/>
      <c r="T934" s="185"/>
      <c r="U934" s="185"/>
      <c r="V934" s="185"/>
      <c r="W934" s="185"/>
      <c r="X934" s="185"/>
      <c r="Y934" s="185"/>
      <c r="Z934" s="185"/>
    </row>
    <row r="935" spans="1:26" ht="16" thickBot="1" x14ac:dyDescent="0.25">
      <c r="A935" s="185"/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5"/>
      <c r="O935" s="185"/>
      <c r="P935" s="185"/>
      <c r="Q935" s="185"/>
      <c r="R935" s="185"/>
      <c r="S935" s="185"/>
      <c r="T935" s="185"/>
      <c r="U935" s="185"/>
      <c r="V935" s="185"/>
      <c r="W935" s="185"/>
      <c r="X935" s="185"/>
      <c r="Y935" s="185"/>
      <c r="Z935" s="185"/>
    </row>
    <row r="936" spans="1:26" ht="16" thickBot="1" x14ac:dyDescent="0.25">
      <c r="A936" s="185"/>
      <c r="B936" s="185"/>
      <c r="C936" s="185"/>
      <c r="D936" s="185"/>
      <c r="E936" s="185"/>
      <c r="F936" s="185"/>
      <c r="G936" s="185"/>
      <c r="H936" s="185"/>
      <c r="I936" s="185"/>
      <c r="J936" s="185"/>
      <c r="K936" s="185"/>
      <c r="L936" s="185"/>
      <c r="M936" s="185"/>
      <c r="N936" s="185"/>
      <c r="O936" s="185"/>
      <c r="P936" s="185"/>
      <c r="Q936" s="185"/>
      <c r="R936" s="185"/>
      <c r="S936" s="185"/>
      <c r="T936" s="185"/>
      <c r="U936" s="185"/>
      <c r="V936" s="185"/>
      <c r="W936" s="185"/>
      <c r="X936" s="185"/>
      <c r="Y936" s="185"/>
      <c r="Z936" s="185"/>
    </row>
    <row r="937" spans="1:26" ht="16" thickBot="1" x14ac:dyDescent="0.25">
      <c r="A937" s="185"/>
      <c r="B937" s="185"/>
      <c r="C937" s="185"/>
      <c r="D937" s="185"/>
      <c r="E937" s="185"/>
      <c r="F937" s="185"/>
      <c r="G937" s="185"/>
      <c r="H937" s="185"/>
      <c r="I937" s="185"/>
      <c r="J937" s="185"/>
      <c r="K937" s="185"/>
      <c r="L937" s="185"/>
      <c r="M937" s="185"/>
      <c r="N937" s="185"/>
      <c r="O937" s="185"/>
      <c r="P937" s="185"/>
      <c r="Q937" s="185"/>
      <c r="R937" s="185"/>
      <c r="S937" s="185"/>
      <c r="T937" s="185"/>
      <c r="U937" s="185"/>
      <c r="V937" s="185"/>
      <c r="W937" s="185"/>
      <c r="X937" s="185"/>
      <c r="Y937" s="185"/>
      <c r="Z937" s="185"/>
    </row>
    <row r="938" spans="1:26" ht="16" thickBot="1" x14ac:dyDescent="0.25">
      <c r="A938" s="185"/>
      <c r="B938" s="185"/>
      <c r="C938" s="185"/>
      <c r="D938" s="185"/>
      <c r="E938" s="185"/>
      <c r="F938" s="185"/>
      <c r="G938" s="185"/>
      <c r="H938" s="185"/>
      <c r="I938" s="185"/>
      <c r="J938" s="185"/>
      <c r="K938" s="185"/>
      <c r="L938" s="185"/>
      <c r="M938" s="185"/>
      <c r="N938" s="185"/>
      <c r="O938" s="185"/>
      <c r="P938" s="185"/>
      <c r="Q938" s="185"/>
      <c r="R938" s="185"/>
      <c r="S938" s="185"/>
      <c r="T938" s="185"/>
      <c r="U938" s="185"/>
      <c r="V938" s="185"/>
      <c r="W938" s="185"/>
      <c r="X938" s="185"/>
      <c r="Y938" s="185"/>
      <c r="Z938" s="185"/>
    </row>
    <row r="939" spans="1:26" ht="16" thickBot="1" x14ac:dyDescent="0.25">
      <c r="A939" s="185"/>
      <c r="B939" s="185"/>
      <c r="C939" s="185"/>
      <c r="D939" s="185"/>
      <c r="E939" s="185"/>
      <c r="F939" s="185"/>
      <c r="G939" s="185"/>
      <c r="H939" s="185"/>
      <c r="I939" s="185"/>
      <c r="J939" s="185"/>
      <c r="K939" s="185"/>
      <c r="L939" s="185"/>
      <c r="M939" s="185"/>
      <c r="N939" s="185"/>
      <c r="O939" s="185"/>
      <c r="P939" s="185"/>
      <c r="Q939" s="185"/>
      <c r="R939" s="185"/>
      <c r="S939" s="185"/>
      <c r="T939" s="185"/>
      <c r="U939" s="185"/>
      <c r="V939" s="185"/>
      <c r="W939" s="185"/>
      <c r="X939" s="185"/>
      <c r="Y939" s="185"/>
      <c r="Z939" s="185"/>
    </row>
    <row r="940" spans="1:26" ht="16" thickBot="1" x14ac:dyDescent="0.25">
      <c r="A940" s="185"/>
      <c r="B940" s="185"/>
      <c r="C940" s="185"/>
      <c r="D940" s="185"/>
      <c r="E940" s="185"/>
      <c r="F940" s="185"/>
      <c r="G940" s="185"/>
      <c r="H940" s="185"/>
      <c r="I940" s="185"/>
      <c r="J940" s="185"/>
      <c r="K940" s="185"/>
      <c r="L940" s="185"/>
      <c r="M940" s="185"/>
      <c r="N940" s="185"/>
      <c r="O940" s="185"/>
      <c r="P940" s="185"/>
      <c r="Q940" s="185"/>
      <c r="R940" s="185"/>
      <c r="S940" s="185"/>
      <c r="T940" s="185"/>
      <c r="U940" s="185"/>
      <c r="V940" s="185"/>
      <c r="W940" s="185"/>
      <c r="X940" s="185"/>
      <c r="Y940" s="185"/>
      <c r="Z940" s="185"/>
    </row>
    <row r="941" spans="1:26" ht="16" thickBot="1" x14ac:dyDescent="0.25">
      <c r="A941" s="185"/>
      <c r="B941" s="185"/>
      <c r="C941" s="185"/>
      <c r="D941" s="185"/>
      <c r="E941" s="185"/>
      <c r="F941" s="185"/>
      <c r="G941" s="185"/>
      <c r="H941" s="185"/>
      <c r="I941" s="185"/>
      <c r="J941" s="185"/>
      <c r="K941" s="185"/>
      <c r="L941" s="185"/>
      <c r="M941" s="185"/>
      <c r="N941" s="185"/>
      <c r="O941" s="185"/>
      <c r="P941" s="185"/>
      <c r="Q941" s="185"/>
      <c r="R941" s="185"/>
      <c r="S941" s="185"/>
      <c r="T941" s="185"/>
      <c r="U941" s="185"/>
      <c r="V941" s="185"/>
      <c r="W941" s="185"/>
      <c r="X941" s="185"/>
      <c r="Y941" s="185"/>
      <c r="Z941" s="185"/>
    </row>
    <row r="942" spans="1:26" ht="16" thickBot="1" x14ac:dyDescent="0.25">
      <c r="A942" s="185"/>
      <c r="B942" s="185"/>
      <c r="C942" s="185"/>
      <c r="D942" s="185"/>
      <c r="E942" s="185"/>
      <c r="F942" s="185"/>
      <c r="G942" s="185"/>
      <c r="H942" s="185"/>
      <c r="I942" s="185"/>
      <c r="J942" s="185"/>
      <c r="K942" s="185"/>
      <c r="L942" s="185"/>
      <c r="M942" s="185"/>
      <c r="N942" s="185"/>
      <c r="O942" s="185"/>
      <c r="P942" s="185"/>
      <c r="Q942" s="185"/>
      <c r="R942" s="185"/>
      <c r="S942" s="185"/>
      <c r="T942" s="185"/>
      <c r="U942" s="185"/>
      <c r="V942" s="185"/>
      <c r="W942" s="185"/>
      <c r="X942" s="185"/>
      <c r="Y942" s="185"/>
      <c r="Z942" s="185"/>
    </row>
    <row r="943" spans="1:26" ht="16" thickBot="1" x14ac:dyDescent="0.25">
      <c r="A943" s="185"/>
      <c r="B943" s="185"/>
      <c r="C943" s="185"/>
      <c r="D943" s="185"/>
      <c r="E943" s="185"/>
      <c r="F943" s="185"/>
      <c r="G943" s="185"/>
      <c r="H943" s="185"/>
      <c r="I943" s="185"/>
      <c r="J943" s="185"/>
      <c r="K943" s="185"/>
      <c r="L943" s="185"/>
      <c r="M943" s="185"/>
      <c r="N943" s="185"/>
      <c r="O943" s="185"/>
      <c r="P943" s="185"/>
      <c r="Q943" s="185"/>
      <c r="R943" s="185"/>
      <c r="S943" s="185"/>
      <c r="T943" s="185"/>
      <c r="U943" s="185"/>
      <c r="V943" s="185"/>
      <c r="W943" s="185"/>
      <c r="X943" s="185"/>
      <c r="Y943" s="185"/>
      <c r="Z943" s="185"/>
    </row>
    <row r="944" spans="1:26" ht="16" thickBot="1" x14ac:dyDescent="0.25">
      <c r="A944" s="185"/>
      <c r="B944" s="185"/>
      <c r="C944" s="185"/>
      <c r="D944" s="185"/>
      <c r="E944" s="185"/>
      <c r="F944" s="185"/>
      <c r="G944" s="185"/>
      <c r="H944" s="185"/>
      <c r="I944" s="185"/>
      <c r="J944" s="185"/>
      <c r="K944" s="185"/>
      <c r="L944" s="185"/>
      <c r="M944" s="185"/>
      <c r="N944" s="185"/>
      <c r="O944" s="185"/>
      <c r="P944" s="185"/>
      <c r="Q944" s="185"/>
      <c r="R944" s="185"/>
      <c r="S944" s="185"/>
      <c r="T944" s="185"/>
      <c r="U944" s="185"/>
      <c r="V944" s="185"/>
      <c r="W944" s="185"/>
      <c r="X944" s="185"/>
      <c r="Y944" s="185"/>
      <c r="Z944" s="185"/>
    </row>
    <row r="945" spans="1:26" ht="16" thickBot="1" x14ac:dyDescent="0.25">
      <c r="A945" s="185"/>
      <c r="B945" s="185"/>
      <c r="C945" s="185"/>
      <c r="D945" s="185"/>
      <c r="E945" s="185"/>
      <c r="F945" s="185"/>
      <c r="G945" s="185"/>
      <c r="H945" s="185"/>
      <c r="I945" s="185"/>
      <c r="J945" s="185"/>
      <c r="K945" s="185"/>
      <c r="L945" s="185"/>
      <c r="M945" s="185"/>
      <c r="N945" s="185"/>
      <c r="O945" s="185"/>
      <c r="P945" s="185"/>
      <c r="Q945" s="185"/>
      <c r="R945" s="185"/>
      <c r="S945" s="185"/>
      <c r="T945" s="185"/>
      <c r="U945" s="185"/>
      <c r="V945" s="185"/>
      <c r="W945" s="185"/>
      <c r="X945" s="185"/>
      <c r="Y945" s="185"/>
      <c r="Z945" s="185"/>
    </row>
    <row r="946" spans="1:26" ht="16" thickBot="1" x14ac:dyDescent="0.25">
      <c r="A946" s="185"/>
      <c r="B946" s="185"/>
      <c r="C946" s="185"/>
      <c r="D946" s="185"/>
      <c r="E946" s="185"/>
      <c r="F946" s="185"/>
      <c r="G946" s="185"/>
      <c r="H946" s="185"/>
      <c r="I946" s="185"/>
      <c r="J946" s="185"/>
      <c r="K946" s="185"/>
      <c r="L946" s="185"/>
      <c r="M946" s="185"/>
      <c r="N946" s="185"/>
      <c r="O946" s="185"/>
      <c r="P946" s="185"/>
      <c r="Q946" s="185"/>
      <c r="R946" s="185"/>
      <c r="S946" s="185"/>
      <c r="T946" s="185"/>
      <c r="U946" s="185"/>
      <c r="V946" s="185"/>
      <c r="W946" s="185"/>
      <c r="X946" s="185"/>
      <c r="Y946" s="185"/>
      <c r="Z946" s="185"/>
    </row>
    <row r="947" spans="1:26" ht="16" thickBot="1" x14ac:dyDescent="0.25">
      <c r="A947" s="185"/>
      <c r="B947" s="185"/>
      <c r="C947" s="185"/>
      <c r="D947" s="185"/>
      <c r="E947" s="185"/>
      <c r="F947" s="185"/>
      <c r="G947" s="185"/>
      <c r="H947" s="185"/>
      <c r="I947" s="185"/>
      <c r="J947" s="185"/>
      <c r="K947" s="185"/>
      <c r="L947" s="185"/>
      <c r="M947" s="185"/>
      <c r="N947" s="185"/>
      <c r="O947" s="185"/>
      <c r="P947" s="185"/>
      <c r="Q947" s="185"/>
      <c r="R947" s="185"/>
      <c r="S947" s="185"/>
      <c r="T947" s="185"/>
      <c r="U947" s="185"/>
      <c r="V947" s="185"/>
      <c r="W947" s="185"/>
      <c r="X947" s="185"/>
      <c r="Y947" s="185"/>
      <c r="Z947" s="185"/>
    </row>
    <row r="948" spans="1:26" ht="16" thickBot="1" x14ac:dyDescent="0.25">
      <c r="A948" s="185"/>
      <c r="B948" s="185"/>
      <c r="C948" s="185"/>
      <c r="D948" s="185"/>
      <c r="E948" s="185"/>
      <c r="F948" s="185"/>
      <c r="G948" s="185"/>
      <c r="H948" s="185"/>
      <c r="I948" s="185"/>
      <c r="J948" s="185"/>
      <c r="K948" s="185"/>
      <c r="L948" s="185"/>
      <c r="M948" s="185"/>
      <c r="N948" s="185"/>
      <c r="O948" s="185"/>
      <c r="P948" s="185"/>
      <c r="Q948" s="185"/>
      <c r="R948" s="185"/>
      <c r="S948" s="185"/>
      <c r="T948" s="185"/>
      <c r="U948" s="185"/>
      <c r="V948" s="185"/>
      <c r="W948" s="185"/>
      <c r="X948" s="185"/>
      <c r="Y948" s="185"/>
      <c r="Z948" s="185"/>
    </row>
    <row r="949" spans="1:26" ht="16" thickBot="1" x14ac:dyDescent="0.25">
      <c r="A949" s="185"/>
      <c r="B949" s="185"/>
      <c r="C949" s="185"/>
      <c r="D949" s="185"/>
      <c r="E949" s="185"/>
      <c r="F949" s="185"/>
      <c r="G949" s="185"/>
      <c r="H949" s="185"/>
      <c r="I949" s="185"/>
      <c r="J949" s="185"/>
      <c r="K949" s="185"/>
      <c r="L949" s="185"/>
      <c r="M949" s="185"/>
      <c r="N949" s="185"/>
      <c r="O949" s="185"/>
      <c r="P949" s="185"/>
      <c r="Q949" s="185"/>
      <c r="R949" s="185"/>
      <c r="S949" s="185"/>
      <c r="T949" s="185"/>
      <c r="U949" s="185"/>
      <c r="V949" s="185"/>
      <c r="W949" s="185"/>
      <c r="X949" s="185"/>
      <c r="Y949" s="185"/>
      <c r="Z949" s="185"/>
    </row>
    <row r="950" spans="1:26" ht="16" thickBot="1" x14ac:dyDescent="0.25">
      <c r="A950" s="185"/>
      <c r="B950" s="185"/>
      <c r="C950" s="185"/>
      <c r="D950" s="185"/>
      <c r="E950" s="185"/>
      <c r="F950" s="185"/>
      <c r="G950" s="185"/>
      <c r="H950" s="185"/>
      <c r="I950" s="185"/>
      <c r="J950" s="185"/>
      <c r="K950" s="185"/>
      <c r="L950" s="185"/>
      <c r="M950" s="185"/>
      <c r="N950" s="185"/>
      <c r="O950" s="185"/>
      <c r="P950" s="185"/>
      <c r="Q950" s="185"/>
      <c r="R950" s="185"/>
      <c r="S950" s="185"/>
      <c r="T950" s="185"/>
      <c r="U950" s="185"/>
      <c r="V950" s="185"/>
      <c r="W950" s="185"/>
      <c r="X950" s="185"/>
      <c r="Y950" s="185"/>
      <c r="Z950" s="185"/>
    </row>
    <row r="951" spans="1:26" ht="16" thickBot="1" x14ac:dyDescent="0.25">
      <c r="A951" s="185"/>
      <c r="B951" s="185"/>
      <c r="C951" s="185"/>
      <c r="D951" s="185"/>
      <c r="E951" s="185"/>
      <c r="F951" s="185"/>
      <c r="G951" s="185"/>
      <c r="H951" s="185"/>
      <c r="I951" s="185"/>
      <c r="J951" s="185"/>
      <c r="K951" s="185"/>
      <c r="L951" s="185"/>
      <c r="M951" s="185"/>
      <c r="N951" s="185"/>
      <c r="O951" s="185"/>
      <c r="P951" s="185"/>
      <c r="Q951" s="185"/>
      <c r="R951" s="185"/>
      <c r="S951" s="185"/>
      <c r="T951" s="185"/>
      <c r="U951" s="185"/>
      <c r="V951" s="185"/>
      <c r="W951" s="185"/>
      <c r="X951" s="185"/>
      <c r="Y951" s="185"/>
      <c r="Z951" s="185"/>
    </row>
    <row r="952" spans="1:26" ht="16" thickBot="1" x14ac:dyDescent="0.25">
      <c r="A952" s="185"/>
      <c r="B952" s="185"/>
      <c r="C952" s="185"/>
      <c r="D952" s="185"/>
      <c r="E952" s="185"/>
      <c r="F952" s="185"/>
      <c r="G952" s="185"/>
      <c r="H952" s="185"/>
      <c r="I952" s="185"/>
      <c r="J952" s="185"/>
      <c r="K952" s="185"/>
      <c r="L952" s="185"/>
      <c r="M952" s="185"/>
      <c r="N952" s="185"/>
      <c r="O952" s="185"/>
      <c r="P952" s="185"/>
      <c r="Q952" s="185"/>
      <c r="R952" s="185"/>
      <c r="S952" s="185"/>
      <c r="T952" s="185"/>
      <c r="U952" s="185"/>
      <c r="V952" s="185"/>
      <c r="W952" s="185"/>
      <c r="X952" s="185"/>
      <c r="Y952" s="185"/>
      <c r="Z952" s="185"/>
    </row>
    <row r="953" spans="1:26" ht="16" thickBot="1" x14ac:dyDescent="0.25">
      <c r="A953" s="185"/>
      <c r="B953" s="185"/>
      <c r="C953" s="185"/>
      <c r="D953" s="185"/>
      <c r="E953" s="185"/>
      <c r="F953" s="185"/>
      <c r="G953" s="185"/>
      <c r="H953" s="185"/>
      <c r="I953" s="185"/>
      <c r="J953" s="185"/>
      <c r="K953" s="185"/>
      <c r="L953" s="185"/>
      <c r="M953" s="185"/>
      <c r="N953" s="185"/>
      <c r="O953" s="185"/>
      <c r="P953" s="185"/>
      <c r="Q953" s="185"/>
      <c r="R953" s="185"/>
      <c r="S953" s="185"/>
      <c r="T953" s="185"/>
      <c r="U953" s="185"/>
      <c r="V953" s="185"/>
      <c r="W953" s="185"/>
      <c r="X953" s="185"/>
      <c r="Y953" s="185"/>
      <c r="Z953" s="185"/>
    </row>
    <row r="954" spans="1:26" ht="16" thickBot="1" x14ac:dyDescent="0.25">
      <c r="A954" s="185"/>
      <c r="B954" s="185"/>
      <c r="C954" s="185"/>
      <c r="D954" s="185"/>
      <c r="E954" s="185"/>
      <c r="F954" s="185"/>
      <c r="G954" s="185"/>
      <c r="H954" s="185"/>
      <c r="I954" s="185"/>
      <c r="J954" s="185"/>
      <c r="K954" s="185"/>
      <c r="L954" s="185"/>
      <c r="M954" s="185"/>
      <c r="N954" s="185"/>
      <c r="O954" s="185"/>
      <c r="P954" s="185"/>
      <c r="Q954" s="185"/>
      <c r="R954" s="185"/>
      <c r="S954" s="185"/>
      <c r="T954" s="185"/>
      <c r="U954" s="185"/>
      <c r="V954" s="185"/>
      <c r="W954" s="185"/>
      <c r="X954" s="185"/>
      <c r="Y954" s="185"/>
      <c r="Z954" s="185"/>
    </row>
    <row r="955" spans="1:26" ht="16" thickBot="1" x14ac:dyDescent="0.25">
      <c r="A955" s="185"/>
      <c r="B955" s="185"/>
      <c r="C955" s="185"/>
      <c r="D955" s="185"/>
      <c r="E955" s="185"/>
      <c r="F955" s="185"/>
      <c r="G955" s="185"/>
      <c r="H955" s="185"/>
      <c r="I955" s="185"/>
      <c r="J955" s="185"/>
      <c r="K955" s="185"/>
      <c r="L955" s="185"/>
      <c r="M955" s="185"/>
      <c r="N955" s="185"/>
      <c r="O955" s="185"/>
      <c r="P955" s="185"/>
      <c r="Q955" s="185"/>
      <c r="R955" s="185"/>
      <c r="S955" s="185"/>
      <c r="T955" s="185"/>
      <c r="U955" s="185"/>
      <c r="V955" s="185"/>
      <c r="W955" s="185"/>
      <c r="X955" s="185"/>
      <c r="Y955" s="185"/>
      <c r="Z955" s="185"/>
    </row>
    <row r="956" spans="1:26" ht="16" thickBot="1" x14ac:dyDescent="0.25">
      <c r="A956" s="185"/>
      <c r="B956" s="185"/>
      <c r="C956" s="185"/>
      <c r="D956" s="185"/>
      <c r="E956" s="185"/>
      <c r="F956" s="185"/>
      <c r="G956" s="185"/>
      <c r="H956" s="185"/>
      <c r="I956" s="185"/>
      <c r="J956" s="185"/>
      <c r="K956" s="185"/>
      <c r="L956" s="185"/>
      <c r="M956" s="185"/>
      <c r="N956" s="185"/>
      <c r="O956" s="185"/>
      <c r="P956" s="185"/>
      <c r="Q956" s="185"/>
      <c r="R956" s="185"/>
      <c r="S956" s="185"/>
      <c r="T956" s="185"/>
      <c r="U956" s="185"/>
      <c r="V956" s="185"/>
      <c r="W956" s="185"/>
      <c r="X956" s="185"/>
      <c r="Y956" s="185"/>
      <c r="Z956" s="185"/>
    </row>
    <row r="957" spans="1:26" ht="16" thickBot="1" x14ac:dyDescent="0.25">
      <c r="A957" s="185"/>
      <c r="B957" s="185"/>
      <c r="C957" s="185"/>
      <c r="D957" s="185"/>
      <c r="E957" s="185"/>
      <c r="F957" s="185"/>
      <c r="G957" s="185"/>
      <c r="H957" s="185"/>
      <c r="I957" s="185"/>
      <c r="J957" s="185"/>
      <c r="K957" s="185"/>
      <c r="L957" s="185"/>
      <c r="M957" s="185"/>
      <c r="N957" s="185"/>
      <c r="O957" s="185"/>
      <c r="P957" s="185"/>
      <c r="Q957" s="185"/>
      <c r="R957" s="185"/>
      <c r="S957" s="185"/>
      <c r="T957" s="185"/>
      <c r="U957" s="185"/>
      <c r="V957" s="185"/>
      <c r="W957" s="185"/>
      <c r="X957" s="185"/>
      <c r="Y957" s="185"/>
      <c r="Z957" s="185"/>
    </row>
    <row r="958" spans="1:26" ht="16" thickBot="1" x14ac:dyDescent="0.25">
      <c r="A958" s="185"/>
      <c r="B958" s="185"/>
      <c r="C958" s="185"/>
      <c r="D958" s="185"/>
      <c r="E958" s="185"/>
      <c r="F958" s="185"/>
      <c r="G958" s="185"/>
      <c r="H958" s="185"/>
      <c r="I958" s="185"/>
      <c r="J958" s="185"/>
      <c r="K958" s="185"/>
      <c r="L958" s="185"/>
      <c r="M958" s="185"/>
      <c r="N958" s="185"/>
      <c r="O958" s="185"/>
      <c r="P958" s="185"/>
      <c r="Q958" s="185"/>
      <c r="R958" s="185"/>
      <c r="S958" s="185"/>
      <c r="T958" s="185"/>
      <c r="U958" s="185"/>
      <c r="V958" s="185"/>
      <c r="W958" s="185"/>
      <c r="X958" s="185"/>
      <c r="Y958" s="185"/>
      <c r="Z958" s="185"/>
    </row>
    <row r="959" spans="1:26" ht="16" thickBot="1" x14ac:dyDescent="0.25">
      <c r="A959" s="185"/>
      <c r="B959" s="185"/>
      <c r="C959" s="185"/>
      <c r="D959" s="185"/>
      <c r="E959" s="185"/>
      <c r="F959" s="185"/>
      <c r="G959" s="185"/>
      <c r="H959" s="185"/>
      <c r="I959" s="185"/>
      <c r="J959" s="185"/>
      <c r="K959" s="185"/>
      <c r="L959" s="185"/>
      <c r="M959" s="185"/>
      <c r="N959" s="185"/>
      <c r="O959" s="185"/>
      <c r="P959" s="185"/>
      <c r="Q959" s="185"/>
      <c r="R959" s="185"/>
      <c r="S959" s="185"/>
      <c r="T959" s="185"/>
      <c r="U959" s="185"/>
      <c r="V959" s="185"/>
      <c r="W959" s="185"/>
      <c r="X959" s="185"/>
      <c r="Y959" s="185"/>
      <c r="Z959" s="185"/>
    </row>
    <row r="960" spans="1:26" ht="16" thickBot="1" x14ac:dyDescent="0.25">
      <c r="A960" s="185"/>
      <c r="B960" s="185"/>
      <c r="C960" s="185"/>
      <c r="D960" s="185"/>
      <c r="E960" s="185"/>
      <c r="F960" s="185"/>
      <c r="G960" s="185"/>
      <c r="H960" s="185"/>
      <c r="I960" s="185"/>
      <c r="J960" s="185"/>
      <c r="K960" s="185"/>
      <c r="L960" s="185"/>
      <c r="M960" s="185"/>
      <c r="N960" s="185"/>
      <c r="O960" s="185"/>
      <c r="P960" s="185"/>
      <c r="Q960" s="185"/>
      <c r="R960" s="185"/>
      <c r="S960" s="185"/>
      <c r="T960" s="185"/>
      <c r="U960" s="185"/>
      <c r="V960" s="185"/>
      <c r="W960" s="185"/>
      <c r="X960" s="185"/>
      <c r="Y960" s="185"/>
      <c r="Z960" s="185"/>
    </row>
    <row r="961" spans="1:26" ht="16" thickBot="1" x14ac:dyDescent="0.25">
      <c r="A961" s="185"/>
      <c r="B961" s="185"/>
      <c r="C961" s="185"/>
      <c r="D961" s="185"/>
      <c r="E961" s="185"/>
      <c r="F961" s="185"/>
      <c r="G961" s="185"/>
      <c r="H961" s="185"/>
      <c r="I961" s="185"/>
      <c r="J961" s="185"/>
      <c r="K961" s="185"/>
      <c r="L961" s="185"/>
      <c r="M961" s="185"/>
      <c r="N961" s="185"/>
      <c r="O961" s="185"/>
      <c r="P961" s="185"/>
      <c r="Q961" s="185"/>
      <c r="R961" s="185"/>
      <c r="S961" s="185"/>
      <c r="T961" s="185"/>
      <c r="U961" s="185"/>
      <c r="V961" s="185"/>
      <c r="W961" s="185"/>
      <c r="X961" s="185"/>
      <c r="Y961" s="185"/>
      <c r="Z961" s="185"/>
    </row>
    <row r="962" spans="1:26" ht="16" thickBot="1" x14ac:dyDescent="0.25">
      <c r="A962" s="185"/>
      <c r="B962" s="185"/>
      <c r="C962" s="185"/>
      <c r="D962" s="185"/>
      <c r="E962" s="185"/>
      <c r="F962" s="185"/>
      <c r="G962" s="185"/>
      <c r="H962" s="185"/>
      <c r="I962" s="185"/>
      <c r="J962" s="185"/>
      <c r="K962" s="185"/>
      <c r="L962" s="185"/>
      <c r="M962" s="185"/>
      <c r="N962" s="185"/>
      <c r="O962" s="185"/>
      <c r="P962" s="185"/>
      <c r="Q962" s="185"/>
      <c r="R962" s="185"/>
      <c r="S962" s="185"/>
      <c r="T962" s="185"/>
      <c r="U962" s="185"/>
      <c r="V962" s="185"/>
      <c r="W962" s="185"/>
      <c r="X962" s="185"/>
      <c r="Y962" s="185"/>
      <c r="Z962" s="185"/>
    </row>
    <row r="963" spans="1:26" ht="16" thickBot="1" x14ac:dyDescent="0.25">
      <c r="A963" s="185"/>
      <c r="B963" s="185"/>
      <c r="C963" s="185"/>
      <c r="D963" s="185"/>
      <c r="E963" s="185"/>
      <c r="F963" s="185"/>
      <c r="G963" s="185"/>
      <c r="H963" s="185"/>
      <c r="I963" s="185"/>
      <c r="J963" s="185"/>
      <c r="K963" s="185"/>
      <c r="L963" s="185"/>
      <c r="M963" s="185"/>
      <c r="N963" s="185"/>
      <c r="O963" s="185"/>
      <c r="P963" s="185"/>
      <c r="Q963" s="185"/>
      <c r="R963" s="185"/>
      <c r="S963" s="185"/>
      <c r="T963" s="185"/>
      <c r="U963" s="185"/>
      <c r="V963" s="185"/>
      <c r="W963" s="185"/>
      <c r="X963" s="185"/>
      <c r="Y963" s="185"/>
      <c r="Z963" s="185"/>
    </row>
    <row r="964" spans="1:26" ht="16" thickBot="1" x14ac:dyDescent="0.25">
      <c r="A964" s="185"/>
      <c r="B964" s="185"/>
      <c r="C964" s="185"/>
      <c r="D964" s="185"/>
      <c r="E964" s="185"/>
      <c r="F964" s="185"/>
      <c r="G964" s="185"/>
      <c r="H964" s="185"/>
      <c r="I964" s="185"/>
      <c r="J964" s="185"/>
      <c r="K964" s="185"/>
      <c r="L964" s="185"/>
      <c r="M964" s="185"/>
      <c r="N964" s="185"/>
      <c r="O964" s="185"/>
      <c r="P964" s="185"/>
      <c r="Q964" s="185"/>
      <c r="R964" s="185"/>
      <c r="S964" s="185"/>
      <c r="T964" s="185"/>
      <c r="U964" s="185"/>
      <c r="V964" s="185"/>
      <c r="W964" s="185"/>
      <c r="X964" s="185"/>
      <c r="Y964" s="185"/>
      <c r="Z964" s="185"/>
    </row>
    <row r="965" spans="1:26" ht="16" thickBot="1" x14ac:dyDescent="0.25">
      <c r="A965" s="185"/>
      <c r="B965" s="185"/>
      <c r="C965" s="185"/>
      <c r="D965" s="185"/>
      <c r="E965" s="185"/>
      <c r="F965" s="185"/>
      <c r="G965" s="185"/>
      <c r="H965" s="185"/>
      <c r="I965" s="185"/>
      <c r="J965" s="185"/>
      <c r="K965" s="185"/>
      <c r="L965" s="185"/>
      <c r="M965" s="185"/>
      <c r="N965" s="185"/>
      <c r="O965" s="185"/>
      <c r="P965" s="185"/>
      <c r="Q965" s="185"/>
      <c r="R965" s="185"/>
      <c r="S965" s="185"/>
      <c r="T965" s="185"/>
      <c r="U965" s="185"/>
      <c r="V965" s="185"/>
      <c r="W965" s="185"/>
      <c r="X965" s="185"/>
      <c r="Y965" s="185"/>
      <c r="Z965" s="185"/>
    </row>
    <row r="966" spans="1:26" ht="16" thickBot="1" x14ac:dyDescent="0.25">
      <c r="A966" s="185"/>
      <c r="B966" s="185"/>
      <c r="C966" s="185"/>
      <c r="D966" s="185"/>
      <c r="E966" s="185"/>
      <c r="F966" s="185"/>
      <c r="G966" s="185"/>
      <c r="H966" s="185"/>
      <c r="I966" s="185"/>
      <c r="J966" s="185"/>
      <c r="K966" s="185"/>
      <c r="L966" s="185"/>
      <c r="M966" s="185"/>
      <c r="N966" s="185"/>
      <c r="O966" s="185"/>
      <c r="P966" s="185"/>
      <c r="Q966" s="185"/>
      <c r="R966" s="185"/>
      <c r="S966" s="185"/>
      <c r="T966" s="185"/>
      <c r="U966" s="185"/>
      <c r="V966" s="185"/>
      <c r="W966" s="185"/>
      <c r="X966" s="185"/>
      <c r="Y966" s="185"/>
      <c r="Z966" s="185"/>
    </row>
    <row r="967" spans="1:26" ht="16" thickBot="1" x14ac:dyDescent="0.25">
      <c r="A967" s="185"/>
      <c r="B967" s="185"/>
      <c r="C967" s="185"/>
      <c r="D967" s="185"/>
      <c r="E967" s="185"/>
      <c r="F967" s="185"/>
      <c r="G967" s="185"/>
      <c r="H967" s="185"/>
      <c r="I967" s="185"/>
      <c r="J967" s="185"/>
      <c r="K967" s="185"/>
      <c r="L967" s="185"/>
      <c r="M967" s="185"/>
      <c r="N967" s="185"/>
      <c r="O967" s="185"/>
      <c r="P967" s="185"/>
      <c r="Q967" s="185"/>
      <c r="R967" s="185"/>
      <c r="S967" s="185"/>
      <c r="T967" s="185"/>
      <c r="U967" s="185"/>
      <c r="V967" s="185"/>
      <c r="W967" s="185"/>
      <c r="X967" s="185"/>
      <c r="Y967" s="185"/>
      <c r="Z967" s="185"/>
    </row>
    <row r="968" spans="1:26" ht="16" thickBot="1" x14ac:dyDescent="0.25">
      <c r="A968" s="185"/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5"/>
      <c r="O968" s="185"/>
      <c r="P968" s="185"/>
      <c r="Q968" s="185"/>
      <c r="R968" s="185"/>
      <c r="S968" s="185"/>
      <c r="T968" s="185"/>
      <c r="U968" s="185"/>
      <c r="V968" s="185"/>
      <c r="W968" s="185"/>
      <c r="X968" s="185"/>
      <c r="Y968" s="185"/>
      <c r="Z968" s="185"/>
    </row>
    <row r="969" spans="1:26" ht="16" thickBot="1" x14ac:dyDescent="0.25">
      <c r="A969" s="185"/>
      <c r="B969" s="185"/>
      <c r="C969" s="185"/>
      <c r="D969" s="185"/>
      <c r="E969" s="185"/>
      <c r="F969" s="185"/>
      <c r="G969" s="185"/>
      <c r="H969" s="185"/>
      <c r="I969" s="185"/>
      <c r="J969" s="185"/>
      <c r="K969" s="185"/>
      <c r="L969" s="185"/>
      <c r="M969" s="185"/>
      <c r="N969" s="185"/>
      <c r="O969" s="185"/>
      <c r="P969" s="185"/>
      <c r="Q969" s="185"/>
      <c r="R969" s="185"/>
      <c r="S969" s="185"/>
      <c r="T969" s="185"/>
      <c r="U969" s="185"/>
      <c r="V969" s="185"/>
      <c r="W969" s="185"/>
      <c r="X969" s="185"/>
      <c r="Y969" s="185"/>
      <c r="Z969" s="185"/>
    </row>
    <row r="970" spans="1:26" ht="16" thickBot="1" x14ac:dyDescent="0.25">
      <c r="A970" s="185"/>
      <c r="B970" s="185"/>
      <c r="C970" s="185"/>
      <c r="D970" s="185"/>
      <c r="E970" s="185"/>
      <c r="F970" s="185"/>
      <c r="G970" s="185"/>
      <c r="H970" s="185"/>
      <c r="I970" s="185"/>
      <c r="J970" s="185"/>
      <c r="K970" s="185"/>
      <c r="L970" s="185"/>
      <c r="M970" s="185"/>
      <c r="N970" s="185"/>
      <c r="O970" s="185"/>
      <c r="P970" s="185"/>
      <c r="Q970" s="185"/>
      <c r="R970" s="185"/>
      <c r="S970" s="185"/>
      <c r="T970" s="185"/>
      <c r="U970" s="185"/>
      <c r="V970" s="185"/>
      <c r="W970" s="185"/>
      <c r="X970" s="185"/>
      <c r="Y970" s="185"/>
      <c r="Z970" s="185"/>
    </row>
    <row r="971" spans="1:26" ht="16" thickBot="1" x14ac:dyDescent="0.25">
      <c r="A971" s="185"/>
      <c r="B971" s="185"/>
      <c r="C971" s="185"/>
      <c r="D971" s="185"/>
      <c r="E971" s="185"/>
      <c r="F971" s="185"/>
      <c r="G971" s="185"/>
      <c r="H971" s="185"/>
      <c r="I971" s="185"/>
      <c r="J971" s="185"/>
      <c r="K971" s="185"/>
      <c r="L971" s="185"/>
      <c r="M971" s="185"/>
      <c r="N971" s="185"/>
      <c r="O971" s="185"/>
      <c r="P971" s="185"/>
      <c r="Q971" s="185"/>
      <c r="R971" s="185"/>
      <c r="S971" s="185"/>
      <c r="T971" s="185"/>
      <c r="U971" s="185"/>
      <c r="V971" s="185"/>
      <c r="W971" s="185"/>
      <c r="X971" s="185"/>
      <c r="Y971" s="185"/>
      <c r="Z971" s="185"/>
    </row>
    <row r="972" spans="1:26" ht="16" thickBot="1" x14ac:dyDescent="0.25">
      <c r="A972" s="185"/>
      <c r="B972" s="185"/>
      <c r="C972" s="185"/>
      <c r="D972" s="185"/>
      <c r="E972" s="185"/>
      <c r="F972" s="185"/>
      <c r="G972" s="185"/>
      <c r="H972" s="185"/>
      <c r="I972" s="185"/>
      <c r="J972" s="185"/>
      <c r="K972" s="185"/>
      <c r="L972" s="185"/>
      <c r="M972" s="185"/>
      <c r="N972" s="185"/>
      <c r="O972" s="185"/>
      <c r="P972" s="185"/>
      <c r="Q972" s="185"/>
      <c r="R972" s="185"/>
      <c r="S972" s="185"/>
      <c r="T972" s="185"/>
      <c r="U972" s="185"/>
      <c r="V972" s="185"/>
      <c r="W972" s="185"/>
      <c r="X972" s="185"/>
      <c r="Y972" s="185"/>
      <c r="Z972" s="185"/>
    </row>
    <row r="973" spans="1:26" ht="16" thickBot="1" x14ac:dyDescent="0.25">
      <c r="A973" s="185"/>
      <c r="B973" s="185"/>
      <c r="C973" s="185"/>
      <c r="D973" s="185"/>
      <c r="E973" s="185"/>
      <c r="F973" s="185"/>
      <c r="G973" s="185"/>
      <c r="H973" s="185"/>
      <c r="I973" s="185"/>
      <c r="J973" s="185"/>
      <c r="K973" s="185"/>
      <c r="L973" s="185"/>
      <c r="M973" s="185"/>
      <c r="N973" s="185"/>
      <c r="O973" s="185"/>
      <c r="P973" s="185"/>
      <c r="Q973" s="185"/>
      <c r="R973" s="185"/>
      <c r="S973" s="185"/>
      <c r="T973" s="185"/>
      <c r="U973" s="185"/>
      <c r="V973" s="185"/>
      <c r="W973" s="185"/>
      <c r="X973" s="185"/>
      <c r="Y973" s="185"/>
      <c r="Z973" s="185"/>
    </row>
    <row r="974" spans="1:26" ht="16" thickBot="1" x14ac:dyDescent="0.25">
      <c r="A974" s="185"/>
      <c r="B974" s="185"/>
      <c r="C974" s="185"/>
      <c r="D974" s="185"/>
      <c r="E974" s="185"/>
      <c r="F974" s="185"/>
      <c r="G974" s="185"/>
      <c r="H974" s="185"/>
      <c r="I974" s="185"/>
      <c r="J974" s="185"/>
      <c r="K974" s="185"/>
      <c r="L974" s="185"/>
      <c r="M974" s="185"/>
      <c r="N974" s="185"/>
      <c r="O974" s="185"/>
      <c r="P974" s="185"/>
      <c r="Q974" s="185"/>
      <c r="R974" s="185"/>
      <c r="S974" s="185"/>
      <c r="T974" s="185"/>
      <c r="U974" s="185"/>
      <c r="V974" s="185"/>
      <c r="W974" s="185"/>
      <c r="X974" s="185"/>
      <c r="Y974" s="185"/>
      <c r="Z974" s="185"/>
    </row>
    <row r="975" spans="1:26" ht="16" thickBot="1" x14ac:dyDescent="0.25">
      <c r="A975" s="185"/>
      <c r="B975" s="185"/>
      <c r="C975" s="185"/>
      <c r="D975" s="185"/>
      <c r="E975" s="185"/>
      <c r="F975" s="185"/>
      <c r="G975" s="185"/>
      <c r="H975" s="185"/>
      <c r="I975" s="185"/>
      <c r="J975" s="185"/>
      <c r="K975" s="185"/>
      <c r="L975" s="185"/>
      <c r="M975" s="185"/>
      <c r="N975" s="185"/>
      <c r="O975" s="185"/>
      <c r="P975" s="185"/>
      <c r="Q975" s="185"/>
      <c r="R975" s="185"/>
      <c r="S975" s="185"/>
      <c r="T975" s="185"/>
      <c r="U975" s="185"/>
      <c r="V975" s="185"/>
      <c r="W975" s="185"/>
      <c r="X975" s="185"/>
      <c r="Y975" s="185"/>
      <c r="Z975" s="185"/>
    </row>
    <row r="976" spans="1:26" ht="16" thickBot="1" x14ac:dyDescent="0.25">
      <c r="A976" s="185"/>
      <c r="B976" s="185"/>
      <c r="C976" s="185"/>
      <c r="D976" s="185"/>
      <c r="E976" s="185"/>
      <c r="F976" s="185"/>
      <c r="G976" s="185"/>
      <c r="H976" s="185"/>
      <c r="I976" s="185"/>
      <c r="J976" s="185"/>
      <c r="K976" s="185"/>
      <c r="L976" s="185"/>
      <c r="M976" s="185"/>
      <c r="N976" s="185"/>
      <c r="O976" s="185"/>
      <c r="P976" s="185"/>
      <c r="Q976" s="185"/>
      <c r="R976" s="185"/>
      <c r="S976" s="185"/>
      <c r="T976" s="185"/>
      <c r="U976" s="185"/>
      <c r="V976" s="185"/>
      <c r="W976" s="185"/>
      <c r="X976" s="185"/>
      <c r="Y976" s="185"/>
      <c r="Z976" s="185"/>
    </row>
    <row r="977" spans="1:26" ht="16" thickBot="1" x14ac:dyDescent="0.25">
      <c r="A977" s="185"/>
      <c r="B977" s="185"/>
      <c r="C977" s="185"/>
      <c r="D977" s="185"/>
      <c r="E977" s="185"/>
      <c r="F977" s="185"/>
      <c r="G977" s="185"/>
      <c r="H977" s="185"/>
      <c r="I977" s="185"/>
      <c r="J977" s="185"/>
      <c r="K977" s="185"/>
      <c r="L977" s="185"/>
      <c r="M977" s="185"/>
      <c r="N977" s="185"/>
      <c r="O977" s="185"/>
      <c r="P977" s="185"/>
      <c r="Q977" s="185"/>
      <c r="R977" s="185"/>
      <c r="S977" s="185"/>
      <c r="T977" s="185"/>
      <c r="U977" s="185"/>
      <c r="V977" s="185"/>
      <c r="W977" s="185"/>
      <c r="X977" s="185"/>
      <c r="Y977" s="185"/>
      <c r="Z977" s="185"/>
    </row>
    <row r="978" spans="1:26" ht="16" thickBot="1" x14ac:dyDescent="0.25">
      <c r="A978" s="185"/>
      <c r="B978" s="185"/>
      <c r="C978" s="185"/>
      <c r="D978" s="185"/>
      <c r="E978" s="185"/>
      <c r="F978" s="185"/>
      <c r="G978" s="185"/>
      <c r="H978" s="185"/>
      <c r="I978" s="185"/>
      <c r="J978" s="185"/>
      <c r="K978" s="185"/>
      <c r="L978" s="185"/>
      <c r="M978" s="185"/>
      <c r="N978" s="185"/>
      <c r="O978" s="185"/>
      <c r="P978" s="185"/>
      <c r="Q978" s="185"/>
      <c r="R978" s="185"/>
      <c r="S978" s="185"/>
      <c r="T978" s="185"/>
      <c r="U978" s="185"/>
      <c r="V978" s="185"/>
      <c r="W978" s="185"/>
      <c r="X978" s="185"/>
      <c r="Y978" s="185"/>
      <c r="Z978" s="185"/>
    </row>
    <row r="979" spans="1:26" ht="16" thickBot="1" x14ac:dyDescent="0.25">
      <c r="A979" s="185"/>
      <c r="B979" s="185"/>
      <c r="C979" s="185"/>
      <c r="D979" s="185"/>
      <c r="E979" s="185"/>
      <c r="F979" s="185"/>
      <c r="G979" s="185"/>
      <c r="H979" s="185"/>
      <c r="I979" s="185"/>
      <c r="J979" s="185"/>
      <c r="K979" s="185"/>
      <c r="L979" s="185"/>
      <c r="M979" s="185"/>
      <c r="N979" s="185"/>
      <c r="O979" s="185"/>
      <c r="P979" s="185"/>
      <c r="Q979" s="185"/>
      <c r="R979" s="185"/>
      <c r="S979" s="185"/>
      <c r="T979" s="185"/>
      <c r="U979" s="185"/>
      <c r="V979" s="185"/>
      <c r="W979" s="185"/>
      <c r="X979" s="185"/>
      <c r="Y979" s="185"/>
      <c r="Z979" s="185"/>
    </row>
    <row r="980" spans="1:26" ht="16" thickBot="1" x14ac:dyDescent="0.25">
      <c r="A980" s="185"/>
      <c r="B980" s="185"/>
      <c r="C980" s="185"/>
      <c r="D980" s="185"/>
      <c r="E980" s="185"/>
      <c r="F980" s="185"/>
      <c r="G980" s="185"/>
      <c r="H980" s="185"/>
      <c r="I980" s="185"/>
      <c r="J980" s="185"/>
      <c r="K980" s="185"/>
      <c r="L980" s="185"/>
      <c r="M980" s="185"/>
      <c r="N980" s="185"/>
      <c r="O980" s="185"/>
      <c r="P980" s="185"/>
      <c r="Q980" s="185"/>
      <c r="R980" s="185"/>
      <c r="S980" s="185"/>
      <c r="T980" s="185"/>
      <c r="U980" s="185"/>
      <c r="V980" s="185"/>
      <c r="W980" s="185"/>
      <c r="X980" s="185"/>
      <c r="Y980" s="185"/>
      <c r="Z980" s="185"/>
    </row>
    <row r="981" spans="1:26" ht="16" thickBot="1" x14ac:dyDescent="0.25">
      <c r="A981" s="185"/>
      <c r="B981" s="185"/>
      <c r="C981" s="185"/>
      <c r="D981" s="185"/>
      <c r="E981" s="185"/>
      <c r="F981" s="185"/>
      <c r="G981" s="185"/>
      <c r="H981" s="185"/>
      <c r="I981" s="185"/>
      <c r="J981" s="185"/>
      <c r="K981" s="185"/>
      <c r="L981" s="185"/>
      <c r="M981" s="185"/>
      <c r="N981" s="185"/>
      <c r="O981" s="185"/>
      <c r="P981" s="185"/>
      <c r="Q981" s="185"/>
      <c r="R981" s="185"/>
      <c r="S981" s="185"/>
      <c r="T981" s="185"/>
      <c r="U981" s="185"/>
      <c r="V981" s="185"/>
      <c r="W981" s="185"/>
      <c r="X981" s="185"/>
      <c r="Y981" s="185"/>
      <c r="Z981" s="185"/>
    </row>
    <row r="982" spans="1:26" ht="16" thickBot="1" x14ac:dyDescent="0.25">
      <c r="A982" s="185"/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5"/>
      <c r="O982" s="185"/>
      <c r="P982" s="185"/>
      <c r="Q982" s="185"/>
      <c r="R982" s="185"/>
      <c r="S982" s="185"/>
      <c r="T982" s="185"/>
      <c r="U982" s="185"/>
      <c r="V982" s="185"/>
      <c r="W982" s="185"/>
      <c r="X982" s="185"/>
      <c r="Y982" s="185"/>
      <c r="Z982" s="185"/>
    </row>
    <row r="983" spans="1:26" ht="16" thickBot="1" x14ac:dyDescent="0.25">
      <c r="A983" s="185"/>
      <c r="B983" s="185"/>
      <c r="C983" s="185"/>
      <c r="D983" s="185"/>
      <c r="E983" s="185"/>
      <c r="F983" s="185"/>
      <c r="G983" s="185"/>
      <c r="H983" s="185"/>
      <c r="I983" s="185"/>
      <c r="J983" s="185"/>
      <c r="K983" s="185"/>
      <c r="L983" s="185"/>
      <c r="M983" s="185"/>
      <c r="N983" s="185"/>
      <c r="O983" s="185"/>
      <c r="P983" s="185"/>
      <c r="Q983" s="185"/>
      <c r="R983" s="185"/>
      <c r="S983" s="185"/>
      <c r="T983" s="185"/>
      <c r="U983" s="185"/>
      <c r="V983" s="185"/>
      <c r="W983" s="185"/>
      <c r="X983" s="185"/>
      <c r="Y983" s="185"/>
      <c r="Z983" s="185"/>
    </row>
    <row r="984" spans="1:26" ht="16" thickBot="1" x14ac:dyDescent="0.25">
      <c r="A984" s="185"/>
      <c r="B984" s="185"/>
      <c r="C984" s="185"/>
      <c r="D984" s="185"/>
      <c r="E984" s="185"/>
      <c r="F984" s="185"/>
      <c r="G984" s="185"/>
      <c r="H984" s="185"/>
      <c r="I984" s="185"/>
      <c r="J984" s="185"/>
      <c r="K984" s="185"/>
      <c r="L984" s="185"/>
      <c r="M984" s="185"/>
      <c r="N984" s="185"/>
      <c r="O984" s="185"/>
      <c r="P984" s="185"/>
      <c r="Q984" s="185"/>
      <c r="R984" s="185"/>
      <c r="S984" s="185"/>
      <c r="T984" s="185"/>
      <c r="U984" s="185"/>
      <c r="V984" s="185"/>
      <c r="W984" s="185"/>
      <c r="X984" s="185"/>
      <c r="Y984" s="185"/>
      <c r="Z984" s="185"/>
    </row>
    <row r="985" spans="1:26" ht="16" thickBot="1" x14ac:dyDescent="0.25">
      <c r="A985" s="185"/>
      <c r="B985" s="185"/>
      <c r="C985" s="185"/>
      <c r="D985" s="185"/>
      <c r="E985" s="185"/>
      <c r="F985" s="185"/>
      <c r="G985" s="185"/>
      <c r="H985" s="185"/>
      <c r="I985" s="185"/>
      <c r="J985" s="185"/>
      <c r="K985" s="185"/>
      <c r="L985" s="185"/>
      <c r="M985" s="185"/>
      <c r="N985" s="185"/>
      <c r="O985" s="185"/>
      <c r="P985" s="185"/>
      <c r="Q985" s="185"/>
      <c r="R985" s="185"/>
      <c r="S985" s="185"/>
      <c r="T985" s="185"/>
      <c r="U985" s="185"/>
      <c r="V985" s="185"/>
      <c r="W985" s="185"/>
      <c r="X985" s="185"/>
      <c r="Y985" s="185"/>
      <c r="Z985" s="185"/>
    </row>
    <row r="986" spans="1:26" ht="16" thickBot="1" x14ac:dyDescent="0.25">
      <c r="A986" s="185"/>
      <c r="B986" s="185"/>
      <c r="C986" s="185"/>
      <c r="D986" s="185"/>
      <c r="E986" s="185"/>
      <c r="F986" s="185"/>
      <c r="G986" s="185"/>
      <c r="H986" s="185"/>
      <c r="I986" s="185"/>
      <c r="J986" s="185"/>
      <c r="K986" s="185"/>
      <c r="L986" s="185"/>
      <c r="M986" s="185"/>
      <c r="N986" s="185"/>
      <c r="O986" s="185"/>
      <c r="P986" s="185"/>
      <c r="Q986" s="185"/>
      <c r="R986" s="185"/>
      <c r="S986" s="185"/>
      <c r="T986" s="185"/>
      <c r="U986" s="185"/>
      <c r="V986" s="185"/>
      <c r="W986" s="185"/>
      <c r="X986" s="185"/>
      <c r="Y986" s="185"/>
      <c r="Z986" s="185"/>
    </row>
    <row r="987" spans="1:26" ht="16" thickBot="1" x14ac:dyDescent="0.25">
      <c r="A987" s="185"/>
      <c r="B987" s="185"/>
      <c r="C987" s="185"/>
      <c r="D987" s="185"/>
      <c r="E987" s="185"/>
      <c r="F987" s="185"/>
      <c r="G987" s="185"/>
      <c r="H987" s="185"/>
      <c r="I987" s="185"/>
      <c r="J987" s="185"/>
      <c r="K987" s="185"/>
      <c r="L987" s="185"/>
      <c r="M987" s="185"/>
      <c r="N987" s="185"/>
      <c r="O987" s="185"/>
      <c r="P987" s="185"/>
      <c r="Q987" s="185"/>
      <c r="R987" s="185"/>
      <c r="S987" s="185"/>
      <c r="T987" s="185"/>
      <c r="U987" s="185"/>
      <c r="V987" s="185"/>
      <c r="W987" s="185"/>
      <c r="X987" s="185"/>
      <c r="Y987" s="185"/>
      <c r="Z987" s="185"/>
    </row>
    <row r="988" spans="1:26" ht="16" thickBot="1" x14ac:dyDescent="0.25">
      <c r="A988" s="185"/>
      <c r="B988" s="185"/>
      <c r="C988" s="185"/>
      <c r="D988" s="185"/>
      <c r="E988" s="185"/>
      <c r="F988" s="185"/>
      <c r="G988" s="185"/>
      <c r="H988" s="185"/>
      <c r="I988" s="185"/>
      <c r="J988" s="185"/>
      <c r="K988" s="185"/>
      <c r="L988" s="185"/>
      <c r="M988" s="185"/>
      <c r="N988" s="185"/>
      <c r="O988" s="185"/>
      <c r="P988" s="185"/>
      <c r="Q988" s="185"/>
      <c r="R988" s="185"/>
      <c r="S988" s="185"/>
      <c r="T988" s="185"/>
      <c r="U988" s="185"/>
      <c r="V988" s="185"/>
      <c r="W988" s="185"/>
      <c r="X988" s="185"/>
      <c r="Y988" s="185"/>
      <c r="Z988" s="185"/>
    </row>
    <row r="989" spans="1:26" ht="16" thickBot="1" x14ac:dyDescent="0.25">
      <c r="A989" s="185"/>
      <c r="B989" s="185"/>
      <c r="C989" s="185"/>
      <c r="D989" s="185"/>
      <c r="E989" s="185"/>
      <c r="F989" s="185"/>
      <c r="G989" s="185"/>
      <c r="H989" s="185"/>
      <c r="I989" s="185"/>
      <c r="J989" s="185"/>
      <c r="K989" s="185"/>
      <c r="L989" s="185"/>
      <c r="M989" s="185"/>
      <c r="N989" s="185"/>
      <c r="O989" s="185"/>
      <c r="P989" s="185"/>
      <c r="Q989" s="185"/>
      <c r="R989" s="185"/>
      <c r="S989" s="185"/>
      <c r="T989" s="185"/>
      <c r="U989" s="185"/>
      <c r="V989" s="185"/>
      <c r="W989" s="185"/>
      <c r="X989" s="185"/>
      <c r="Y989" s="185"/>
      <c r="Z989" s="185"/>
    </row>
    <row r="990" spans="1:26" ht="16" thickBot="1" x14ac:dyDescent="0.25">
      <c r="A990" s="185"/>
      <c r="B990" s="185"/>
      <c r="C990" s="185"/>
      <c r="D990" s="185"/>
      <c r="E990" s="185"/>
      <c r="F990" s="185"/>
      <c r="G990" s="185"/>
      <c r="H990" s="185"/>
      <c r="I990" s="185"/>
      <c r="J990" s="185"/>
      <c r="K990" s="185"/>
      <c r="L990" s="185"/>
      <c r="M990" s="185"/>
      <c r="N990" s="185"/>
      <c r="O990" s="185"/>
      <c r="P990" s="185"/>
      <c r="Q990" s="185"/>
      <c r="R990" s="185"/>
      <c r="S990" s="185"/>
      <c r="T990" s="185"/>
      <c r="U990" s="185"/>
      <c r="V990" s="185"/>
      <c r="W990" s="185"/>
      <c r="X990" s="185"/>
      <c r="Y990" s="185"/>
      <c r="Z990" s="185"/>
    </row>
    <row r="991" spans="1:26" ht="16" thickBot="1" x14ac:dyDescent="0.25">
      <c r="A991" s="185"/>
      <c r="B991" s="185"/>
      <c r="C991" s="185"/>
      <c r="D991" s="185"/>
      <c r="E991" s="185"/>
      <c r="F991" s="185"/>
      <c r="G991" s="185"/>
      <c r="H991" s="185"/>
      <c r="I991" s="185"/>
      <c r="J991" s="185"/>
      <c r="K991" s="185"/>
      <c r="L991" s="185"/>
      <c r="M991" s="185"/>
      <c r="N991" s="185"/>
      <c r="O991" s="185"/>
      <c r="P991" s="185"/>
      <c r="Q991" s="185"/>
      <c r="R991" s="185"/>
      <c r="S991" s="185"/>
      <c r="T991" s="185"/>
      <c r="U991" s="185"/>
      <c r="V991" s="185"/>
      <c r="W991" s="185"/>
      <c r="X991" s="185"/>
      <c r="Y991" s="185"/>
      <c r="Z991" s="185"/>
    </row>
    <row r="992" spans="1:26" ht="16" thickBot="1" x14ac:dyDescent="0.25">
      <c r="A992" s="185"/>
      <c r="B992" s="185"/>
      <c r="C992" s="185"/>
      <c r="D992" s="185"/>
      <c r="E992" s="185"/>
      <c r="F992" s="185"/>
      <c r="G992" s="185"/>
      <c r="H992" s="185"/>
      <c r="I992" s="185"/>
      <c r="J992" s="185"/>
      <c r="K992" s="185"/>
      <c r="L992" s="185"/>
      <c r="M992" s="185"/>
      <c r="N992" s="185"/>
      <c r="O992" s="185"/>
      <c r="P992" s="185"/>
      <c r="Q992" s="185"/>
      <c r="R992" s="185"/>
      <c r="S992" s="185"/>
      <c r="T992" s="185"/>
      <c r="U992" s="185"/>
      <c r="V992" s="185"/>
      <c r="W992" s="185"/>
      <c r="X992" s="185"/>
      <c r="Y992" s="185"/>
      <c r="Z992" s="185"/>
    </row>
    <row r="993" spans="1:26" ht="16" thickBot="1" x14ac:dyDescent="0.25">
      <c r="A993" s="185"/>
      <c r="B993" s="185"/>
      <c r="C993" s="185"/>
      <c r="D993" s="185"/>
      <c r="E993" s="185"/>
      <c r="F993" s="185"/>
      <c r="G993" s="185"/>
      <c r="H993" s="185"/>
      <c r="I993" s="185"/>
      <c r="J993" s="185"/>
      <c r="K993" s="185"/>
      <c r="L993" s="185"/>
      <c r="M993" s="185"/>
      <c r="N993" s="185"/>
      <c r="O993" s="185"/>
      <c r="P993" s="185"/>
      <c r="Q993" s="185"/>
      <c r="R993" s="185"/>
      <c r="S993" s="185"/>
      <c r="T993" s="185"/>
      <c r="U993" s="185"/>
      <c r="V993" s="185"/>
      <c r="W993" s="185"/>
      <c r="X993" s="185"/>
      <c r="Y993" s="185"/>
      <c r="Z993" s="185"/>
    </row>
    <row r="994" spans="1:26" ht="16" thickBot="1" x14ac:dyDescent="0.25">
      <c r="A994" s="185"/>
      <c r="B994" s="185"/>
      <c r="C994" s="185"/>
      <c r="D994" s="185"/>
      <c r="E994" s="185"/>
      <c r="F994" s="185"/>
      <c r="G994" s="185"/>
      <c r="H994" s="185"/>
      <c r="I994" s="185"/>
      <c r="J994" s="185"/>
      <c r="K994" s="185"/>
      <c r="L994" s="185"/>
      <c r="M994" s="185"/>
      <c r="N994" s="185"/>
      <c r="O994" s="185"/>
      <c r="P994" s="185"/>
      <c r="Q994" s="185"/>
      <c r="R994" s="185"/>
      <c r="S994" s="185"/>
      <c r="T994" s="185"/>
      <c r="U994" s="185"/>
      <c r="V994" s="185"/>
      <c r="W994" s="185"/>
      <c r="X994" s="185"/>
      <c r="Y994" s="185"/>
      <c r="Z994" s="185"/>
    </row>
    <row r="995" spans="1:26" ht="16" thickBot="1" x14ac:dyDescent="0.25">
      <c r="A995" s="185"/>
      <c r="B995" s="185"/>
      <c r="C995" s="185"/>
      <c r="D995" s="185"/>
      <c r="E995" s="185"/>
      <c r="F995" s="185"/>
      <c r="G995" s="185"/>
      <c r="H995" s="185"/>
      <c r="I995" s="185"/>
      <c r="J995" s="185"/>
      <c r="K995" s="185"/>
      <c r="L995" s="185"/>
      <c r="M995" s="185"/>
      <c r="N995" s="185"/>
      <c r="O995" s="185"/>
      <c r="P995" s="185"/>
      <c r="Q995" s="185"/>
      <c r="R995" s="185"/>
      <c r="S995" s="185"/>
      <c r="T995" s="185"/>
      <c r="U995" s="185"/>
      <c r="V995" s="185"/>
      <c r="W995" s="185"/>
      <c r="X995" s="185"/>
      <c r="Y995" s="185"/>
      <c r="Z995" s="185"/>
    </row>
    <row r="996" spans="1:26" ht="16" thickBot="1" x14ac:dyDescent="0.25">
      <c r="A996" s="185"/>
      <c r="B996" s="185"/>
      <c r="C996" s="185"/>
      <c r="D996" s="185"/>
      <c r="E996" s="185"/>
      <c r="F996" s="185"/>
      <c r="G996" s="185"/>
      <c r="H996" s="185"/>
      <c r="I996" s="185"/>
      <c r="J996" s="185"/>
      <c r="K996" s="185"/>
      <c r="L996" s="185"/>
      <c r="M996" s="185"/>
      <c r="N996" s="185"/>
      <c r="O996" s="185"/>
      <c r="P996" s="185"/>
      <c r="Q996" s="185"/>
      <c r="R996" s="185"/>
      <c r="S996" s="185"/>
      <c r="T996" s="185"/>
      <c r="U996" s="185"/>
      <c r="V996" s="185"/>
      <c r="W996" s="185"/>
      <c r="X996" s="185"/>
      <c r="Y996" s="185"/>
      <c r="Z996" s="185"/>
    </row>
    <row r="997" spans="1:26" ht="16" thickBot="1" x14ac:dyDescent="0.25">
      <c r="A997" s="185"/>
      <c r="B997" s="185"/>
      <c r="C997" s="185"/>
      <c r="D997" s="185"/>
      <c r="E997" s="185"/>
      <c r="F997" s="185"/>
      <c r="G997" s="185"/>
      <c r="H997" s="185"/>
      <c r="I997" s="185"/>
      <c r="J997" s="185"/>
      <c r="K997" s="185"/>
      <c r="L997" s="185"/>
      <c r="M997" s="185"/>
      <c r="N997" s="185"/>
      <c r="O997" s="185"/>
      <c r="P997" s="185"/>
      <c r="Q997" s="185"/>
      <c r="R997" s="185"/>
      <c r="S997" s="185"/>
      <c r="T997" s="185"/>
      <c r="U997" s="185"/>
      <c r="V997" s="185"/>
      <c r="W997" s="185"/>
      <c r="X997" s="185"/>
      <c r="Y997" s="185"/>
      <c r="Z997" s="185"/>
    </row>
    <row r="998" spans="1:26" ht="16" thickBot="1" x14ac:dyDescent="0.25">
      <c r="A998" s="185"/>
      <c r="B998" s="185"/>
      <c r="C998" s="185"/>
      <c r="D998" s="185"/>
      <c r="E998" s="185"/>
      <c r="F998" s="185"/>
      <c r="G998" s="185"/>
      <c r="H998" s="185"/>
      <c r="I998" s="185"/>
      <c r="J998" s="185"/>
      <c r="K998" s="185"/>
      <c r="L998" s="185"/>
      <c r="M998" s="185"/>
      <c r="N998" s="185"/>
      <c r="O998" s="185"/>
      <c r="P998" s="185"/>
      <c r="Q998" s="185"/>
      <c r="R998" s="185"/>
      <c r="S998" s="185"/>
      <c r="T998" s="185"/>
      <c r="U998" s="185"/>
      <c r="V998" s="185"/>
      <c r="W998" s="185"/>
      <c r="X998" s="185"/>
      <c r="Y998" s="185"/>
      <c r="Z998" s="185"/>
    </row>
    <row r="999" spans="1:26" ht="16" thickBot="1" x14ac:dyDescent="0.25">
      <c r="A999" s="185"/>
      <c r="B999" s="185"/>
      <c r="C999" s="185"/>
      <c r="D999" s="185"/>
      <c r="E999" s="185"/>
      <c r="F999" s="185"/>
      <c r="G999" s="185"/>
      <c r="H999" s="185"/>
      <c r="I999" s="185"/>
      <c r="J999" s="185"/>
      <c r="K999" s="185"/>
      <c r="L999" s="185"/>
      <c r="M999" s="185"/>
      <c r="N999" s="185"/>
      <c r="O999" s="185"/>
      <c r="P999" s="185"/>
      <c r="Q999" s="185"/>
      <c r="R999" s="185"/>
      <c r="S999" s="185"/>
      <c r="T999" s="185"/>
      <c r="U999" s="185"/>
      <c r="V999" s="185"/>
      <c r="W999" s="185"/>
      <c r="X999" s="185"/>
      <c r="Y999" s="185"/>
      <c r="Z999" s="185"/>
    </row>
    <row r="1000" spans="1:26" ht="16" thickBot="1" x14ac:dyDescent="0.25">
      <c r="A1000" s="185"/>
      <c r="B1000" s="185"/>
      <c r="C1000" s="185"/>
      <c r="D1000" s="185"/>
      <c r="E1000" s="185"/>
      <c r="F1000" s="185"/>
      <c r="G1000" s="185"/>
      <c r="H1000" s="185"/>
      <c r="I1000" s="185"/>
      <c r="J1000" s="185"/>
      <c r="K1000" s="185"/>
      <c r="L1000" s="185"/>
      <c r="M1000" s="185"/>
      <c r="N1000" s="185"/>
      <c r="O1000" s="185"/>
      <c r="P1000" s="185"/>
      <c r="Q1000" s="185"/>
      <c r="R1000" s="185"/>
      <c r="S1000" s="185"/>
      <c r="T1000" s="185"/>
      <c r="U1000" s="185"/>
      <c r="V1000" s="185"/>
      <c r="W1000" s="185"/>
      <c r="X1000" s="185"/>
      <c r="Y1000" s="185"/>
      <c r="Z1000" s="185"/>
    </row>
    <row r="1001" spans="1:26" ht="16" thickBot="1" x14ac:dyDescent="0.25">
      <c r="A1001" s="185"/>
      <c r="B1001" s="185"/>
      <c r="C1001" s="185"/>
      <c r="D1001" s="185"/>
      <c r="E1001" s="185"/>
      <c r="F1001" s="185"/>
      <c r="G1001" s="185"/>
      <c r="H1001" s="185"/>
      <c r="I1001" s="185"/>
      <c r="J1001" s="185"/>
      <c r="K1001" s="185"/>
      <c r="L1001" s="185"/>
      <c r="M1001" s="185"/>
      <c r="N1001" s="185"/>
      <c r="O1001" s="185"/>
      <c r="P1001" s="185"/>
      <c r="Q1001" s="185"/>
      <c r="R1001" s="185"/>
      <c r="S1001" s="185"/>
      <c r="T1001" s="185"/>
      <c r="U1001" s="185"/>
      <c r="V1001" s="185"/>
      <c r="W1001" s="185"/>
      <c r="X1001" s="185"/>
      <c r="Y1001" s="185"/>
      <c r="Z1001" s="185"/>
    </row>
    <row r="1002" spans="1:26" ht="16" thickBot="1" x14ac:dyDescent="0.25">
      <c r="A1002" s="185"/>
      <c r="B1002" s="185"/>
      <c r="C1002" s="185"/>
      <c r="D1002" s="185"/>
      <c r="E1002" s="185"/>
      <c r="F1002" s="185"/>
      <c r="G1002" s="185"/>
      <c r="H1002" s="185"/>
      <c r="I1002" s="185"/>
      <c r="J1002" s="185"/>
      <c r="K1002" s="185"/>
      <c r="L1002" s="185"/>
      <c r="M1002" s="185"/>
      <c r="N1002" s="185"/>
      <c r="O1002" s="185"/>
      <c r="P1002" s="185"/>
      <c r="Q1002" s="185"/>
      <c r="R1002" s="185"/>
      <c r="S1002" s="185"/>
      <c r="T1002" s="185"/>
      <c r="U1002" s="185"/>
      <c r="V1002" s="185"/>
      <c r="W1002" s="185"/>
      <c r="X1002" s="185"/>
      <c r="Y1002" s="185"/>
      <c r="Z1002" s="185"/>
    </row>
    <row r="1003" spans="1:26" ht="16" thickBot="1" x14ac:dyDescent="0.25">
      <c r="A1003" s="185"/>
      <c r="B1003" s="185"/>
      <c r="C1003" s="185"/>
      <c r="D1003" s="185"/>
      <c r="E1003" s="185"/>
      <c r="F1003" s="185"/>
      <c r="G1003" s="185"/>
      <c r="H1003" s="185"/>
      <c r="I1003" s="185"/>
      <c r="J1003" s="185"/>
      <c r="K1003" s="185"/>
      <c r="L1003" s="185"/>
      <c r="M1003" s="185"/>
      <c r="N1003" s="185"/>
      <c r="O1003" s="185"/>
      <c r="P1003" s="185"/>
      <c r="Q1003" s="185"/>
      <c r="R1003" s="185"/>
      <c r="S1003" s="185"/>
      <c r="T1003" s="185"/>
      <c r="U1003" s="185"/>
      <c r="V1003" s="185"/>
      <c r="W1003" s="185"/>
      <c r="X1003" s="185"/>
      <c r="Y1003" s="185"/>
      <c r="Z1003" s="185"/>
    </row>
  </sheetData>
  <sheetProtection algorithmName="SHA-512" hashValue="XWOF06/H6X0J9OtpavY38oBCjv4jcyEcgsbjcYrTCC74bFfqZC2DDrXs+Wq8D2ngFwDuN8QJ2S9IRvTMqOR9hw==" saltValue="Q91JROs+j2CSS4gSahs+ow==" spinCount="100000" sheet="1" objects="1" scenarios="1"/>
  <mergeCells count="8">
    <mergeCell ref="A99:Q99"/>
    <mergeCell ref="A129:Q129"/>
    <mergeCell ref="A1:Q1"/>
    <mergeCell ref="A12:Q12"/>
    <mergeCell ref="L44:M44"/>
    <mergeCell ref="A45:Q45"/>
    <mergeCell ref="K80:M80"/>
    <mergeCell ref="A81:Q8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0A609-B377-734E-B5CB-95CAC2937C1F}">
  <sheetPr codeName="Sheet7">
    <tabColor theme="9"/>
  </sheetPr>
  <dimension ref="A1:AJ36"/>
  <sheetViews>
    <sheetView topLeftCell="N1" zoomScale="87" workbookViewId="0">
      <selection activeCell="AE13" sqref="AE13"/>
    </sheetView>
  </sheetViews>
  <sheetFormatPr baseColWidth="10" defaultColWidth="8.83203125" defaultRowHeight="15" x14ac:dyDescent="0.2"/>
  <sheetData>
    <row r="1" spans="1:36" x14ac:dyDescent="0.2">
      <c r="AF1" t="s">
        <v>232</v>
      </c>
      <c r="AG1">
        <v>5000</v>
      </c>
      <c r="AH1">
        <f>COUNTA(AH2:AH36)</f>
        <v>4</v>
      </c>
      <c r="AI1">
        <f>COUNTA(AI2:AI36)</f>
        <v>14</v>
      </c>
      <c r="AJ1">
        <f>(AI1-AH1)*AG1</f>
        <v>50000</v>
      </c>
    </row>
    <row r="2" spans="1:36" x14ac:dyDescent="0.2">
      <c r="A2" s="129" t="s">
        <v>233</v>
      </c>
      <c r="B2" s="129" t="s">
        <v>234</v>
      </c>
      <c r="C2" s="129" t="s">
        <v>235</v>
      </c>
      <c r="D2" s="129" t="s">
        <v>236</v>
      </c>
      <c r="F2" s="136" t="s">
        <v>101</v>
      </c>
      <c r="G2" s="137" t="s">
        <v>237</v>
      </c>
      <c r="H2" s="137" t="s">
        <v>238</v>
      </c>
      <c r="I2" s="137" t="s">
        <v>239</v>
      </c>
      <c r="J2" s="137" t="s">
        <v>240</v>
      </c>
      <c r="K2" s="137" t="s">
        <v>241</v>
      </c>
      <c r="L2" s="137" t="s">
        <v>242</v>
      </c>
      <c r="M2" s="137" t="s">
        <v>236</v>
      </c>
      <c r="N2" s="137" t="s">
        <v>243</v>
      </c>
      <c r="Q2" s="360" t="s">
        <v>91</v>
      </c>
      <c r="R2" s="235" t="s">
        <v>244</v>
      </c>
      <c r="S2" s="235" t="s">
        <v>245</v>
      </c>
      <c r="T2" s="235" t="s">
        <v>246</v>
      </c>
      <c r="U2" s="236" t="s">
        <v>247</v>
      </c>
      <c r="V2" s="236" t="s">
        <v>248</v>
      </c>
      <c r="W2" s="236" t="s">
        <v>249</v>
      </c>
      <c r="X2" s="236" t="s">
        <v>250</v>
      </c>
      <c r="AC2" s="399"/>
      <c r="AF2" cm="1">
        <f t="array" ref="AF2:AF36">_xlfn.SEQUENCE(35,1,1,1)</f>
        <v>1</v>
      </c>
      <c r="AG2" s="398">
        <v>46082</v>
      </c>
      <c r="AH2" t="s">
        <v>251</v>
      </c>
      <c r="AI2">
        <v>5000</v>
      </c>
    </row>
    <row r="3" spans="1:36" x14ac:dyDescent="0.2">
      <c r="A3" s="130">
        <v>46117</v>
      </c>
      <c r="B3" s="131">
        <v>9750.52</v>
      </c>
      <c r="C3" s="131">
        <v>9880</v>
      </c>
      <c r="D3" s="131" t="s">
        <v>236</v>
      </c>
      <c r="F3" s="136" t="s">
        <v>252</v>
      </c>
      <c r="G3" s="137">
        <v>3872.83</v>
      </c>
      <c r="H3" s="137">
        <v>361.89</v>
      </c>
      <c r="I3" s="137">
        <v>65.14</v>
      </c>
      <c r="J3" s="137">
        <v>482.52</v>
      </c>
      <c r="K3" s="137">
        <v>86.85</v>
      </c>
      <c r="L3" s="137">
        <v>4869.2299999999996</v>
      </c>
      <c r="M3" s="137">
        <f>4000+870</f>
        <v>4870</v>
      </c>
      <c r="N3" s="137">
        <f t="shared" ref="N3:N9" si="0">L3-M3</f>
        <v>-0.77000000000043656</v>
      </c>
      <c r="O3" s="125" t="s">
        <v>251</v>
      </c>
      <c r="Q3" s="236" t="s">
        <v>252</v>
      </c>
      <c r="R3" s="237">
        <v>10474.31</v>
      </c>
      <c r="S3" s="237">
        <v>865.82</v>
      </c>
      <c r="T3" s="237">
        <v>155.85</v>
      </c>
      <c r="U3" s="237">
        <v>234.82</v>
      </c>
      <c r="V3" s="238">
        <v>11730</v>
      </c>
      <c r="W3" s="237">
        <v>11700</v>
      </c>
      <c r="X3" s="236" t="s">
        <v>253</v>
      </c>
      <c r="AF3">
        <v>2</v>
      </c>
      <c r="AG3" s="398">
        <v>46113</v>
      </c>
      <c r="AH3" t="s">
        <v>251</v>
      </c>
      <c r="AI3">
        <v>5000</v>
      </c>
    </row>
    <row r="4" spans="1:36" x14ac:dyDescent="0.2">
      <c r="A4" s="132">
        <v>46147</v>
      </c>
      <c r="B4" s="131">
        <v>9750.52</v>
      </c>
      <c r="C4" s="131">
        <v>9880</v>
      </c>
      <c r="D4" s="131" t="s">
        <v>236</v>
      </c>
      <c r="F4" s="136" t="s">
        <v>254</v>
      </c>
      <c r="G4" s="137">
        <v>3930.92</v>
      </c>
      <c r="H4" s="137">
        <v>303.8</v>
      </c>
      <c r="I4" s="137">
        <v>54.68</v>
      </c>
      <c r="J4" s="138"/>
      <c r="K4" s="138"/>
      <c r="L4" s="137">
        <v>4289.3999999999996</v>
      </c>
      <c r="M4" s="138">
        <v>4290</v>
      </c>
      <c r="N4" s="137">
        <f t="shared" si="0"/>
        <v>-0.6000000000003638</v>
      </c>
      <c r="O4" s="125" t="s">
        <v>251</v>
      </c>
      <c r="Q4" s="236" t="s">
        <v>254</v>
      </c>
      <c r="R4" s="239">
        <v>10613.88</v>
      </c>
      <c r="S4" s="237">
        <v>726.25</v>
      </c>
      <c r="T4" s="237">
        <v>130.72999999999999</v>
      </c>
      <c r="U4" s="235"/>
      <c r="V4" s="238">
        <v>11470</v>
      </c>
      <c r="W4" s="237">
        <v>11470</v>
      </c>
      <c r="X4" s="236" t="s">
        <v>255</v>
      </c>
      <c r="AF4">
        <v>3</v>
      </c>
      <c r="AG4" s="398">
        <v>46143</v>
      </c>
      <c r="AH4" t="s">
        <v>251</v>
      </c>
      <c r="AI4">
        <v>5000</v>
      </c>
    </row>
    <row r="5" spans="1:36" x14ac:dyDescent="0.2">
      <c r="A5" s="132">
        <v>46175</v>
      </c>
      <c r="B5" s="131">
        <v>9750.52</v>
      </c>
      <c r="C5" s="131">
        <v>9880</v>
      </c>
      <c r="D5" s="131" t="s">
        <v>236</v>
      </c>
      <c r="F5" s="136" t="s">
        <v>256</v>
      </c>
      <c r="G5" s="137">
        <v>3989.89</v>
      </c>
      <c r="H5" s="137">
        <v>244.83</v>
      </c>
      <c r="I5" s="137">
        <v>44.07</v>
      </c>
      <c r="J5" s="138"/>
      <c r="K5" s="138"/>
      <c r="L5" s="137">
        <v>4278.79</v>
      </c>
      <c r="M5" s="138">
        <v>4280</v>
      </c>
      <c r="N5" s="137">
        <f t="shared" si="0"/>
        <v>-1.2100000000000364</v>
      </c>
      <c r="O5" s="125" t="s">
        <v>251</v>
      </c>
      <c r="Q5" s="236" t="s">
        <v>256</v>
      </c>
      <c r="R5" s="239">
        <v>10755.31</v>
      </c>
      <c r="S5" s="237">
        <v>584.82000000000005</v>
      </c>
      <c r="T5" s="237">
        <v>105.27</v>
      </c>
      <c r="U5" s="235"/>
      <c r="V5" s="238">
        <v>11445</v>
      </c>
      <c r="W5" s="237">
        <v>22800</v>
      </c>
      <c r="X5" s="236" t="s">
        <v>257</v>
      </c>
      <c r="AF5">
        <v>4</v>
      </c>
      <c r="AG5" s="398">
        <v>46174</v>
      </c>
      <c r="AH5" t="s">
        <v>251</v>
      </c>
      <c r="AI5">
        <v>5000</v>
      </c>
    </row>
    <row r="6" spans="1:36" x14ac:dyDescent="0.2">
      <c r="A6" s="132">
        <v>46208</v>
      </c>
      <c r="B6" s="131">
        <v>9750.52</v>
      </c>
      <c r="C6" s="131">
        <v>9880</v>
      </c>
      <c r="D6" t="s">
        <v>236</v>
      </c>
      <c r="F6" s="136" t="s">
        <v>258</v>
      </c>
      <c r="G6" s="137">
        <v>4049.73</v>
      </c>
      <c r="H6" s="137">
        <v>184.99</v>
      </c>
      <c r="I6" s="137">
        <v>33.299999999999997</v>
      </c>
      <c r="J6" s="138"/>
      <c r="K6" s="138"/>
      <c r="L6" s="137">
        <v>4268.0200000000004</v>
      </c>
      <c r="M6" s="138">
        <v>4268</v>
      </c>
      <c r="N6" s="137">
        <f t="shared" si="0"/>
        <v>2.0000000000436557E-2</v>
      </c>
      <c r="O6" s="125" t="s">
        <v>251</v>
      </c>
      <c r="Q6" s="236" t="s">
        <v>258</v>
      </c>
      <c r="R6" s="239">
        <v>10898.63</v>
      </c>
      <c r="S6" s="237">
        <v>441.5</v>
      </c>
      <c r="T6" s="237">
        <v>79.47</v>
      </c>
      <c r="U6" s="235"/>
      <c r="V6" s="238">
        <v>11419</v>
      </c>
      <c r="W6" s="237">
        <v>14000</v>
      </c>
      <c r="X6" s="236" t="s">
        <v>259</v>
      </c>
      <c r="AF6">
        <v>5</v>
      </c>
      <c r="AG6" s="398">
        <v>46204</v>
      </c>
      <c r="AI6">
        <v>5000</v>
      </c>
    </row>
    <row r="7" spans="1:36" x14ac:dyDescent="0.2">
      <c r="A7" s="133">
        <v>46239</v>
      </c>
      <c r="B7" s="131">
        <v>9750.52</v>
      </c>
      <c r="C7" s="131">
        <v>9880</v>
      </c>
      <c r="D7" s="128"/>
      <c r="F7" s="136" t="s">
        <v>260</v>
      </c>
      <c r="G7" s="137">
        <v>4110.4799999999996</v>
      </c>
      <c r="H7" s="137">
        <v>124.24</v>
      </c>
      <c r="I7" s="137">
        <v>22.36</v>
      </c>
      <c r="J7" s="138"/>
      <c r="K7" s="138"/>
      <c r="L7" s="137">
        <v>4257.08</v>
      </c>
      <c r="M7" s="138">
        <v>4257</v>
      </c>
      <c r="N7" s="137">
        <f t="shared" si="0"/>
        <v>7.999999999992724E-2</v>
      </c>
      <c r="O7" s="125" t="s">
        <v>251</v>
      </c>
      <c r="Q7" s="236" t="s">
        <v>260</v>
      </c>
      <c r="R7" s="239">
        <v>11043.85</v>
      </c>
      <c r="S7" s="237">
        <v>296.27999999999997</v>
      </c>
      <c r="T7" s="237">
        <v>53.33</v>
      </c>
      <c r="U7" s="235"/>
      <c r="V7" s="238">
        <v>11393</v>
      </c>
      <c r="W7" s="237">
        <v>5000</v>
      </c>
      <c r="X7" s="236" t="s">
        <v>261</v>
      </c>
      <c r="AF7">
        <v>6</v>
      </c>
      <c r="AG7" s="398">
        <v>46235</v>
      </c>
      <c r="AI7">
        <v>5000</v>
      </c>
    </row>
    <row r="8" spans="1:36" x14ac:dyDescent="0.2">
      <c r="A8" s="130">
        <v>46270</v>
      </c>
      <c r="B8" s="131">
        <v>9750.52</v>
      </c>
      <c r="C8" s="131">
        <v>9880</v>
      </c>
      <c r="D8" s="128"/>
      <c r="F8" s="136" t="s">
        <v>262</v>
      </c>
      <c r="G8" s="137">
        <v>4172.1499999999996</v>
      </c>
      <c r="H8" s="137">
        <v>62.58</v>
      </c>
      <c r="I8" s="137">
        <v>11.26</v>
      </c>
      <c r="J8" s="138"/>
      <c r="K8" s="138"/>
      <c r="L8" s="137">
        <v>4245.99</v>
      </c>
      <c r="M8" s="138"/>
      <c r="N8" s="137">
        <f t="shared" si="0"/>
        <v>4245.99</v>
      </c>
      <c r="O8" s="125" t="s">
        <v>251</v>
      </c>
      <c r="Q8" s="236" t="s">
        <v>262</v>
      </c>
      <c r="R8" s="239">
        <v>11191.02</v>
      </c>
      <c r="S8" s="237">
        <v>149.12</v>
      </c>
      <c r="T8" s="237">
        <v>26.84</v>
      </c>
      <c r="U8" s="235"/>
      <c r="V8" s="238">
        <v>11366</v>
      </c>
      <c r="W8" s="235"/>
      <c r="X8" s="235"/>
      <c r="AF8">
        <v>7</v>
      </c>
      <c r="AG8" s="398">
        <v>46266</v>
      </c>
      <c r="AI8">
        <v>5000</v>
      </c>
    </row>
    <row r="9" spans="1:36" x14ac:dyDescent="0.2">
      <c r="A9" s="130">
        <v>46300</v>
      </c>
      <c r="B9" s="131">
        <v>9750.52</v>
      </c>
      <c r="C9" s="131">
        <v>9880</v>
      </c>
      <c r="D9" s="128"/>
      <c r="F9" s="136" t="s">
        <v>4</v>
      </c>
      <c r="G9" s="136">
        <v>24126</v>
      </c>
      <c r="H9" s="136">
        <v>1282.33</v>
      </c>
      <c r="I9" s="136">
        <v>230.81</v>
      </c>
      <c r="J9" s="136">
        <v>482.52</v>
      </c>
      <c r="K9" s="136">
        <v>86.85</v>
      </c>
      <c r="L9" s="136">
        <v>26208.51</v>
      </c>
      <c r="M9" s="138">
        <f>SUM(M3:M8)</f>
        <v>21965</v>
      </c>
      <c r="N9" s="137">
        <f t="shared" si="0"/>
        <v>4243.5099999999984</v>
      </c>
      <c r="Q9" s="236" t="s">
        <v>4</v>
      </c>
      <c r="R9" s="237">
        <v>64977</v>
      </c>
      <c r="S9" s="237">
        <v>3063.79</v>
      </c>
      <c r="T9" s="237">
        <v>551.49</v>
      </c>
      <c r="U9" s="237">
        <v>234.82</v>
      </c>
      <c r="V9" s="237">
        <v>68823</v>
      </c>
      <c r="W9" s="235">
        <f>V9-SUM(W3:W8)</f>
        <v>3853</v>
      </c>
      <c r="X9" s="236" t="s">
        <v>263</v>
      </c>
      <c r="AF9">
        <v>8</v>
      </c>
      <c r="AG9" s="398">
        <v>46296</v>
      </c>
      <c r="AI9">
        <v>5000</v>
      </c>
    </row>
    <row r="10" spans="1:36" x14ac:dyDescent="0.2">
      <c r="A10" s="130">
        <v>46331</v>
      </c>
      <c r="B10" s="131">
        <v>9750.52</v>
      </c>
      <c r="C10" s="131">
        <v>9880</v>
      </c>
      <c r="D10" s="128"/>
      <c r="J10" s="125" t="s">
        <v>264</v>
      </c>
      <c r="L10" s="125">
        <v>2996</v>
      </c>
      <c r="M10" s="125">
        <v>1500</v>
      </c>
      <c r="N10" s="137">
        <f>L10-M10</f>
        <v>1496</v>
      </c>
      <c r="Q10" s="235"/>
      <c r="R10" s="235"/>
      <c r="S10" s="235"/>
      <c r="T10" s="235"/>
      <c r="U10" s="236" t="s">
        <v>265</v>
      </c>
      <c r="V10" s="237">
        <v>1500</v>
      </c>
      <c r="W10" s="235"/>
      <c r="X10" s="235"/>
      <c r="AF10">
        <v>9</v>
      </c>
      <c r="AG10" s="398">
        <v>46327</v>
      </c>
      <c r="AI10">
        <v>5000</v>
      </c>
    </row>
    <row r="11" spans="1:36" x14ac:dyDescent="0.2">
      <c r="A11" s="130">
        <v>46361</v>
      </c>
      <c r="B11" s="131">
        <v>9750.52</v>
      </c>
      <c r="C11" s="131">
        <v>9880</v>
      </c>
      <c r="D11" s="128"/>
      <c r="Q11" s="235"/>
      <c r="R11" s="235"/>
      <c r="S11" s="235"/>
      <c r="T11" s="499" t="s">
        <v>266</v>
      </c>
      <c r="U11" s="415"/>
      <c r="V11" s="238">
        <v>70323</v>
      </c>
      <c r="W11" s="237"/>
      <c r="X11" s="240"/>
      <c r="AF11">
        <v>10</v>
      </c>
      <c r="AG11" s="398">
        <v>46357</v>
      </c>
      <c r="AI11">
        <v>5000</v>
      </c>
    </row>
    <row r="12" spans="1:36" x14ac:dyDescent="0.2">
      <c r="A12" s="130">
        <v>46027</v>
      </c>
      <c r="B12" s="131">
        <v>9750.52</v>
      </c>
      <c r="C12" s="131">
        <v>9880</v>
      </c>
      <c r="D12" s="128"/>
      <c r="AF12">
        <v>11</v>
      </c>
      <c r="AG12" s="398">
        <v>46388</v>
      </c>
      <c r="AI12">
        <v>5000</v>
      </c>
    </row>
    <row r="13" spans="1:36" x14ac:dyDescent="0.2">
      <c r="A13" s="130">
        <v>46058</v>
      </c>
      <c r="B13" s="131">
        <v>9750.52</v>
      </c>
      <c r="C13" s="131">
        <v>9880</v>
      </c>
      <c r="D13" s="128"/>
      <c r="AF13">
        <v>12</v>
      </c>
      <c r="AG13" s="398">
        <v>46419</v>
      </c>
      <c r="AI13">
        <v>5000</v>
      </c>
    </row>
    <row r="14" spans="1:36" x14ac:dyDescent="0.2">
      <c r="A14" s="130">
        <v>46086</v>
      </c>
      <c r="B14" s="131">
        <v>9750.5499999999993</v>
      </c>
      <c r="C14" s="131">
        <v>9880</v>
      </c>
      <c r="D14" s="128"/>
      <c r="AF14">
        <v>13</v>
      </c>
      <c r="AG14" s="398">
        <v>46447</v>
      </c>
      <c r="AI14">
        <v>5000</v>
      </c>
    </row>
    <row r="15" spans="1:36" x14ac:dyDescent="0.2">
      <c r="B15" s="134">
        <f t="shared" ref="B15:C15" si="1">SUM(B3:B14)</f>
        <v>117006.27000000003</v>
      </c>
      <c r="C15" s="134">
        <f t="shared" si="1"/>
        <v>118560</v>
      </c>
      <c r="D15" s="135"/>
      <c r="AF15">
        <v>14</v>
      </c>
      <c r="AG15" s="398">
        <v>46478</v>
      </c>
      <c r="AI15">
        <v>5000</v>
      </c>
    </row>
    <row r="16" spans="1:36" x14ac:dyDescent="0.2">
      <c r="AF16">
        <v>15</v>
      </c>
      <c r="AG16" s="398">
        <v>46508</v>
      </c>
    </row>
    <row r="17" spans="1:33" x14ac:dyDescent="0.2">
      <c r="AF17">
        <v>16</v>
      </c>
      <c r="AG17" s="398">
        <v>46539</v>
      </c>
    </row>
    <row r="18" spans="1:33" x14ac:dyDescent="0.2">
      <c r="A18" t="s">
        <v>87</v>
      </c>
      <c r="AF18">
        <v>17</v>
      </c>
      <c r="AG18" s="398">
        <v>46569</v>
      </c>
    </row>
    <row r="19" spans="1:33" x14ac:dyDescent="0.2">
      <c r="A19" s="128"/>
      <c r="B19" s="241" t="s">
        <v>267</v>
      </c>
      <c r="C19" s="241">
        <v>15773</v>
      </c>
      <c r="D19" s="242" t="s">
        <v>268</v>
      </c>
      <c r="AF19">
        <v>18</v>
      </c>
      <c r="AG19" s="398">
        <v>46600</v>
      </c>
    </row>
    <row r="20" spans="1:33" x14ac:dyDescent="0.2">
      <c r="A20" s="128"/>
      <c r="B20" s="128"/>
      <c r="C20" s="128"/>
      <c r="D20" s="241" t="s">
        <v>251</v>
      </c>
      <c r="AF20">
        <v>19</v>
      </c>
      <c r="AG20" s="398">
        <v>46631</v>
      </c>
    </row>
    <row r="21" spans="1:33" x14ac:dyDescent="0.2">
      <c r="A21" s="139">
        <v>1</v>
      </c>
      <c r="B21" s="241" t="s">
        <v>260</v>
      </c>
      <c r="C21" s="241">
        <v>796</v>
      </c>
      <c r="D21" s="241">
        <v>796</v>
      </c>
      <c r="AF21">
        <v>20</v>
      </c>
      <c r="AG21" s="398">
        <v>46661</v>
      </c>
    </row>
    <row r="22" spans="1:33" x14ac:dyDescent="0.2">
      <c r="A22" s="139">
        <v>2</v>
      </c>
      <c r="B22" s="241" t="s">
        <v>262</v>
      </c>
      <c r="C22" s="241">
        <v>2906</v>
      </c>
      <c r="D22" s="241">
        <v>2906</v>
      </c>
      <c r="AF22">
        <v>21</v>
      </c>
      <c r="AG22" s="398">
        <v>46692</v>
      </c>
    </row>
    <row r="23" spans="1:33" x14ac:dyDescent="0.2">
      <c r="A23" s="139">
        <v>3</v>
      </c>
      <c r="B23" s="241" t="s">
        <v>39</v>
      </c>
      <c r="C23" s="241">
        <v>2677</v>
      </c>
      <c r="D23" s="241">
        <v>2677</v>
      </c>
      <c r="AF23">
        <v>22</v>
      </c>
      <c r="AG23" s="398">
        <v>46722</v>
      </c>
    </row>
    <row r="24" spans="1:33" x14ac:dyDescent="0.2">
      <c r="A24" s="139">
        <v>4</v>
      </c>
      <c r="B24" s="241" t="s">
        <v>40</v>
      </c>
      <c r="C24" s="241">
        <v>2671</v>
      </c>
      <c r="D24" s="241">
        <v>2671</v>
      </c>
      <c r="AF24">
        <v>23</v>
      </c>
      <c r="AG24" s="398">
        <v>46753</v>
      </c>
    </row>
    <row r="25" spans="1:33" x14ac:dyDescent="0.2">
      <c r="A25" s="139">
        <v>5</v>
      </c>
      <c r="B25" s="241" t="s">
        <v>41</v>
      </c>
      <c r="C25" s="241">
        <v>2665</v>
      </c>
      <c r="D25" s="241">
        <v>2665</v>
      </c>
      <c r="AF25">
        <v>24</v>
      </c>
      <c r="AG25" s="398">
        <v>46784</v>
      </c>
    </row>
    <row r="26" spans="1:33" x14ac:dyDescent="0.2">
      <c r="A26" s="139">
        <v>6</v>
      </c>
      <c r="B26" s="241" t="s">
        <v>269</v>
      </c>
      <c r="C26" s="241">
        <v>2658</v>
      </c>
      <c r="D26" s="241">
        <v>2658</v>
      </c>
      <c r="AF26">
        <v>25</v>
      </c>
      <c r="AG26" s="398">
        <v>46813</v>
      </c>
    </row>
    <row r="27" spans="1:33" x14ac:dyDescent="0.2">
      <c r="A27" s="139">
        <v>7</v>
      </c>
      <c r="B27" s="241" t="s">
        <v>270</v>
      </c>
      <c r="C27" s="241">
        <v>2652</v>
      </c>
      <c r="D27" s="241">
        <v>2652</v>
      </c>
      <c r="AF27">
        <v>26</v>
      </c>
      <c r="AG27" s="398">
        <v>46844</v>
      </c>
    </row>
    <row r="28" spans="1:33" x14ac:dyDescent="0.2">
      <c r="A28" s="128"/>
      <c r="B28" s="243"/>
      <c r="C28" s="241">
        <f t="shared" ref="C28:D28" si="2">SUM(C21:C27)</f>
        <v>17025</v>
      </c>
      <c r="D28" s="241">
        <f t="shared" si="2"/>
        <v>17025</v>
      </c>
      <c r="AF28">
        <v>27</v>
      </c>
      <c r="AG28" s="398">
        <v>46874</v>
      </c>
    </row>
    <row r="29" spans="1:33" x14ac:dyDescent="0.2">
      <c r="AF29">
        <v>28</v>
      </c>
      <c r="AG29" s="398">
        <v>46905</v>
      </c>
    </row>
    <row r="30" spans="1:33" x14ac:dyDescent="0.2">
      <c r="AF30">
        <v>29</v>
      </c>
      <c r="AG30" s="398">
        <v>46935</v>
      </c>
    </row>
    <row r="31" spans="1:33" x14ac:dyDescent="0.2">
      <c r="AF31">
        <v>30</v>
      </c>
      <c r="AG31" s="398">
        <v>46966</v>
      </c>
    </row>
    <row r="32" spans="1:33" x14ac:dyDescent="0.2">
      <c r="AF32">
        <v>31</v>
      </c>
      <c r="AG32" s="398">
        <v>46997</v>
      </c>
    </row>
    <row r="33" spans="32:33" x14ac:dyDescent="0.2">
      <c r="AF33">
        <v>32</v>
      </c>
      <c r="AG33" s="398">
        <v>47027</v>
      </c>
    </row>
    <row r="34" spans="32:33" x14ac:dyDescent="0.2">
      <c r="AF34">
        <v>33</v>
      </c>
      <c r="AG34" s="398">
        <v>47058</v>
      </c>
    </row>
    <row r="35" spans="32:33" x14ac:dyDescent="0.2">
      <c r="AF35">
        <v>34</v>
      </c>
      <c r="AG35" s="398">
        <v>47088</v>
      </c>
    </row>
    <row r="36" spans="32:33" x14ac:dyDescent="0.2">
      <c r="AF36">
        <v>35</v>
      </c>
      <c r="AG36" s="398">
        <v>47119</v>
      </c>
    </row>
  </sheetData>
  <mergeCells count="1">
    <mergeCell ref="T11:U11"/>
  </mergeCells>
  <dataValidations count="1">
    <dataValidation type="custom" allowBlank="1" showDropDown="1" sqref="B3:C15" xr:uid="{26F6BCF3-C2C9-4791-AC4F-99BE83000229}">
      <formula1>AND(ISNUMBER(B3),(NOT(OR(NOT(ISERROR(DATEVALUE(B3))), AND(ISNUMBER(B3), LEFT(CELL("format", B3))="D")))))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00DF6-51C3-D54D-A5D4-263674C3D3DD}">
  <sheetPr codeName="Sheet3">
    <tabColor rgb="FF059669"/>
  </sheetPr>
  <dimension ref="A1:P5005"/>
  <sheetViews>
    <sheetView showGridLines="0" tabSelected="1" zoomScaleNormal="100" workbookViewId="0">
      <pane xSplit="2" ySplit="8" topLeftCell="C614" activePane="bottomRight" state="frozen"/>
      <selection pane="topRight" activeCell="C1" sqref="C1"/>
      <selection pane="bottomLeft" activeCell="A5" sqref="A5"/>
      <selection pane="bottomRight" activeCell="A622" sqref="A622:XFD622"/>
    </sheetView>
  </sheetViews>
  <sheetFormatPr baseColWidth="10" defaultColWidth="8.5" defaultRowHeight="15" outlineLevelRow="1" x14ac:dyDescent="0.2"/>
  <cols>
    <col min="1" max="1" width="0.83203125" style="251" customWidth="1"/>
    <col min="2" max="2" width="1.5" style="251" customWidth="1"/>
    <col min="3" max="3" width="12" style="252" customWidth="1"/>
    <col min="4" max="4" width="22" style="248" customWidth="1"/>
    <col min="5" max="5" width="10" style="251" customWidth="1"/>
    <col min="6" max="6" width="15" style="251" customWidth="1"/>
    <col min="7" max="7" width="16" style="251" customWidth="1"/>
    <col min="8" max="9" width="14" style="261" customWidth="1"/>
    <col min="10" max="10" width="12" style="251" customWidth="1"/>
    <col min="11" max="11" width="16" style="251" customWidth="1"/>
    <col min="12" max="12" width="11.33203125" style="251" customWidth="1"/>
    <col min="13" max="13" width="8" style="259" customWidth="1"/>
    <col min="14" max="15" width="8.5" style="251"/>
    <col min="16" max="16" width="27.6640625" style="251" customWidth="1"/>
    <col min="17" max="16384" width="8.5" style="251"/>
  </cols>
  <sheetData>
    <row r="1" spans="3:16" ht="20" customHeight="1" thickBot="1" x14ac:dyDescent="0.25">
      <c r="C1" s="373" t="s">
        <v>163</v>
      </c>
      <c r="D1" s="373" t="s">
        <v>164</v>
      </c>
      <c r="E1" s="348"/>
      <c r="F1" s="373" t="s">
        <v>166</v>
      </c>
      <c r="G1" s="373" t="s">
        <v>3</v>
      </c>
      <c r="H1" s="377" t="s">
        <v>167</v>
      </c>
      <c r="I1" s="369"/>
      <c r="J1" s="373" t="s">
        <v>169</v>
      </c>
      <c r="K1" s="373" t="s">
        <v>170</v>
      </c>
      <c r="L1" s="348"/>
      <c r="N1" s="348"/>
      <c r="O1" s="378"/>
      <c r="P1"/>
    </row>
    <row r="2" spans="3:16" ht="20" customHeight="1" x14ac:dyDescent="0.2">
      <c r="C2" s="382"/>
      <c r="D2" s="390"/>
      <c r="E2" s="384"/>
      <c r="F2" s="376"/>
      <c r="G2" s="376"/>
      <c r="H2" s="389"/>
      <c r="I2" s="389"/>
      <c r="J2" s="376"/>
      <c r="K2" s="385"/>
      <c r="L2" s="348"/>
      <c r="N2" s="348"/>
      <c r="O2" s="378"/>
      <c r="P2" s="379"/>
    </row>
    <row r="3" spans="3:16" ht="20" customHeight="1" x14ac:dyDescent="0.2">
      <c r="C3" s="382"/>
      <c r="D3" s="383"/>
      <c r="E3" s="384"/>
      <c r="F3" s="376"/>
      <c r="G3" s="376"/>
      <c r="H3" s="389"/>
      <c r="I3" s="389"/>
      <c r="J3" s="376"/>
      <c r="K3" s="385"/>
      <c r="L3" s="348"/>
      <c r="N3" s="348"/>
      <c r="O3" s="378"/>
      <c r="P3" s="379"/>
    </row>
    <row r="4" spans="3:16" ht="20" customHeight="1" x14ac:dyDescent="0.2">
      <c r="C4" s="382"/>
      <c r="D4" s="383"/>
      <c r="E4" s="384"/>
      <c r="F4" s="376"/>
      <c r="G4" s="376"/>
      <c r="H4" s="389"/>
      <c r="I4" s="389"/>
      <c r="J4" s="376"/>
      <c r="K4" s="385"/>
      <c r="L4" s="348"/>
      <c r="N4" s="348"/>
      <c r="O4" s="378"/>
      <c r="P4" s="379"/>
    </row>
    <row r="5" spans="3:16" ht="20" customHeight="1" x14ac:dyDescent="0.2">
      <c r="C5" s="382"/>
      <c r="D5" s="383"/>
      <c r="E5" s="384"/>
      <c r="F5" s="376"/>
      <c r="G5" s="376"/>
      <c r="H5" s="389"/>
      <c r="I5" s="389"/>
      <c r="J5" s="376"/>
      <c r="K5" s="385"/>
      <c r="L5" s="381"/>
      <c r="M5" s="381"/>
      <c r="N5" s="348"/>
      <c r="O5" s="378"/>
      <c r="P5" s="378"/>
    </row>
    <row r="6" spans="3:16" ht="20" customHeight="1" x14ac:dyDescent="0.2">
      <c r="C6" s="249"/>
      <c r="D6" s="249"/>
      <c r="E6" s="249"/>
      <c r="F6" s="249" t="s">
        <v>271</v>
      </c>
      <c r="G6" s="249"/>
      <c r="H6" s="250"/>
      <c r="I6" s="250"/>
      <c r="J6" s="249"/>
      <c r="K6" s="249"/>
      <c r="L6" s="249"/>
      <c r="M6" s="249"/>
      <c r="N6" s="348"/>
      <c r="O6" s="378"/>
      <c r="P6" s="378"/>
    </row>
    <row r="7" spans="3:16" ht="20" customHeight="1" x14ac:dyDescent="0.2">
      <c r="E7" s="348"/>
      <c r="F7" s="348"/>
      <c r="G7" s="348"/>
      <c r="H7" s="369"/>
      <c r="I7" s="369">
        <f>SUM(Table1[Net])</f>
        <v>14208.979999999778</v>
      </c>
      <c r="J7" s="348"/>
      <c r="K7" s="348"/>
      <c r="L7" s="348"/>
      <c r="N7" s="348"/>
      <c r="O7" s="378"/>
      <c r="P7" s="380"/>
    </row>
    <row r="8" spans="3:16" ht="20" customHeight="1" x14ac:dyDescent="0.2">
      <c r="C8" s="256" t="s">
        <v>163</v>
      </c>
      <c r="D8" s="256" t="s">
        <v>164</v>
      </c>
      <c r="E8" s="256" t="s">
        <v>165</v>
      </c>
      <c r="F8" s="256" t="s">
        <v>166</v>
      </c>
      <c r="G8" s="256" t="s">
        <v>3</v>
      </c>
      <c r="H8" s="262" t="s">
        <v>167</v>
      </c>
      <c r="I8" s="262" t="s">
        <v>168</v>
      </c>
      <c r="J8" s="256" t="s">
        <v>169</v>
      </c>
      <c r="K8" s="256" t="s">
        <v>170</v>
      </c>
      <c r="L8" s="256" t="s">
        <v>272</v>
      </c>
      <c r="M8" s="259" t="s">
        <v>273</v>
      </c>
      <c r="N8" s="348"/>
      <c r="O8" s="378"/>
      <c r="P8" s="380"/>
    </row>
    <row r="9" spans="3:16" ht="19.5" hidden="1" customHeight="1" outlineLevel="1" x14ac:dyDescent="0.2">
      <c r="C9" s="252">
        <v>44439</v>
      </c>
      <c r="D9" s="248" t="s">
        <v>22</v>
      </c>
      <c r="E9" s="263">
        <f t="shared" ref="E9:E72" si="0">IFERROR(YEAR(C9),"")</f>
        <v>2021</v>
      </c>
      <c r="F9" s="253" t="s">
        <v>274</v>
      </c>
      <c r="G9" s="264" t="s">
        <v>22</v>
      </c>
      <c r="H9" s="268">
        <f>Cashflow!H7</f>
        <v>-76407.019999999786</v>
      </c>
      <c r="I9" s="268">
        <f>IF(Table1[[#This Row],[TYPE]]="Income",Table1[[#This Row],[AMOUNT (₹)]],-Table1[[#This Row],[AMOUNT (₹)]])</f>
        <v>76407.019999999786</v>
      </c>
      <c r="J9" s="265" t="s">
        <v>275</v>
      </c>
      <c r="K9" s="348"/>
      <c r="L9" s="265">
        <f t="shared" ref="L9:L72" si="1">IFERROR(IF(MONTH(C9)&lt;=3,YEAR(C9)-1,YEAR(C9)),"")</f>
        <v>2021</v>
      </c>
      <c r="M9" s="259">
        <f ca="1">IF(L9="","",COUNTIF($L$9:INDIRECT("K"&amp;ROW()),L9))</f>
        <v>1</v>
      </c>
      <c r="N9" s="260"/>
      <c r="O9" s="348"/>
      <c r="P9" s="348"/>
    </row>
    <row r="10" spans="3:16" ht="19.5" hidden="1" customHeight="1" outlineLevel="1" x14ac:dyDescent="0.2">
      <c r="C10" s="252">
        <v>44441</v>
      </c>
      <c r="D10" s="248" t="s">
        <v>276</v>
      </c>
      <c r="E10" s="263">
        <f t="shared" si="0"/>
        <v>2021</v>
      </c>
      <c r="F10" s="267" t="s">
        <v>277</v>
      </c>
      <c r="G10" s="267" t="s">
        <v>112</v>
      </c>
      <c r="H10" s="268">
        <v>44000</v>
      </c>
      <c r="I10" s="268">
        <f>IF(Table1[[#This Row],[TYPE]]="Income",Table1[[#This Row],[AMOUNT (₹)]],-Table1[[#This Row],[AMOUNT (₹)]])</f>
        <v>44000</v>
      </c>
      <c r="J10" s="265"/>
      <c r="K10" s="370"/>
      <c r="L10" s="265">
        <f t="shared" si="1"/>
        <v>2021</v>
      </c>
      <c r="M10" s="259">
        <f ca="1">IF(L10="","",COUNTIF($L$9:INDIRECT("K"&amp;ROW()),L10))</f>
        <v>2</v>
      </c>
      <c r="N10" s="260"/>
      <c r="O10" s="348"/>
      <c r="P10" s="348"/>
    </row>
    <row r="11" spans="3:16" ht="19.5" hidden="1" customHeight="1" outlineLevel="1" x14ac:dyDescent="0.2">
      <c r="C11" s="252">
        <v>44441</v>
      </c>
      <c r="D11" s="248" t="s">
        <v>278</v>
      </c>
      <c r="E11" s="263">
        <f t="shared" si="0"/>
        <v>2021</v>
      </c>
      <c r="F11" s="266" t="s">
        <v>274</v>
      </c>
      <c r="G11" s="265" t="s">
        <v>92</v>
      </c>
      <c r="H11" s="369">
        <v>20000</v>
      </c>
      <c r="I11" s="369">
        <f>IF(Table1[[#This Row],[TYPE]]="Income",Table1[[#This Row],[AMOUNT (₹)]],-Table1[[#This Row],[AMOUNT (₹)]])</f>
        <v>-20000</v>
      </c>
      <c r="J11" s="265"/>
      <c r="K11" s="348"/>
      <c r="L11" s="265">
        <f t="shared" si="1"/>
        <v>2021</v>
      </c>
      <c r="M11" s="259">
        <f ca="1">IF(L11="","",COUNTIF($L$9:INDIRECT("K"&amp;ROW()),L11))</f>
        <v>3</v>
      </c>
      <c r="N11" s="348"/>
      <c r="O11" s="348"/>
      <c r="P11" s="348"/>
    </row>
    <row r="12" spans="3:16" ht="19.5" hidden="1" customHeight="1" outlineLevel="1" x14ac:dyDescent="0.2">
      <c r="C12" s="252">
        <v>44454</v>
      </c>
      <c r="D12" s="248" t="s">
        <v>279</v>
      </c>
      <c r="E12" s="263">
        <f t="shared" si="0"/>
        <v>2021</v>
      </c>
      <c r="F12" s="266" t="s">
        <v>274</v>
      </c>
      <c r="G12" s="265" t="s">
        <v>82</v>
      </c>
      <c r="H12" s="369">
        <v>3500</v>
      </c>
      <c r="I12" s="369">
        <f>IF(Table1[[#This Row],[TYPE]]="Income",Table1[[#This Row],[AMOUNT (₹)]],-Table1[[#This Row],[AMOUNT (₹)]])</f>
        <v>-3500</v>
      </c>
      <c r="J12" s="265"/>
      <c r="K12" s="348"/>
      <c r="L12" s="265">
        <f t="shared" si="1"/>
        <v>2021</v>
      </c>
      <c r="M12" s="259">
        <f ca="1">IF(L12="","",COUNTIF($L$9:INDIRECT("K"&amp;ROW()),L12))</f>
        <v>4</v>
      </c>
      <c r="N12" s="348"/>
      <c r="O12" s="348"/>
      <c r="P12" s="348"/>
    </row>
    <row r="13" spans="3:16" ht="19.5" hidden="1" customHeight="1" outlineLevel="1" x14ac:dyDescent="0.2">
      <c r="C13" s="252">
        <v>44460</v>
      </c>
      <c r="D13" s="248" t="s">
        <v>280</v>
      </c>
      <c r="E13" s="263">
        <f t="shared" si="0"/>
        <v>2021</v>
      </c>
      <c r="F13" s="267" t="s">
        <v>274</v>
      </c>
      <c r="G13" s="267" t="s">
        <v>88</v>
      </c>
      <c r="H13" s="268">
        <v>3000</v>
      </c>
      <c r="I13" s="268">
        <f>IF(Table1[[#This Row],[TYPE]]="Income",Table1[[#This Row],[AMOUNT (₹)]],-Table1[[#This Row],[AMOUNT (₹)]])</f>
        <v>-3000</v>
      </c>
      <c r="J13" s="265"/>
      <c r="K13" s="370"/>
      <c r="L13" s="265">
        <f t="shared" si="1"/>
        <v>2021</v>
      </c>
      <c r="M13" s="259">
        <f ca="1">IF(L13="","",COUNTIF($L$9:INDIRECT("K"&amp;ROW()),L13))</f>
        <v>5</v>
      </c>
      <c r="N13" s="348"/>
      <c r="O13" s="348"/>
      <c r="P13" s="348"/>
    </row>
    <row r="14" spans="3:16" ht="19.5" hidden="1" customHeight="1" outlineLevel="1" x14ac:dyDescent="0.2">
      <c r="C14" s="252">
        <v>44463</v>
      </c>
      <c r="D14" s="248" t="s">
        <v>281</v>
      </c>
      <c r="E14" s="263">
        <f t="shared" si="0"/>
        <v>2021</v>
      </c>
      <c r="F14" s="266" t="s">
        <v>274</v>
      </c>
      <c r="G14" s="265" t="s">
        <v>82</v>
      </c>
      <c r="H14" s="369">
        <v>7000</v>
      </c>
      <c r="I14" s="369">
        <f>IF(Table1[[#This Row],[TYPE]]="Income",Table1[[#This Row],[AMOUNT (₹)]],-Table1[[#This Row],[AMOUNT (₹)]])</f>
        <v>-7000</v>
      </c>
      <c r="J14" s="265"/>
      <c r="K14" s="348"/>
      <c r="L14" s="265">
        <f t="shared" si="1"/>
        <v>2021</v>
      </c>
      <c r="M14" s="259">
        <f ca="1">IF(L14="","",COUNTIF($L$9:INDIRECT("K"&amp;ROW()),L14))</f>
        <v>6</v>
      </c>
      <c r="N14" s="348"/>
      <c r="O14" s="348"/>
      <c r="P14" s="348"/>
    </row>
    <row r="15" spans="3:16" ht="19.5" hidden="1" customHeight="1" outlineLevel="1" x14ac:dyDescent="0.2">
      <c r="C15" s="252">
        <v>44469</v>
      </c>
      <c r="D15" s="248" t="s">
        <v>282</v>
      </c>
      <c r="E15" s="263">
        <f t="shared" si="0"/>
        <v>2021</v>
      </c>
      <c r="F15" s="266" t="s">
        <v>277</v>
      </c>
      <c r="G15" s="265" t="s">
        <v>111</v>
      </c>
      <c r="H15" s="369">
        <v>25316</v>
      </c>
      <c r="I15" s="369">
        <f>IF(Table1[[#This Row],[TYPE]]="Income",Table1[[#This Row],[AMOUNT (₹)]],-Table1[[#This Row],[AMOUNT (₹)]])</f>
        <v>25316</v>
      </c>
      <c r="J15" s="265"/>
      <c r="K15" s="348"/>
      <c r="L15" s="265">
        <f t="shared" si="1"/>
        <v>2021</v>
      </c>
      <c r="M15" s="259">
        <f ca="1">IF(L15="","",COUNTIF($L$9:INDIRECT("K"&amp;ROW()),L15))</f>
        <v>7</v>
      </c>
      <c r="N15" s="348"/>
      <c r="O15" s="348"/>
      <c r="P15" s="348"/>
    </row>
    <row r="16" spans="3:16" ht="19.5" hidden="1" customHeight="1" outlineLevel="1" x14ac:dyDescent="0.2">
      <c r="C16" s="252">
        <v>44470</v>
      </c>
      <c r="D16" s="248" t="s">
        <v>283</v>
      </c>
      <c r="E16" s="263">
        <f t="shared" si="0"/>
        <v>2021</v>
      </c>
      <c r="F16" s="266" t="s">
        <v>274</v>
      </c>
      <c r="G16" s="265" t="s">
        <v>92</v>
      </c>
      <c r="H16" s="369">
        <v>2500</v>
      </c>
      <c r="I16" s="369">
        <f>IF(Table1[[#This Row],[TYPE]]="Income",Table1[[#This Row],[AMOUNT (₹)]],-Table1[[#This Row],[AMOUNT (₹)]])</f>
        <v>-2500</v>
      </c>
      <c r="J16" s="265"/>
      <c r="K16" s="348"/>
      <c r="L16" s="265">
        <f t="shared" si="1"/>
        <v>2021</v>
      </c>
      <c r="M16" s="259">
        <f ca="1">IF(L16="","",COUNTIF($L$9:INDIRECT("K"&amp;ROW()),L16))</f>
        <v>8</v>
      </c>
      <c r="N16" s="348"/>
      <c r="O16" s="348"/>
      <c r="P16" s="348"/>
    </row>
    <row r="17" spans="3:14" ht="19.5" hidden="1" customHeight="1" outlineLevel="1" x14ac:dyDescent="0.2">
      <c r="C17" s="252">
        <v>44474</v>
      </c>
      <c r="D17" s="248" t="s">
        <v>284</v>
      </c>
      <c r="E17" s="263">
        <f t="shared" si="0"/>
        <v>2021</v>
      </c>
      <c r="F17" s="266" t="s">
        <v>274</v>
      </c>
      <c r="G17" s="265" t="s">
        <v>82</v>
      </c>
      <c r="H17" s="369">
        <v>3000</v>
      </c>
      <c r="I17" s="369">
        <f>IF(Table1[[#This Row],[TYPE]]="Income",Table1[[#This Row],[AMOUNT (₹)]],-Table1[[#This Row],[AMOUNT (₹)]])</f>
        <v>-3000</v>
      </c>
      <c r="J17" s="265"/>
      <c r="K17" s="348"/>
      <c r="L17" s="265">
        <f t="shared" si="1"/>
        <v>2021</v>
      </c>
      <c r="M17" s="259">
        <f ca="1">IF(L17="","",COUNTIF($L$9:INDIRECT("K"&amp;ROW()),L17))</f>
        <v>9</v>
      </c>
      <c r="N17" s="348"/>
    </row>
    <row r="18" spans="3:14" ht="19.5" hidden="1" customHeight="1" outlineLevel="1" x14ac:dyDescent="0.2">
      <c r="C18" s="252">
        <v>44475</v>
      </c>
      <c r="D18" s="248" t="s">
        <v>285</v>
      </c>
      <c r="E18" s="263">
        <f t="shared" si="0"/>
        <v>2021</v>
      </c>
      <c r="F18" s="266" t="s">
        <v>274</v>
      </c>
      <c r="G18" s="265" t="s">
        <v>82</v>
      </c>
      <c r="H18" s="369">
        <v>650</v>
      </c>
      <c r="I18" s="369">
        <f>IF(Table1[[#This Row],[TYPE]]="Income",Table1[[#This Row],[AMOUNT (₹)]],-Table1[[#This Row],[AMOUNT (₹)]])</f>
        <v>-650</v>
      </c>
      <c r="J18" s="265"/>
      <c r="K18" s="348"/>
      <c r="L18" s="265">
        <f t="shared" si="1"/>
        <v>2021</v>
      </c>
      <c r="M18" s="259">
        <f ca="1">IF(L18="","",COUNTIF($L$9:INDIRECT("K"&amp;ROW()),L18))</f>
        <v>10</v>
      </c>
      <c r="N18" s="348"/>
    </row>
    <row r="19" spans="3:14" ht="19.5" hidden="1" customHeight="1" outlineLevel="1" x14ac:dyDescent="0.2">
      <c r="C19" s="252">
        <v>44477</v>
      </c>
      <c r="D19" s="248" t="s">
        <v>286</v>
      </c>
      <c r="E19" s="263">
        <f t="shared" si="0"/>
        <v>2021</v>
      </c>
      <c r="F19" s="266" t="s">
        <v>274</v>
      </c>
      <c r="G19" s="265" t="s">
        <v>82</v>
      </c>
      <c r="H19" s="369">
        <v>10000</v>
      </c>
      <c r="I19" s="369">
        <f>IF(Table1[[#This Row],[TYPE]]="Income",Table1[[#This Row],[AMOUNT (₹)]],-Table1[[#This Row],[AMOUNT (₹)]])</f>
        <v>-10000</v>
      </c>
      <c r="J19" s="265"/>
      <c r="K19" s="348"/>
      <c r="L19" s="265">
        <f t="shared" si="1"/>
        <v>2021</v>
      </c>
      <c r="M19" s="259">
        <f ca="1">IF(L19="","",COUNTIF($L$9:INDIRECT("K"&amp;ROW()),L19))</f>
        <v>11</v>
      </c>
      <c r="N19" s="348"/>
    </row>
    <row r="20" spans="3:14" ht="19.5" hidden="1" customHeight="1" outlineLevel="1" x14ac:dyDescent="0.2">
      <c r="C20" s="252">
        <v>44480</v>
      </c>
      <c r="D20" s="248" t="s">
        <v>287</v>
      </c>
      <c r="E20" s="263">
        <f t="shared" si="0"/>
        <v>2021</v>
      </c>
      <c r="F20" s="266" t="s">
        <v>274</v>
      </c>
      <c r="G20" s="265" t="s">
        <v>82</v>
      </c>
      <c r="H20" s="369">
        <v>10000</v>
      </c>
      <c r="I20" s="369">
        <f>IF(Table1[[#This Row],[TYPE]]="Income",Table1[[#This Row],[AMOUNT (₹)]],-Table1[[#This Row],[AMOUNT (₹)]])</f>
        <v>-10000</v>
      </c>
      <c r="J20" s="265"/>
      <c r="K20" s="348"/>
      <c r="L20" s="265">
        <f t="shared" si="1"/>
        <v>2021</v>
      </c>
      <c r="M20" s="259">
        <f ca="1">IF(L20="","",COUNTIF($L$9:INDIRECT("K"&amp;ROW()),L20))</f>
        <v>12</v>
      </c>
      <c r="N20" s="348"/>
    </row>
    <row r="21" spans="3:14" ht="19.5" hidden="1" customHeight="1" outlineLevel="1" x14ac:dyDescent="0.2">
      <c r="C21" s="252">
        <v>44490</v>
      </c>
      <c r="D21" s="248" t="s">
        <v>288</v>
      </c>
      <c r="E21" s="263">
        <f t="shared" si="0"/>
        <v>2021</v>
      </c>
      <c r="F21" s="266" t="s">
        <v>274</v>
      </c>
      <c r="G21" s="265" t="s">
        <v>94</v>
      </c>
      <c r="H21" s="369">
        <v>1060</v>
      </c>
      <c r="I21" s="369">
        <f>IF(Table1[[#This Row],[TYPE]]="Income",Table1[[#This Row],[AMOUNT (₹)]],-Table1[[#This Row],[AMOUNT (₹)]])</f>
        <v>-1060</v>
      </c>
      <c r="J21" s="265"/>
      <c r="K21" s="348"/>
      <c r="L21" s="265">
        <f t="shared" si="1"/>
        <v>2021</v>
      </c>
      <c r="M21" s="259">
        <f ca="1">IF(L21="","",COUNTIF($L$9:INDIRECT("K"&amp;ROW()),L21))</f>
        <v>13</v>
      </c>
      <c r="N21" s="348"/>
    </row>
    <row r="22" spans="3:14" ht="19.5" hidden="1" customHeight="1" outlineLevel="1" x14ac:dyDescent="0.2">
      <c r="C22" s="252">
        <v>44503</v>
      </c>
      <c r="D22" s="248" t="s">
        <v>289</v>
      </c>
      <c r="E22" s="263">
        <f t="shared" si="0"/>
        <v>2021</v>
      </c>
      <c r="F22" s="266" t="s">
        <v>274</v>
      </c>
      <c r="G22" s="265" t="s">
        <v>82</v>
      </c>
      <c r="H22" s="369">
        <v>5000</v>
      </c>
      <c r="I22" s="369">
        <f>IF(Table1[[#This Row],[TYPE]]="Income",Table1[[#This Row],[AMOUNT (₹)]],-Table1[[#This Row],[AMOUNT (₹)]])</f>
        <v>-5000</v>
      </c>
      <c r="J22" s="265"/>
      <c r="K22" s="348"/>
      <c r="L22" s="265">
        <f t="shared" si="1"/>
        <v>2021</v>
      </c>
      <c r="M22" s="259">
        <f ca="1">IF(L22="","",COUNTIF($L$9:INDIRECT("K"&amp;ROW()),L22))</f>
        <v>14</v>
      </c>
      <c r="N22" s="348"/>
    </row>
    <row r="23" spans="3:14" ht="19.5" hidden="1" customHeight="1" outlineLevel="1" x14ac:dyDescent="0.2">
      <c r="C23" s="252">
        <v>44513</v>
      </c>
      <c r="D23" s="248" t="s">
        <v>290</v>
      </c>
      <c r="E23" s="263">
        <f t="shared" si="0"/>
        <v>2021</v>
      </c>
      <c r="F23" s="266" t="s">
        <v>274</v>
      </c>
      <c r="G23" s="265" t="s">
        <v>82</v>
      </c>
      <c r="H23" s="369">
        <v>7000</v>
      </c>
      <c r="I23" s="369">
        <f>IF(Table1[[#This Row],[TYPE]]="Income",Table1[[#This Row],[AMOUNT (₹)]],-Table1[[#This Row],[AMOUNT (₹)]])</f>
        <v>-7000</v>
      </c>
      <c r="J23" s="265"/>
      <c r="K23" s="348"/>
      <c r="L23" s="265">
        <f t="shared" si="1"/>
        <v>2021</v>
      </c>
      <c r="M23" s="259">
        <f ca="1">IF(L23="","",COUNTIF($L$9:INDIRECT("K"&amp;ROW()),L23))</f>
        <v>15</v>
      </c>
      <c r="N23" s="348"/>
    </row>
    <row r="24" spans="3:14" ht="19.5" hidden="1" customHeight="1" outlineLevel="1" x14ac:dyDescent="0.2">
      <c r="C24" s="252">
        <v>44517</v>
      </c>
      <c r="D24" s="248" t="s">
        <v>291</v>
      </c>
      <c r="E24" s="263">
        <f t="shared" si="0"/>
        <v>2021</v>
      </c>
      <c r="F24" s="266" t="s">
        <v>274</v>
      </c>
      <c r="G24" s="265" t="s">
        <v>82</v>
      </c>
      <c r="H24" s="369">
        <v>500</v>
      </c>
      <c r="I24" s="369">
        <f>IF(Table1[[#This Row],[TYPE]]="Income",Table1[[#This Row],[AMOUNT (₹)]],-Table1[[#This Row],[AMOUNT (₹)]])</f>
        <v>-500</v>
      </c>
      <c r="J24" s="265"/>
      <c r="K24" s="348"/>
      <c r="L24" s="265">
        <f t="shared" si="1"/>
        <v>2021</v>
      </c>
      <c r="M24" s="259">
        <f ca="1">IF(L24="","",COUNTIF($L$9:INDIRECT("K"&amp;ROW()),L24))</f>
        <v>16</v>
      </c>
      <c r="N24" s="348"/>
    </row>
    <row r="25" spans="3:14" ht="19.5" hidden="1" customHeight="1" outlineLevel="1" x14ac:dyDescent="0.2">
      <c r="C25" s="252">
        <v>44518</v>
      </c>
      <c r="D25" s="248" t="s">
        <v>292</v>
      </c>
      <c r="E25" s="263">
        <f t="shared" si="0"/>
        <v>2021</v>
      </c>
      <c r="F25" s="266" t="s">
        <v>274</v>
      </c>
      <c r="G25" s="265" t="s">
        <v>92</v>
      </c>
      <c r="H25" s="369">
        <v>600</v>
      </c>
      <c r="I25" s="369">
        <f>IF(Table1[[#This Row],[TYPE]]="Income",Table1[[#This Row],[AMOUNT (₹)]],-Table1[[#This Row],[AMOUNT (₹)]])</f>
        <v>-600</v>
      </c>
      <c r="J25" s="265"/>
      <c r="K25" s="348"/>
      <c r="L25" s="265">
        <f t="shared" si="1"/>
        <v>2021</v>
      </c>
      <c r="M25" s="259">
        <f ca="1">IF(L25="","",COUNTIF($L$9:INDIRECT("K"&amp;ROW()),L25))</f>
        <v>17</v>
      </c>
      <c r="N25" s="348"/>
    </row>
    <row r="26" spans="3:14" ht="19.5" hidden="1" customHeight="1" outlineLevel="1" x14ac:dyDescent="0.2">
      <c r="C26" s="252">
        <v>44530</v>
      </c>
      <c r="D26" s="248" t="s">
        <v>293</v>
      </c>
      <c r="E26" s="263">
        <f t="shared" si="0"/>
        <v>2021</v>
      </c>
      <c r="F26" s="266" t="s">
        <v>277</v>
      </c>
      <c r="G26" s="265" t="s">
        <v>111</v>
      </c>
      <c r="H26" s="369">
        <v>26000</v>
      </c>
      <c r="I26" s="369">
        <f>IF(Table1[[#This Row],[TYPE]]="Income",Table1[[#This Row],[AMOUNT (₹)]],-Table1[[#This Row],[AMOUNT (₹)]])</f>
        <v>26000</v>
      </c>
      <c r="J26" s="265"/>
      <c r="K26" s="348"/>
      <c r="L26" s="265">
        <f t="shared" si="1"/>
        <v>2021</v>
      </c>
      <c r="M26" s="259">
        <f ca="1">IF(L26="","",COUNTIF($L$9:INDIRECT("K"&amp;ROW()),L26))</f>
        <v>18</v>
      </c>
      <c r="N26" s="348"/>
    </row>
    <row r="27" spans="3:14" ht="19.5" hidden="1" customHeight="1" outlineLevel="1" x14ac:dyDescent="0.2">
      <c r="C27" s="252">
        <v>44530</v>
      </c>
      <c r="D27" s="248" t="s">
        <v>294</v>
      </c>
      <c r="E27" s="263">
        <f t="shared" si="0"/>
        <v>2021</v>
      </c>
      <c r="F27" s="266" t="s">
        <v>277</v>
      </c>
      <c r="G27" s="265" t="s">
        <v>111</v>
      </c>
      <c r="H27" s="369">
        <v>26000</v>
      </c>
      <c r="I27" s="369">
        <f>IF(Table1[[#This Row],[TYPE]]="Income",Table1[[#This Row],[AMOUNT (₹)]],-Table1[[#This Row],[AMOUNT (₹)]])</f>
        <v>26000</v>
      </c>
      <c r="J27" s="265"/>
      <c r="K27" s="348"/>
      <c r="L27" s="265">
        <f t="shared" si="1"/>
        <v>2021</v>
      </c>
      <c r="M27" s="259">
        <f ca="1">IF(L27="","",COUNTIF($L$9:INDIRECT("K"&amp;ROW()),L27))</f>
        <v>19</v>
      </c>
      <c r="N27" s="348"/>
    </row>
    <row r="28" spans="3:14" ht="19.5" hidden="1" customHeight="1" outlineLevel="1" x14ac:dyDescent="0.2">
      <c r="C28" s="252">
        <v>44531</v>
      </c>
      <c r="D28" s="248" t="s">
        <v>295</v>
      </c>
      <c r="E28" s="263">
        <f t="shared" si="0"/>
        <v>2021</v>
      </c>
      <c r="F28" s="266" t="s">
        <v>274</v>
      </c>
      <c r="G28" s="265" t="s">
        <v>86</v>
      </c>
      <c r="H28" s="369">
        <v>200</v>
      </c>
      <c r="I28" s="369">
        <f>IF(Table1[[#This Row],[TYPE]]="Income",Table1[[#This Row],[AMOUNT (₹)]],-Table1[[#This Row],[AMOUNT (₹)]])</f>
        <v>-200</v>
      </c>
      <c r="J28" s="265"/>
      <c r="K28" s="348"/>
      <c r="L28" s="265">
        <f t="shared" si="1"/>
        <v>2021</v>
      </c>
      <c r="M28" s="259">
        <f ca="1">IF(L28="","",COUNTIF($L$9:INDIRECT("K"&amp;ROW()),L28))</f>
        <v>20</v>
      </c>
      <c r="N28" s="348"/>
    </row>
    <row r="29" spans="3:14" ht="19.5" hidden="1" customHeight="1" outlineLevel="1" x14ac:dyDescent="0.2">
      <c r="C29" s="252">
        <v>44532</v>
      </c>
      <c r="D29" s="248" t="s">
        <v>296</v>
      </c>
      <c r="E29" s="263">
        <f t="shared" si="0"/>
        <v>2021</v>
      </c>
      <c r="F29" s="266" t="s">
        <v>274</v>
      </c>
      <c r="G29" s="265" t="s">
        <v>82</v>
      </c>
      <c r="H29" s="369">
        <v>500</v>
      </c>
      <c r="I29" s="369">
        <f>IF(Table1[[#This Row],[TYPE]]="Income",Table1[[#This Row],[AMOUNT (₹)]],-Table1[[#This Row],[AMOUNT (₹)]])</f>
        <v>-500</v>
      </c>
      <c r="J29" s="265"/>
      <c r="K29" s="348"/>
      <c r="L29" s="265">
        <f t="shared" si="1"/>
        <v>2021</v>
      </c>
      <c r="M29" s="259">
        <f ca="1">IF(L29="","",COUNTIF($L$9:INDIRECT("K"&amp;ROW()),L29))</f>
        <v>21</v>
      </c>
      <c r="N29" s="348"/>
    </row>
    <row r="30" spans="3:14" ht="19.5" hidden="1" customHeight="1" outlineLevel="1" x14ac:dyDescent="0.2">
      <c r="C30" s="252">
        <v>44532</v>
      </c>
      <c r="D30" s="248" t="s">
        <v>297</v>
      </c>
      <c r="E30" s="263">
        <f t="shared" si="0"/>
        <v>2021</v>
      </c>
      <c r="F30" s="267" t="s">
        <v>274</v>
      </c>
      <c r="G30" s="267" t="s">
        <v>88</v>
      </c>
      <c r="H30" s="268">
        <v>6000</v>
      </c>
      <c r="I30" s="268">
        <f>IF(Table1[[#This Row],[TYPE]]="Income",Table1[[#This Row],[AMOUNT (₹)]],-Table1[[#This Row],[AMOUNT (₹)]])</f>
        <v>-6000</v>
      </c>
      <c r="J30" s="265"/>
      <c r="K30" s="370"/>
      <c r="L30" s="265">
        <f t="shared" si="1"/>
        <v>2021</v>
      </c>
      <c r="M30" s="259">
        <f ca="1">IF(L30="","",COUNTIF($L$9:INDIRECT("K"&amp;ROW()),L30))</f>
        <v>22</v>
      </c>
      <c r="N30" s="348"/>
    </row>
    <row r="31" spans="3:14" ht="19.5" hidden="1" customHeight="1" outlineLevel="1" x14ac:dyDescent="0.2">
      <c r="C31" s="252">
        <v>44532</v>
      </c>
      <c r="D31" s="248" t="s">
        <v>298</v>
      </c>
      <c r="E31" s="263">
        <f t="shared" si="0"/>
        <v>2021</v>
      </c>
      <c r="F31" s="266" t="s">
        <v>274</v>
      </c>
      <c r="G31" s="265" t="s">
        <v>92</v>
      </c>
      <c r="H31" s="369">
        <v>6000</v>
      </c>
      <c r="I31" s="369">
        <f>IF(Table1[[#This Row],[TYPE]]="Income",Table1[[#This Row],[AMOUNT (₹)]],-Table1[[#This Row],[AMOUNT (₹)]])</f>
        <v>-6000</v>
      </c>
      <c r="J31" s="265"/>
      <c r="K31" s="348"/>
      <c r="L31" s="265">
        <f t="shared" si="1"/>
        <v>2021</v>
      </c>
      <c r="M31" s="259">
        <f ca="1">IF(L31="","",COUNTIF($L$9:INDIRECT("K"&amp;ROW()),L31))</f>
        <v>23</v>
      </c>
      <c r="N31" s="348"/>
    </row>
    <row r="32" spans="3:14" ht="19.5" hidden="1" customHeight="1" outlineLevel="1" x14ac:dyDescent="0.2">
      <c r="C32" s="252">
        <v>44532</v>
      </c>
      <c r="D32" s="248" t="s">
        <v>299</v>
      </c>
      <c r="E32" s="263">
        <f t="shared" si="0"/>
        <v>2021</v>
      </c>
      <c r="F32" s="266" t="s">
        <v>274</v>
      </c>
      <c r="G32" s="265" t="s">
        <v>92</v>
      </c>
      <c r="H32" s="369">
        <v>1200</v>
      </c>
      <c r="I32" s="369">
        <f>IF(Table1[[#This Row],[TYPE]]="Income",Table1[[#This Row],[AMOUNT (₹)]],-Table1[[#This Row],[AMOUNT (₹)]])</f>
        <v>-1200</v>
      </c>
      <c r="J32" s="265"/>
      <c r="K32" s="348"/>
      <c r="L32" s="265">
        <f t="shared" si="1"/>
        <v>2021</v>
      </c>
      <c r="M32" s="259">
        <f ca="1">IF(L32="","",COUNTIF($L$9:INDIRECT("K"&amp;ROW()),L32))</f>
        <v>24</v>
      </c>
      <c r="N32" s="348"/>
    </row>
    <row r="33" spans="3:13" ht="19.5" hidden="1" customHeight="1" outlineLevel="1" x14ac:dyDescent="0.2">
      <c r="C33" s="252">
        <v>44532</v>
      </c>
      <c r="D33" s="248" t="s">
        <v>295</v>
      </c>
      <c r="E33" s="263">
        <f t="shared" si="0"/>
        <v>2021</v>
      </c>
      <c r="F33" s="266" t="s">
        <v>30</v>
      </c>
      <c r="G33" s="265" t="s">
        <v>98</v>
      </c>
      <c r="H33" s="369">
        <v>13000</v>
      </c>
      <c r="I33" s="369">
        <f>IF(Table1[[#This Row],[TYPE]]="Income",Table1[[#This Row],[AMOUNT (₹)]],-Table1[[#This Row],[AMOUNT (₹)]])</f>
        <v>-13000</v>
      </c>
      <c r="J33" s="265"/>
      <c r="K33" s="348"/>
      <c r="L33" s="265">
        <f t="shared" si="1"/>
        <v>2021</v>
      </c>
      <c r="M33" s="259">
        <f ca="1">IF(L33="","",COUNTIF($L$9:INDIRECT("K"&amp;ROW()),L33))</f>
        <v>25</v>
      </c>
    </row>
    <row r="34" spans="3:13" ht="19.5" hidden="1" customHeight="1" outlineLevel="1" x14ac:dyDescent="0.2">
      <c r="C34" s="252">
        <v>44536</v>
      </c>
      <c r="D34" s="248" t="s">
        <v>300</v>
      </c>
      <c r="E34" s="263">
        <f t="shared" si="0"/>
        <v>2021</v>
      </c>
      <c r="F34" s="266" t="s">
        <v>274</v>
      </c>
      <c r="G34" s="265" t="s">
        <v>82</v>
      </c>
      <c r="H34" s="369">
        <v>280</v>
      </c>
      <c r="I34" s="369">
        <f>IF(Table1[[#This Row],[TYPE]]="Income",Table1[[#This Row],[AMOUNT (₹)]],-Table1[[#This Row],[AMOUNT (₹)]])</f>
        <v>-280</v>
      </c>
      <c r="J34" s="265"/>
      <c r="K34" s="348"/>
      <c r="L34" s="265">
        <f t="shared" si="1"/>
        <v>2021</v>
      </c>
      <c r="M34" s="259">
        <f ca="1">IF(L34="","",COUNTIF($L$9:INDIRECT("K"&amp;ROW()),L34))</f>
        <v>26</v>
      </c>
    </row>
    <row r="35" spans="3:13" ht="19.5" hidden="1" customHeight="1" outlineLevel="1" x14ac:dyDescent="0.2">
      <c r="C35" s="252">
        <v>44537</v>
      </c>
      <c r="D35" s="248" t="s">
        <v>279</v>
      </c>
      <c r="E35" s="263">
        <f t="shared" si="0"/>
        <v>2021</v>
      </c>
      <c r="F35" s="266" t="s">
        <v>274</v>
      </c>
      <c r="G35" s="265" t="s">
        <v>82</v>
      </c>
      <c r="H35" s="369">
        <v>1010</v>
      </c>
      <c r="I35" s="369">
        <f>IF(Table1[[#This Row],[TYPE]]="Income",Table1[[#This Row],[AMOUNT (₹)]],-Table1[[#This Row],[AMOUNT (₹)]])</f>
        <v>-1010</v>
      </c>
      <c r="J35" s="265"/>
      <c r="K35" s="348"/>
      <c r="L35" s="265">
        <f t="shared" si="1"/>
        <v>2021</v>
      </c>
      <c r="M35" s="259">
        <f ca="1">IF(L35="","",COUNTIF($L$9:INDIRECT("K"&amp;ROW()),L35))</f>
        <v>27</v>
      </c>
    </row>
    <row r="36" spans="3:13" ht="18" hidden="1" customHeight="1" outlineLevel="1" x14ac:dyDescent="0.2">
      <c r="C36" s="252">
        <v>44546</v>
      </c>
      <c r="D36" s="248" t="s">
        <v>295</v>
      </c>
      <c r="E36" s="263">
        <f t="shared" si="0"/>
        <v>2021</v>
      </c>
      <c r="F36" s="266" t="s">
        <v>30</v>
      </c>
      <c r="G36" s="265" t="s">
        <v>98</v>
      </c>
      <c r="H36" s="369">
        <v>10000</v>
      </c>
      <c r="I36" s="369">
        <f>IF(Table1[[#This Row],[TYPE]]="Income",Table1[[#This Row],[AMOUNT (₹)]],-Table1[[#This Row],[AMOUNT (₹)]])</f>
        <v>-10000</v>
      </c>
      <c r="J36" s="265"/>
      <c r="K36" s="348"/>
      <c r="L36" s="265">
        <f t="shared" si="1"/>
        <v>2021</v>
      </c>
      <c r="M36" s="259">
        <f ca="1">IF(L36="","",COUNTIF($L$9:INDIRECT("K"&amp;ROW()),L36))</f>
        <v>28</v>
      </c>
    </row>
    <row r="37" spans="3:13" ht="18" hidden="1" customHeight="1" outlineLevel="1" x14ac:dyDescent="0.2">
      <c r="C37" s="252">
        <v>44552</v>
      </c>
      <c r="D37" s="248" t="s">
        <v>301</v>
      </c>
      <c r="E37" s="263">
        <f t="shared" si="0"/>
        <v>2021</v>
      </c>
      <c r="F37" s="266" t="s">
        <v>274</v>
      </c>
      <c r="G37" s="265" t="s">
        <v>88</v>
      </c>
      <c r="H37" s="369">
        <v>2000</v>
      </c>
      <c r="I37" s="369">
        <f>IF(Table1[[#This Row],[TYPE]]="Income",Table1[[#This Row],[AMOUNT (₹)]],-Table1[[#This Row],[AMOUNT (₹)]])</f>
        <v>-2000</v>
      </c>
      <c r="J37" s="265"/>
      <c r="K37" s="348"/>
      <c r="L37" s="265">
        <f t="shared" si="1"/>
        <v>2021</v>
      </c>
      <c r="M37" s="259">
        <f ca="1">IF(L37="","",COUNTIF($L$9:INDIRECT("K"&amp;ROW()),L37))</f>
        <v>29</v>
      </c>
    </row>
    <row r="38" spans="3:13" ht="18" hidden="1" customHeight="1" outlineLevel="1" x14ac:dyDescent="0.2">
      <c r="C38" s="252">
        <v>44553</v>
      </c>
      <c r="D38" s="248" t="s">
        <v>295</v>
      </c>
      <c r="E38" s="263">
        <f t="shared" si="0"/>
        <v>2021</v>
      </c>
      <c r="F38" s="266" t="s">
        <v>30</v>
      </c>
      <c r="G38" s="265" t="s">
        <v>98</v>
      </c>
      <c r="H38" s="369">
        <v>7000</v>
      </c>
      <c r="I38" s="369">
        <f>IF(Table1[[#This Row],[TYPE]]="Income",Table1[[#This Row],[AMOUNT (₹)]],-Table1[[#This Row],[AMOUNT (₹)]])</f>
        <v>-7000</v>
      </c>
      <c r="J38" s="265"/>
      <c r="K38" s="348"/>
      <c r="L38" s="265">
        <f t="shared" si="1"/>
        <v>2021</v>
      </c>
      <c r="M38" s="259">
        <f ca="1">IF(L38="","",COUNTIF($L$9:INDIRECT("K"&amp;ROW()),L38))</f>
        <v>30</v>
      </c>
    </row>
    <row r="39" spans="3:13" ht="18" hidden="1" customHeight="1" outlineLevel="1" x14ac:dyDescent="0.2">
      <c r="C39" s="252">
        <v>44560</v>
      </c>
      <c r="D39" s="248" t="s">
        <v>295</v>
      </c>
      <c r="E39" s="263">
        <f t="shared" si="0"/>
        <v>2021</v>
      </c>
      <c r="F39" s="266" t="s">
        <v>30</v>
      </c>
      <c r="G39" s="265" t="s">
        <v>98</v>
      </c>
      <c r="H39" s="369">
        <v>5000</v>
      </c>
      <c r="I39" s="369">
        <f>IF(Table1[[#This Row],[TYPE]]="Income",Table1[[#This Row],[AMOUNT (₹)]],-Table1[[#This Row],[AMOUNT (₹)]])</f>
        <v>-5000</v>
      </c>
      <c r="J39" s="265"/>
      <c r="K39" s="348"/>
      <c r="L39" s="265">
        <f t="shared" si="1"/>
        <v>2021</v>
      </c>
      <c r="M39" s="259">
        <f ca="1">IF(L39="","",COUNTIF($L$9:INDIRECT("K"&amp;ROW()),L39))</f>
        <v>31</v>
      </c>
    </row>
    <row r="40" spans="3:13" ht="18" hidden="1" customHeight="1" outlineLevel="1" x14ac:dyDescent="0.2">
      <c r="C40" s="252">
        <v>44561</v>
      </c>
      <c r="D40" s="248" t="s">
        <v>302</v>
      </c>
      <c r="E40" s="263">
        <f t="shared" si="0"/>
        <v>2021</v>
      </c>
      <c r="F40" s="266" t="s">
        <v>274</v>
      </c>
      <c r="G40" s="265" t="s">
        <v>86</v>
      </c>
      <c r="H40" s="369">
        <v>30</v>
      </c>
      <c r="I40" s="369">
        <f>IF(Table1[[#This Row],[TYPE]]="Income",Table1[[#This Row],[AMOUNT (₹)]],-Table1[[#This Row],[AMOUNT (₹)]])</f>
        <v>-30</v>
      </c>
      <c r="J40" s="265"/>
      <c r="K40" s="348"/>
      <c r="L40" s="265">
        <f t="shared" si="1"/>
        <v>2021</v>
      </c>
      <c r="M40" s="259">
        <f ca="1">IF(L40="","",COUNTIF($L$9:INDIRECT("K"&amp;ROW()),L40))</f>
        <v>32</v>
      </c>
    </row>
    <row r="41" spans="3:13" ht="18" hidden="1" customHeight="1" outlineLevel="1" x14ac:dyDescent="0.2">
      <c r="C41" s="252">
        <v>44561</v>
      </c>
      <c r="D41" s="248" t="s">
        <v>288</v>
      </c>
      <c r="E41" s="263">
        <f t="shared" si="0"/>
        <v>2021</v>
      </c>
      <c r="F41" s="266" t="s">
        <v>274</v>
      </c>
      <c r="G41" s="265" t="s">
        <v>94</v>
      </c>
      <c r="H41" s="369">
        <v>1500</v>
      </c>
      <c r="I41" s="369">
        <f>IF(Table1[[#This Row],[TYPE]]="Income",Table1[[#This Row],[AMOUNT (₹)]],-Table1[[#This Row],[AMOUNT (₹)]])</f>
        <v>-1500</v>
      </c>
      <c r="J41" s="265"/>
      <c r="K41" s="348"/>
      <c r="L41" s="265">
        <f t="shared" si="1"/>
        <v>2021</v>
      </c>
      <c r="M41" s="259">
        <f ca="1">IF(L41="","",COUNTIF($L$9:INDIRECT("K"&amp;ROW()),L41))</f>
        <v>33</v>
      </c>
    </row>
    <row r="42" spans="3:13" ht="18" hidden="1" customHeight="1" outlineLevel="1" x14ac:dyDescent="0.2">
      <c r="C42" s="252">
        <v>44561</v>
      </c>
      <c r="D42" s="248" t="s">
        <v>303</v>
      </c>
      <c r="E42" s="263">
        <f t="shared" si="0"/>
        <v>2021</v>
      </c>
      <c r="F42" s="266" t="s">
        <v>277</v>
      </c>
      <c r="G42" s="265" t="s">
        <v>111</v>
      </c>
      <c r="H42" s="369">
        <v>26000</v>
      </c>
      <c r="I42" s="369">
        <f>IF(Table1[[#This Row],[TYPE]]="Income",Table1[[#This Row],[AMOUNT (₹)]],-Table1[[#This Row],[AMOUNT (₹)]])</f>
        <v>26000</v>
      </c>
      <c r="J42" s="265"/>
      <c r="K42" s="348"/>
      <c r="L42" s="265">
        <f t="shared" si="1"/>
        <v>2021</v>
      </c>
      <c r="M42" s="259">
        <f ca="1">IF(L42="","",COUNTIF($L$9:INDIRECT("K"&amp;ROW()),L42))</f>
        <v>34</v>
      </c>
    </row>
    <row r="43" spans="3:13" ht="18" hidden="1" customHeight="1" outlineLevel="1" x14ac:dyDescent="0.2">
      <c r="C43" s="252">
        <v>44561</v>
      </c>
      <c r="D43" s="248" t="s">
        <v>295</v>
      </c>
      <c r="E43" s="263">
        <f t="shared" si="0"/>
        <v>2021</v>
      </c>
      <c r="F43" s="266" t="s">
        <v>30</v>
      </c>
      <c r="G43" s="265" t="s">
        <v>98</v>
      </c>
      <c r="H43" s="369">
        <v>20000</v>
      </c>
      <c r="I43" s="369">
        <f>IF(Table1[[#This Row],[TYPE]]="Income",Table1[[#This Row],[AMOUNT (₹)]],-Table1[[#This Row],[AMOUNT (₹)]])</f>
        <v>-20000</v>
      </c>
      <c r="J43" s="265"/>
      <c r="K43" s="348"/>
      <c r="L43" s="265">
        <f t="shared" si="1"/>
        <v>2021</v>
      </c>
      <c r="M43" s="259">
        <f ca="1">IF(L43="","",COUNTIF($L$9:INDIRECT("K"&amp;ROW()),L43))</f>
        <v>35</v>
      </c>
    </row>
    <row r="44" spans="3:13" ht="18" hidden="1" customHeight="1" outlineLevel="1" x14ac:dyDescent="0.2">
      <c r="C44" s="252">
        <v>44562</v>
      </c>
      <c r="D44" s="248" t="s">
        <v>288</v>
      </c>
      <c r="E44" s="263">
        <f t="shared" si="0"/>
        <v>2022</v>
      </c>
      <c r="F44" s="266" t="s">
        <v>274</v>
      </c>
      <c r="G44" s="265" t="s">
        <v>94</v>
      </c>
      <c r="H44" s="369">
        <v>240</v>
      </c>
      <c r="I44" s="369">
        <f>IF(Table1[[#This Row],[TYPE]]="Income",Table1[[#This Row],[AMOUNT (₹)]],-Table1[[#This Row],[AMOUNT (₹)]])</f>
        <v>-240</v>
      </c>
      <c r="J44" s="265"/>
      <c r="K44" s="348"/>
      <c r="L44" s="265">
        <f t="shared" si="1"/>
        <v>2021</v>
      </c>
      <c r="M44" s="259">
        <f ca="1">IF(L44="","",COUNTIF($L$9:INDIRECT("K"&amp;ROW()),L44))</f>
        <v>36</v>
      </c>
    </row>
    <row r="45" spans="3:13" ht="18" hidden="1" customHeight="1" outlineLevel="1" x14ac:dyDescent="0.2">
      <c r="C45" s="252">
        <v>44565</v>
      </c>
      <c r="D45" s="248" t="s">
        <v>304</v>
      </c>
      <c r="E45" s="263">
        <f t="shared" si="0"/>
        <v>2022</v>
      </c>
      <c r="F45" s="266" t="s">
        <v>274</v>
      </c>
      <c r="G45" s="265" t="s">
        <v>82</v>
      </c>
      <c r="H45" s="369">
        <v>799</v>
      </c>
      <c r="I45" s="369">
        <f>IF(Table1[[#This Row],[TYPE]]="Income",Table1[[#This Row],[AMOUNT (₹)]],-Table1[[#This Row],[AMOUNT (₹)]])</f>
        <v>-799</v>
      </c>
      <c r="J45" s="265"/>
      <c r="K45" s="348"/>
      <c r="L45" s="265">
        <f t="shared" si="1"/>
        <v>2021</v>
      </c>
      <c r="M45" s="259">
        <f ca="1">IF(L45="","",COUNTIF($L$9:INDIRECT("K"&amp;ROW()),L45))</f>
        <v>37</v>
      </c>
    </row>
    <row r="46" spans="3:13" ht="18" hidden="1" customHeight="1" outlineLevel="1" x14ac:dyDescent="0.2">
      <c r="C46" s="252">
        <v>44567</v>
      </c>
      <c r="D46" s="248" t="s">
        <v>305</v>
      </c>
      <c r="E46" s="263">
        <f t="shared" si="0"/>
        <v>2022</v>
      </c>
      <c r="F46" s="266" t="s">
        <v>274</v>
      </c>
      <c r="G46" s="265" t="s">
        <v>82</v>
      </c>
      <c r="H46" s="369">
        <v>165</v>
      </c>
      <c r="I46" s="369">
        <f>IF(Table1[[#This Row],[TYPE]]="Income",Table1[[#This Row],[AMOUNT (₹)]],-Table1[[#This Row],[AMOUNT (₹)]])</f>
        <v>-165</v>
      </c>
      <c r="J46" s="265"/>
      <c r="K46" s="348"/>
      <c r="L46" s="265">
        <f t="shared" si="1"/>
        <v>2021</v>
      </c>
      <c r="M46" s="259">
        <f ca="1">IF(L46="","",COUNTIF($L$9:INDIRECT("K"&amp;ROW()),L46))</f>
        <v>38</v>
      </c>
    </row>
    <row r="47" spans="3:13" ht="18" hidden="1" customHeight="1" outlineLevel="1" x14ac:dyDescent="0.2">
      <c r="C47" s="252">
        <v>44570</v>
      </c>
      <c r="D47" s="248" t="s">
        <v>306</v>
      </c>
      <c r="E47" s="263">
        <f t="shared" si="0"/>
        <v>2022</v>
      </c>
      <c r="F47" s="266" t="s">
        <v>274</v>
      </c>
      <c r="G47" s="265" t="s">
        <v>82</v>
      </c>
      <c r="H47" s="369">
        <v>784</v>
      </c>
      <c r="I47" s="369">
        <f>IF(Table1[[#This Row],[TYPE]]="Income",Table1[[#This Row],[AMOUNT (₹)]],-Table1[[#This Row],[AMOUNT (₹)]])</f>
        <v>-784</v>
      </c>
      <c r="J47" s="265"/>
      <c r="K47" s="348"/>
      <c r="L47" s="265">
        <f t="shared" si="1"/>
        <v>2021</v>
      </c>
      <c r="M47" s="259">
        <f ca="1">IF(L47="","",COUNTIF($L$9:INDIRECT("K"&amp;ROW()),L47))</f>
        <v>39</v>
      </c>
    </row>
    <row r="48" spans="3:13" ht="18" hidden="1" customHeight="1" outlineLevel="1" x14ac:dyDescent="0.2">
      <c r="C48" s="252">
        <v>44592</v>
      </c>
      <c r="D48" s="248" t="s">
        <v>307</v>
      </c>
      <c r="E48" s="263">
        <f t="shared" si="0"/>
        <v>2022</v>
      </c>
      <c r="F48" s="266" t="s">
        <v>277</v>
      </c>
      <c r="G48" s="265" t="s">
        <v>111</v>
      </c>
      <c r="H48" s="369">
        <v>26000</v>
      </c>
      <c r="I48" s="369">
        <f>IF(Table1[[#This Row],[TYPE]]="Income",Table1[[#This Row],[AMOUNT (₹)]],-Table1[[#This Row],[AMOUNT (₹)]])</f>
        <v>26000</v>
      </c>
      <c r="J48" s="265"/>
      <c r="K48" s="348"/>
      <c r="L48" s="265">
        <f t="shared" si="1"/>
        <v>2021</v>
      </c>
      <c r="M48" s="259">
        <f ca="1">IF(L48="","",COUNTIF($L$9:INDIRECT("K"&amp;ROW()),L48))</f>
        <v>40</v>
      </c>
    </row>
    <row r="49" spans="3:13" ht="18" hidden="1" customHeight="1" outlineLevel="1" x14ac:dyDescent="0.2">
      <c r="C49" s="252">
        <v>44599</v>
      </c>
      <c r="D49" s="248" t="s">
        <v>308</v>
      </c>
      <c r="E49" s="263">
        <f t="shared" si="0"/>
        <v>2022</v>
      </c>
      <c r="F49" s="266" t="s">
        <v>274</v>
      </c>
      <c r="G49" s="265" t="s">
        <v>82</v>
      </c>
      <c r="H49" s="369">
        <v>1342</v>
      </c>
      <c r="I49" s="369">
        <f>IF(Table1[[#This Row],[TYPE]]="Income",Table1[[#This Row],[AMOUNT (₹)]],-Table1[[#This Row],[AMOUNT (₹)]])</f>
        <v>-1342</v>
      </c>
      <c r="J49" s="265"/>
      <c r="K49" s="348"/>
      <c r="L49" s="265">
        <f t="shared" si="1"/>
        <v>2021</v>
      </c>
      <c r="M49" s="259">
        <f ca="1">IF(L49="","",COUNTIF($L$9:INDIRECT("K"&amp;ROW()),L49))</f>
        <v>41</v>
      </c>
    </row>
    <row r="50" spans="3:13" ht="18" hidden="1" customHeight="1" outlineLevel="1" x14ac:dyDescent="0.2">
      <c r="C50" s="252">
        <v>44618</v>
      </c>
      <c r="D50" s="248" t="s">
        <v>309</v>
      </c>
      <c r="E50" s="263">
        <f t="shared" si="0"/>
        <v>2022</v>
      </c>
      <c r="F50" s="267" t="s">
        <v>274</v>
      </c>
      <c r="G50" s="267" t="s">
        <v>88</v>
      </c>
      <c r="H50" s="268">
        <v>2000</v>
      </c>
      <c r="I50" s="268">
        <f>IF(Table1[[#This Row],[TYPE]]="Income",Table1[[#This Row],[AMOUNT (₹)]],-Table1[[#This Row],[AMOUNT (₹)]])</f>
        <v>-2000</v>
      </c>
      <c r="J50" s="265"/>
      <c r="K50" s="370"/>
      <c r="L50" s="265">
        <f t="shared" si="1"/>
        <v>2021</v>
      </c>
      <c r="M50" s="259">
        <f ca="1">IF(L50="","",COUNTIF($L$9:INDIRECT("K"&amp;ROW()),L50))</f>
        <v>42</v>
      </c>
    </row>
    <row r="51" spans="3:13" ht="18" hidden="1" customHeight="1" outlineLevel="1" x14ac:dyDescent="0.2">
      <c r="C51" s="252">
        <v>44620</v>
      </c>
      <c r="D51" s="248" t="s">
        <v>310</v>
      </c>
      <c r="E51" s="263">
        <f t="shared" si="0"/>
        <v>2022</v>
      </c>
      <c r="F51" s="266" t="s">
        <v>277</v>
      </c>
      <c r="G51" s="265" t="s">
        <v>111</v>
      </c>
      <c r="H51" s="369">
        <v>26000</v>
      </c>
      <c r="I51" s="369">
        <f>IF(Table1[[#This Row],[TYPE]]="Income",Table1[[#This Row],[AMOUNT (₹)]],-Table1[[#This Row],[AMOUNT (₹)]])</f>
        <v>26000</v>
      </c>
      <c r="J51" s="265"/>
      <c r="K51" s="348"/>
      <c r="L51" s="265">
        <f t="shared" si="1"/>
        <v>2021</v>
      </c>
      <c r="M51" s="259">
        <f ca="1">IF(L51="","",COUNTIF($L$9:INDIRECT("K"&amp;ROW()),L51))</f>
        <v>43</v>
      </c>
    </row>
    <row r="52" spans="3:13" ht="18" hidden="1" customHeight="1" outlineLevel="1" x14ac:dyDescent="0.2">
      <c r="C52" s="252">
        <v>44624</v>
      </c>
      <c r="D52" s="248" t="s">
        <v>311</v>
      </c>
      <c r="E52" s="263">
        <f t="shared" si="0"/>
        <v>2022</v>
      </c>
      <c r="F52" s="266" t="s">
        <v>274</v>
      </c>
      <c r="G52" s="265" t="s">
        <v>82</v>
      </c>
      <c r="H52" s="369">
        <v>400</v>
      </c>
      <c r="I52" s="369">
        <f>IF(Table1[[#This Row],[TYPE]]="Income",Table1[[#This Row],[AMOUNT (₹)]],-Table1[[#This Row],[AMOUNT (₹)]])</f>
        <v>-400</v>
      </c>
      <c r="J52" s="265"/>
      <c r="K52" s="348"/>
      <c r="L52" s="265">
        <f t="shared" si="1"/>
        <v>2021</v>
      </c>
      <c r="M52" s="259">
        <f ca="1">IF(L52="","",COUNTIF($L$9:INDIRECT("K"&amp;ROW()),L52))</f>
        <v>44</v>
      </c>
    </row>
    <row r="53" spans="3:13" ht="18" hidden="1" customHeight="1" outlineLevel="1" x14ac:dyDescent="0.2">
      <c r="C53" s="252">
        <v>44634</v>
      </c>
      <c r="D53" s="248" t="s">
        <v>312</v>
      </c>
      <c r="E53" s="263">
        <f t="shared" si="0"/>
        <v>2022</v>
      </c>
      <c r="F53" s="266" t="s">
        <v>274</v>
      </c>
      <c r="G53" s="265" t="s">
        <v>82</v>
      </c>
      <c r="H53" s="369">
        <v>2900</v>
      </c>
      <c r="I53" s="369">
        <f>IF(Table1[[#This Row],[TYPE]]="Income",Table1[[#This Row],[AMOUNT (₹)]],-Table1[[#This Row],[AMOUNT (₹)]])</f>
        <v>-2900</v>
      </c>
      <c r="J53" s="265"/>
      <c r="K53" s="348"/>
      <c r="L53" s="265">
        <f t="shared" si="1"/>
        <v>2021</v>
      </c>
      <c r="M53" s="259">
        <f ca="1">IF(L53="","",COUNTIF($L$9:INDIRECT("K"&amp;ROW()),L53))</f>
        <v>45</v>
      </c>
    </row>
    <row r="54" spans="3:13" ht="18" hidden="1" customHeight="1" outlineLevel="1" x14ac:dyDescent="0.2">
      <c r="C54" s="252">
        <v>44649</v>
      </c>
      <c r="D54" s="248" t="s">
        <v>313</v>
      </c>
      <c r="E54" s="263">
        <f t="shared" si="0"/>
        <v>2022</v>
      </c>
      <c r="F54" s="266" t="s">
        <v>274</v>
      </c>
      <c r="G54" s="265" t="s">
        <v>82</v>
      </c>
      <c r="H54" s="369">
        <v>400</v>
      </c>
      <c r="I54" s="369">
        <f>IF(Table1[[#This Row],[TYPE]]="Income",Table1[[#This Row],[AMOUNT (₹)]],-Table1[[#This Row],[AMOUNT (₹)]])</f>
        <v>-400</v>
      </c>
      <c r="J54" s="265"/>
      <c r="K54" s="348"/>
      <c r="L54" s="265">
        <f t="shared" si="1"/>
        <v>2021</v>
      </c>
      <c r="M54" s="259">
        <f ca="1">IF(L54="","",COUNTIF($L$9:INDIRECT("K"&amp;ROW()),L54))</f>
        <v>46</v>
      </c>
    </row>
    <row r="55" spans="3:13" ht="18" hidden="1" customHeight="1" outlineLevel="1" x14ac:dyDescent="0.2">
      <c r="C55" s="252">
        <v>44649</v>
      </c>
      <c r="D55" s="248" t="s">
        <v>314</v>
      </c>
      <c r="E55" s="263">
        <f t="shared" si="0"/>
        <v>2022</v>
      </c>
      <c r="F55" s="266" t="s">
        <v>274</v>
      </c>
      <c r="G55" s="265" t="s">
        <v>82</v>
      </c>
      <c r="H55" s="369">
        <v>1600</v>
      </c>
      <c r="I55" s="369">
        <f>IF(Table1[[#This Row],[TYPE]]="Income",Table1[[#This Row],[AMOUNT (₹)]],-Table1[[#This Row],[AMOUNT (₹)]])</f>
        <v>-1600</v>
      </c>
      <c r="J55" s="265"/>
      <c r="K55" s="348"/>
      <c r="L55" s="265">
        <f t="shared" si="1"/>
        <v>2021</v>
      </c>
      <c r="M55" s="259">
        <f ca="1">IF(L55="","",COUNTIF($L$9:INDIRECT("K"&amp;ROW()),L55))</f>
        <v>47</v>
      </c>
    </row>
    <row r="56" spans="3:13" ht="18" hidden="1" customHeight="1" outlineLevel="1" x14ac:dyDescent="0.2">
      <c r="C56" s="252">
        <v>44649</v>
      </c>
      <c r="D56" s="248" t="s">
        <v>315</v>
      </c>
      <c r="E56" s="263">
        <f t="shared" si="0"/>
        <v>2022</v>
      </c>
      <c r="F56" s="266" t="s">
        <v>274</v>
      </c>
      <c r="G56" s="265" t="s">
        <v>94</v>
      </c>
      <c r="H56" s="369">
        <v>570</v>
      </c>
      <c r="I56" s="369">
        <f>IF(Table1[[#This Row],[TYPE]]="Income",Table1[[#This Row],[AMOUNT (₹)]],-Table1[[#This Row],[AMOUNT (₹)]])</f>
        <v>-570</v>
      </c>
      <c r="J56" s="265"/>
      <c r="K56" s="348"/>
      <c r="L56" s="265">
        <f t="shared" si="1"/>
        <v>2021</v>
      </c>
      <c r="M56" s="259">
        <f ca="1">IF(L56="","",COUNTIF($L$9:INDIRECT("K"&amp;ROW()),L56))</f>
        <v>48</v>
      </c>
    </row>
    <row r="57" spans="3:13" ht="18" hidden="1" customHeight="1" outlineLevel="1" x14ac:dyDescent="0.2">
      <c r="C57" s="252">
        <v>44651</v>
      </c>
      <c r="D57" s="248" t="s">
        <v>316</v>
      </c>
      <c r="E57" s="263">
        <f t="shared" si="0"/>
        <v>2022</v>
      </c>
      <c r="F57" s="266" t="s">
        <v>277</v>
      </c>
      <c r="G57" s="265" t="s">
        <v>111</v>
      </c>
      <c r="H57" s="369">
        <v>26000</v>
      </c>
      <c r="I57" s="369">
        <f>IF(Table1[[#This Row],[TYPE]]="Income",Table1[[#This Row],[AMOUNT (₹)]],-Table1[[#This Row],[AMOUNT (₹)]])</f>
        <v>26000</v>
      </c>
      <c r="J57" s="265"/>
      <c r="K57" s="348"/>
      <c r="L57" s="265">
        <f t="shared" si="1"/>
        <v>2021</v>
      </c>
      <c r="M57" s="259">
        <f ca="1">IF(L57="","",COUNTIF($L$9:INDIRECT("K"&amp;ROW()),L57))</f>
        <v>49</v>
      </c>
    </row>
    <row r="58" spans="3:13" ht="18" hidden="1" customHeight="1" outlineLevel="1" x14ac:dyDescent="0.2">
      <c r="C58" s="252">
        <v>44657</v>
      </c>
      <c r="D58" s="248" t="s">
        <v>317</v>
      </c>
      <c r="E58" s="263">
        <f t="shared" si="0"/>
        <v>2022</v>
      </c>
      <c r="F58" s="266" t="s">
        <v>274</v>
      </c>
      <c r="G58" s="265" t="s">
        <v>82</v>
      </c>
      <c r="H58" s="369">
        <v>500</v>
      </c>
      <c r="I58" s="369">
        <f>IF(Table1[[#This Row],[TYPE]]="Income",Table1[[#This Row],[AMOUNT (₹)]],-Table1[[#This Row],[AMOUNT (₹)]])</f>
        <v>-500</v>
      </c>
      <c r="J58" s="265"/>
      <c r="K58" s="348"/>
      <c r="L58" s="265">
        <f t="shared" si="1"/>
        <v>2022</v>
      </c>
      <c r="M58" s="259">
        <f ca="1">IF(L58="","",COUNTIF($L$9:INDIRECT("K"&amp;ROW()),L58))</f>
        <v>1</v>
      </c>
    </row>
    <row r="59" spans="3:13" ht="18" hidden="1" customHeight="1" outlineLevel="1" x14ac:dyDescent="0.2">
      <c r="C59" s="252">
        <v>44658</v>
      </c>
      <c r="D59" s="248" t="s">
        <v>295</v>
      </c>
      <c r="E59" s="263">
        <f t="shared" si="0"/>
        <v>2022</v>
      </c>
      <c r="F59" s="266" t="s">
        <v>30</v>
      </c>
      <c r="G59" s="265" t="s">
        <v>98</v>
      </c>
      <c r="H59" s="369">
        <v>1000</v>
      </c>
      <c r="I59" s="369">
        <f>IF(Table1[[#This Row],[TYPE]]="Income",Table1[[#This Row],[AMOUNT (₹)]],-Table1[[#This Row],[AMOUNT (₹)]])</f>
        <v>-1000</v>
      </c>
      <c r="J59" s="265"/>
      <c r="K59" s="348"/>
      <c r="L59" s="265">
        <f t="shared" si="1"/>
        <v>2022</v>
      </c>
      <c r="M59" s="259">
        <f ca="1">IF(L59="","",COUNTIF($L$9:INDIRECT("K"&amp;ROW()),L59))</f>
        <v>2</v>
      </c>
    </row>
    <row r="60" spans="3:13" ht="18" hidden="1" customHeight="1" outlineLevel="1" x14ac:dyDescent="0.2">
      <c r="C60" s="252">
        <v>44665</v>
      </c>
      <c r="D60" s="248" t="s">
        <v>318</v>
      </c>
      <c r="E60" s="263">
        <f t="shared" si="0"/>
        <v>2022</v>
      </c>
      <c r="F60" s="267" t="s">
        <v>274</v>
      </c>
      <c r="G60" s="267" t="s">
        <v>88</v>
      </c>
      <c r="H60" s="268">
        <v>3000</v>
      </c>
      <c r="I60" s="268">
        <f>IF(Table1[[#This Row],[TYPE]]="Income",Table1[[#This Row],[AMOUNT (₹)]],-Table1[[#This Row],[AMOUNT (₹)]])</f>
        <v>-3000</v>
      </c>
      <c r="J60" s="265"/>
      <c r="K60" s="370"/>
      <c r="L60" s="265">
        <f t="shared" si="1"/>
        <v>2022</v>
      </c>
      <c r="M60" s="259">
        <f ca="1">IF(L60="","",COUNTIF($L$9:INDIRECT("K"&amp;ROW()),L60))</f>
        <v>3</v>
      </c>
    </row>
    <row r="61" spans="3:13" ht="18" hidden="1" customHeight="1" outlineLevel="1" x14ac:dyDescent="0.2">
      <c r="C61" s="252">
        <v>44665</v>
      </c>
      <c r="D61" s="248" t="s">
        <v>319</v>
      </c>
      <c r="E61" s="263">
        <f t="shared" si="0"/>
        <v>2022</v>
      </c>
      <c r="F61" s="266" t="s">
        <v>274</v>
      </c>
      <c r="G61" s="265" t="s">
        <v>92</v>
      </c>
      <c r="H61" s="369">
        <v>11450</v>
      </c>
      <c r="I61" s="369">
        <f>IF(Table1[[#This Row],[TYPE]]="Income",Table1[[#This Row],[AMOUNT (₹)]],-Table1[[#This Row],[AMOUNT (₹)]])</f>
        <v>-11450</v>
      </c>
      <c r="J61" s="265"/>
      <c r="K61" s="348"/>
      <c r="L61" s="265">
        <f t="shared" si="1"/>
        <v>2022</v>
      </c>
      <c r="M61" s="259">
        <f ca="1">IF(L61="","",COUNTIF($L$9:INDIRECT("K"&amp;ROW()),L61))</f>
        <v>4</v>
      </c>
    </row>
    <row r="62" spans="3:13" ht="18" hidden="1" customHeight="1" outlineLevel="1" x14ac:dyDescent="0.2">
      <c r="C62" s="252">
        <v>44681</v>
      </c>
      <c r="D62" s="248" t="s">
        <v>320</v>
      </c>
      <c r="E62" s="263">
        <f t="shared" si="0"/>
        <v>2022</v>
      </c>
      <c r="F62" s="266" t="s">
        <v>277</v>
      </c>
      <c r="G62" s="265" t="s">
        <v>111</v>
      </c>
      <c r="H62" s="369">
        <v>26000</v>
      </c>
      <c r="I62" s="369">
        <f>IF(Table1[[#This Row],[TYPE]]="Income",Table1[[#This Row],[AMOUNT (₹)]],-Table1[[#This Row],[AMOUNT (₹)]])</f>
        <v>26000</v>
      </c>
      <c r="J62" s="265"/>
      <c r="K62" s="348"/>
      <c r="L62" s="265">
        <f t="shared" si="1"/>
        <v>2022</v>
      </c>
      <c r="M62" s="259">
        <f ca="1">IF(L62="","",COUNTIF($L$9:INDIRECT("K"&amp;ROW()),L62))</f>
        <v>5</v>
      </c>
    </row>
    <row r="63" spans="3:13" ht="18" hidden="1" customHeight="1" outlineLevel="1" x14ac:dyDescent="0.2">
      <c r="C63" s="252">
        <v>44684</v>
      </c>
      <c r="D63" s="248" t="s">
        <v>321</v>
      </c>
      <c r="E63" s="263">
        <f t="shared" si="0"/>
        <v>2022</v>
      </c>
      <c r="F63" s="266" t="s">
        <v>274</v>
      </c>
      <c r="G63" s="265" t="s">
        <v>82</v>
      </c>
      <c r="H63" s="369">
        <v>500</v>
      </c>
      <c r="I63" s="369">
        <f>IF(Table1[[#This Row],[TYPE]]="Income",Table1[[#This Row],[AMOUNT (₹)]],-Table1[[#This Row],[AMOUNT (₹)]])</f>
        <v>-500</v>
      </c>
      <c r="J63" s="265"/>
      <c r="K63" s="348"/>
      <c r="L63" s="265">
        <f t="shared" si="1"/>
        <v>2022</v>
      </c>
      <c r="M63" s="259">
        <f ca="1">IF(L63="","",COUNTIF($L$9:INDIRECT("K"&amp;ROW()),L63))</f>
        <v>6</v>
      </c>
    </row>
    <row r="64" spans="3:13" ht="18" hidden="1" customHeight="1" outlineLevel="1" x14ac:dyDescent="0.2">
      <c r="C64" s="252">
        <v>44685</v>
      </c>
      <c r="D64" s="248" t="s">
        <v>322</v>
      </c>
      <c r="E64" s="263">
        <f t="shared" si="0"/>
        <v>2022</v>
      </c>
      <c r="F64" s="267" t="s">
        <v>277</v>
      </c>
      <c r="G64" s="267" t="s">
        <v>112</v>
      </c>
      <c r="H64" s="268">
        <v>125000</v>
      </c>
      <c r="I64" s="268">
        <f>IF(Table1[[#This Row],[TYPE]]="Income",Table1[[#This Row],[AMOUNT (₹)]],-Table1[[#This Row],[AMOUNT (₹)]])</f>
        <v>125000</v>
      </c>
      <c r="J64" s="265"/>
      <c r="K64" s="370" t="s">
        <v>323</v>
      </c>
      <c r="L64" s="265">
        <f t="shared" si="1"/>
        <v>2022</v>
      </c>
      <c r="M64" s="259">
        <f ca="1">IF(L64="","",COUNTIF($L$9:INDIRECT("K"&amp;ROW()),L64))</f>
        <v>7</v>
      </c>
    </row>
    <row r="65" spans="3:13" ht="18" hidden="1" customHeight="1" outlineLevel="1" x14ac:dyDescent="0.2">
      <c r="C65" s="252">
        <v>44699</v>
      </c>
      <c r="D65" s="248" t="s">
        <v>324</v>
      </c>
      <c r="E65" s="263">
        <f t="shared" si="0"/>
        <v>2022</v>
      </c>
      <c r="F65" s="266" t="s">
        <v>274</v>
      </c>
      <c r="G65" s="265" t="s">
        <v>82</v>
      </c>
      <c r="H65" s="369">
        <v>4000</v>
      </c>
      <c r="I65" s="369">
        <f>IF(Table1[[#This Row],[TYPE]]="Income",Table1[[#This Row],[AMOUNT (₹)]],-Table1[[#This Row],[AMOUNT (₹)]])</f>
        <v>-4000</v>
      </c>
      <c r="J65" s="265"/>
      <c r="K65" s="348"/>
      <c r="L65" s="265">
        <f t="shared" si="1"/>
        <v>2022</v>
      </c>
      <c r="M65" s="259">
        <f ca="1">IF(L65="","",COUNTIF($L$9:INDIRECT("K"&amp;ROW()),L65))</f>
        <v>8</v>
      </c>
    </row>
    <row r="66" spans="3:13" ht="18" hidden="1" customHeight="1" outlineLevel="1" x14ac:dyDescent="0.2">
      <c r="C66" s="252">
        <v>44699</v>
      </c>
      <c r="D66" s="248" t="s">
        <v>325</v>
      </c>
      <c r="E66" s="263">
        <f t="shared" si="0"/>
        <v>2022</v>
      </c>
      <c r="F66" s="266" t="s">
        <v>274</v>
      </c>
      <c r="G66" s="265" t="s">
        <v>82</v>
      </c>
      <c r="H66" s="369">
        <v>1174</v>
      </c>
      <c r="I66" s="369">
        <f>IF(Table1[[#This Row],[TYPE]]="Income",Table1[[#This Row],[AMOUNT (₹)]],-Table1[[#This Row],[AMOUNT (₹)]])</f>
        <v>-1174</v>
      </c>
      <c r="J66" s="265"/>
      <c r="K66" s="348"/>
      <c r="L66" s="265">
        <f t="shared" si="1"/>
        <v>2022</v>
      </c>
      <c r="M66" s="259">
        <f ca="1">IF(L66="","",COUNTIF($L$9:INDIRECT("K"&amp;ROW()),L66))</f>
        <v>9</v>
      </c>
    </row>
    <row r="67" spans="3:13" ht="18" hidden="1" customHeight="1" outlineLevel="1" x14ac:dyDescent="0.2">
      <c r="C67" s="252">
        <v>44699</v>
      </c>
      <c r="D67" s="248" t="s">
        <v>326</v>
      </c>
      <c r="E67" s="263">
        <f t="shared" si="0"/>
        <v>2022</v>
      </c>
      <c r="F67" s="267" t="s">
        <v>274</v>
      </c>
      <c r="G67" s="267" t="s">
        <v>88</v>
      </c>
      <c r="H67" s="268">
        <v>5088</v>
      </c>
      <c r="I67" s="268">
        <f>IF(Table1[[#This Row],[TYPE]]="Income",Table1[[#This Row],[AMOUNT (₹)]],-Table1[[#This Row],[AMOUNT (₹)]])</f>
        <v>-5088</v>
      </c>
      <c r="J67" s="265"/>
      <c r="K67" s="370"/>
      <c r="L67" s="265">
        <f t="shared" si="1"/>
        <v>2022</v>
      </c>
      <c r="M67" s="259">
        <f ca="1">IF(L67="","",COUNTIF($L$9:INDIRECT("K"&amp;ROW()),L67))</f>
        <v>10</v>
      </c>
    </row>
    <row r="68" spans="3:13" ht="18" hidden="1" customHeight="1" outlineLevel="1" x14ac:dyDescent="0.2">
      <c r="C68" s="252">
        <v>44699</v>
      </c>
      <c r="D68" s="248" t="s">
        <v>295</v>
      </c>
      <c r="E68" s="263">
        <f t="shared" si="0"/>
        <v>2022</v>
      </c>
      <c r="F68" s="266" t="s">
        <v>30</v>
      </c>
      <c r="G68" s="265" t="s">
        <v>98</v>
      </c>
      <c r="H68" s="369">
        <v>2000</v>
      </c>
      <c r="I68" s="369">
        <f>IF(Table1[[#This Row],[TYPE]]="Income",Table1[[#This Row],[AMOUNT (₹)]],-Table1[[#This Row],[AMOUNT (₹)]])</f>
        <v>-2000</v>
      </c>
      <c r="J68" s="265"/>
      <c r="K68" s="348"/>
      <c r="L68" s="265">
        <f t="shared" si="1"/>
        <v>2022</v>
      </c>
      <c r="M68" s="259">
        <f ca="1">IF(L68="","",COUNTIF($L$9:INDIRECT("K"&amp;ROW()),L68))</f>
        <v>11</v>
      </c>
    </row>
    <row r="69" spans="3:13" ht="18" hidden="1" customHeight="1" outlineLevel="1" x14ac:dyDescent="0.2">
      <c r="C69" s="252">
        <v>44712</v>
      </c>
      <c r="D69" s="248" t="s">
        <v>327</v>
      </c>
      <c r="E69" s="263">
        <f t="shared" si="0"/>
        <v>2022</v>
      </c>
      <c r="F69" s="266" t="s">
        <v>277</v>
      </c>
      <c r="G69" s="265" t="s">
        <v>111</v>
      </c>
      <c r="H69" s="369">
        <v>26000</v>
      </c>
      <c r="I69" s="369">
        <f>IF(Table1[[#This Row],[TYPE]]="Income",Table1[[#This Row],[AMOUNT (₹)]],-Table1[[#This Row],[AMOUNT (₹)]])</f>
        <v>26000</v>
      </c>
      <c r="J69" s="265"/>
      <c r="K69" s="348"/>
      <c r="L69" s="265">
        <f t="shared" si="1"/>
        <v>2022</v>
      </c>
      <c r="M69" s="259">
        <f ca="1">IF(L69="","",COUNTIF($L$9:INDIRECT("K"&amp;ROW()),L69))</f>
        <v>12</v>
      </c>
    </row>
    <row r="70" spans="3:13" ht="18" hidden="1" customHeight="1" outlineLevel="1" x14ac:dyDescent="0.2">
      <c r="C70" s="252">
        <v>44722</v>
      </c>
      <c r="D70" s="248" t="s">
        <v>328</v>
      </c>
      <c r="E70" s="263">
        <f t="shared" si="0"/>
        <v>2022</v>
      </c>
      <c r="F70" s="266" t="s">
        <v>274</v>
      </c>
      <c r="G70" s="265" t="s">
        <v>82</v>
      </c>
      <c r="H70" s="369">
        <v>3560</v>
      </c>
      <c r="I70" s="369">
        <f>IF(Table1[[#This Row],[TYPE]]="Income",Table1[[#This Row],[AMOUNT (₹)]],-Table1[[#This Row],[AMOUNT (₹)]])</f>
        <v>-3560</v>
      </c>
      <c r="J70" s="265"/>
      <c r="K70" s="348"/>
      <c r="L70" s="265">
        <f t="shared" si="1"/>
        <v>2022</v>
      </c>
      <c r="M70" s="259">
        <f ca="1">IF(L70="","",COUNTIF($L$9:INDIRECT("K"&amp;ROW()),L70))</f>
        <v>13</v>
      </c>
    </row>
    <row r="71" spans="3:13" ht="18" hidden="1" customHeight="1" outlineLevel="1" x14ac:dyDescent="0.2">
      <c r="C71" s="252">
        <v>44722</v>
      </c>
      <c r="D71" s="248" t="s">
        <v>329</v>
      </c>
      <c r="E71" s="263">
        <f t="shared" si="0"/>
        <v>2022</v>
      </c>
      <c r="F71" s="266" t="s">
        <v>274</v>
      </c>
      <c r="G71" s="265" t="s">
        <v>82</v>
      </c>
      <c r="H71" s="369">
        <v>5000</v>
      </c>
      <c r="I71" s="369">
        <f>IF(Table1[[#This Row],[TYPE]]="Income",Table1[[#This Row],[AMOUNT (₹)]],-Table1[[#This Row],[AMOUNT (₹)]])</f>
        <v>-5000</v>
      </c>
      <c r="J71" s="265"/>
      <c r="K71" s="348"/>
      <c r="L71" s="265">
        <f t="shared" si="1"/>
        <v>2022</v>
      </c>
      <c r="M71" s="259">
        <f ca="1">IF(L71="","",COUNTIF($L$9:INDIRECT("K"&amp;ROW()),L71))</f>
        <v>14</v>
      </c>
    </row>
    <row r="72" spans="3:13" ht="18" hidden="1" customHeight="1" outlineLevel="1" x14ac:dyDescent="0.2">
      <c r="C72" s="252">
        <v>44722</v>
      </c>
      <c r="D72" s="248" t="s">
        <v>40</v>
      </c>
      <c r="E72" s="263">
        <f t="shared" si="0"/>
        <v>2022</v>
      </c>
      <c r="F72" s="267" t="s">
        <v>274</v>
      </c>
      <c r="G72" s="267" t="s">
        <v>88</v>
      </c>
      <c r="H72" s="268">
        <v>2000</v>
      </c>
      <c r="I72" s="268">
        <f>IF(Table1[[#This Row],[TYPE]]="Income",Table1[[#This Row],[AMOUNT (₹)]],-Table1[[#This Row],[AMOUNT (₹)]])</f>
        <v>-2000</v>
      </c>
      <c r="J72" s="265"/>
      <c r="K72" s="370"/>
      <c r="L72" s="265">
        <f t="shared" si="1"/>
        <v>2022</v>
      </c>
      <c r="M72" s="259">
        <f ca="1">IF(L72="","",COUNTIF($L$9:INDIRECT("K"&amp;ROW()),L72))</f>
        <v>15</v>
      </c>
    </row>
    <row r="73" spans="3:13" ht="18" hidden="1" customHeight="1" outlineLevel="1" x14ac:dyDescent="0.2">
      <c r="C73" s="252">
        <v>44742</v>
      </c>
      <c r="D73" s="248" t="s">
        <v>330</v>
      </c>
      <c r="E73" s="263">
        <f t="shared" ref="E73:E136" si="2">IFERROR(YEAR(C73),"")</f>
        <v>2022</v>
      </c>
      <c r="F73" s="266" t="s">
        <v>277</v>
      </c>
      <c r="G73" s="265" t="s">
        <v>111</v>
      </c>
      <c r="H73" s="369">
        <v>26000</v>
      </c>
      <c r="I73" s="369">
        <f>IF(Table1[[#This Row],[TYPE]]="Income",Table1[[#This Row],[AMOUNT (₹)]],-Table1[[#This Row],[AMOUNT (₹)]])</f>
        <v>26000</v>
      </c>
      <c r="J73" s="265"/>
      <c r="K73" s="348"/>
      <c r="L73" s="265">
        <f t="shared" ref="L73:L136" si="3">IFERROR(IF(MONTH(C73)&lt;=3,YEAR(C73)-1,YEAR(C73)),"")</f>
        <v>2022</v>
      </c>
      <c r="M73" s="259">
        <f ca="1">IF(L73="","",COUNTIF($L$9:INDIRECT("K"&amp;ROW()),L73))</f>
        <v>16</v>
      </c>
    </row>
    <row r="74" spans="3:13" ht="18" hidden="1" customHeight="1" outlineLevel="1" x14ac:dyDescent="0.2">
      <c r="C74" s="252">
        <v>44746</v>
      </c>
      <c r="D74" s="248" t="s">
        <v>331</v>
      </c>
      <c r="E74" s="263">
        <f t="shared" si="2"/>
        <v>2022</v>
      </c>
      <c r="F74" s="267" t="s">
        <v>274</v>
      </c>
      <c r="G74" s="267" t="s">
        <v>88</v>
      </c>
      <c r="H74" s="268">
        <v>11250</v>
      </c>
      <c r="I74" s="268">
        <f>IF(Table1[[#This Row],[TYPE]]="Income",Table1[[#This Row],[AMOUNT (₹)]],-Table1[[#This Row],[AMOUNT (₹)]])</f>
        <v>-11250</v>
      </c>
      <c r="J74" s="265"/>
      <c r="K74" s="370"/>
      <c r="L74" s="265">
        <f t="shared" si="3"/>
        <v>2022</v>
      </c>
      <c r="M74" s="259">
        <f ca="1">IF(L74="","",COUNTIF($L$9:INDIRECT("K"&amp;ROW()),L74))</f>
        <v>17</v>
      </c>
    </row>
    <row r="75" spans="3:13" ht="18" hidden="1" customHeight="1" outlineLevel="1" x14ac:dyDescent="0.2">
      <c r="C75" s="252">
        <v>44766</v>
      </c>
      <c r="D75" s="248" t="s">
        <v>332</v>
      </c>
      <c r="E75" s="263">
        <f t="shared" si="2"/>
        <v>2022</v>
      </c>
      <c r="F75" s="266" t="s">
        <v>274</v>
      </c>
      <c r="G75" s="265" t="s">
        <v>94</v>
      </c>
      <c r="H75" s="369">
        <v>1500</v>
      </c>
      <c r="I75" s="369">
        <f>IF(Table1[[#This Row],[TYPE]]="Income",Table1[[#This Row],[AMOUNT (₹)]],-Table1[[#This Row],[AMOUNT (₹)]])</f>
        <v>-1500</v>
      </c>
      <c r="J75" s="265"/>
      <c r="K75" s="348"/>
      <c r="L75" s="265">
        <f t="shared" si="3"/>
        <v>2022</v>
      </c>
      <c r="M75" s="259">
        <f ca="1">IF(L75="","",COUNTIF($L$9:INDIRECT("K"&amp;ROW()),L75))</f>
        <v>18</v>
      </c>
    </row>
    <row r="76" spans="3:13" ht="18" hidden="1" customHeight="1" outlineLevel="1" x14ac:dyDescent="0.2">
      <c r="C76" s="252">
        <v>44773</v>
      </c>
      <c r="D76" s="248" t="s">
        <v>41</v>
      </c>
      <c r="E76" s="263">
        <f t="shared" si="2"/>
        <v>2022</v>
      </c>
      <c r="F76" s="266" t="s">
        <v>274</v>
      </c>
      <c r="G76" s="265" t="s">
        <v>76</v>
      </c>
      <c r="H76" s="369">
        <v>2000</v>
      </c>
      <c r="I76" s="369">
        <f>IF(Table1[[#This Row],[TYPE]]="Income",Table1[[#This Row],[AMOUNT (₹)]],-Table1[[#This Row],[AMOUNT (₹)]])</f>
        <v>-2000</v>
      </c>
      <c r="J76" s="265"/>
      <c r="K76" s="348"/>
      <c r="L76" s="265">
        <f t="shared" si="3"/>
        <v>2022</v>
      </c>
      <c r="M76" s="259">
        <f ca="1">IF(L76="","",COUNTIF($L$9:INDIRECT("K"&amp;ROW()),L76))</f>
        <v>19</v>
      </c>
    </row>
    <row r="77" spans="3:13" ht="18" hidden="1" customHeight="1" outlineLevel="1" x14ac:dyDescent="0.2">
      <c r="C77" s="252">
        <v>44773</v>
      </c>
      <c r="D77" s="248" t="s">
        <v>96</v>
      </c>
      <c r="E77" s="263">
        <f t="shared" si="2"/>
        <v>2022</v>
      </c>
      <c r="F77" s="267" t="s">
        <v>274</v>
      </c>
      <c r="G77" s="269" t="s">
        <v>96</v>
      </c>
      <c r="H77" s="268">
        <v>5333</v>
      </c>
      <c r="I77" s="268">
        <f>IF(Table1[[#This Row],[TYPE]]="Income",Table1[[#This Row],[AMOUNT (₹)]],-Table1[[#This Row],[AMOUNT (₹)]])</f>
        <v>-5333</v>
      </c>
      <c r="J77" s="265" t="s">
        <v>333</v>
      </c>
      <c r="K77" s="348"/>
      <c r="L77" s="265">
        <f t="shared" si="3"/>
        <v>2022</v>
      </c>
      <c r="M77" s="259">
        <f ca="1">IF(L77="","",COUNTIF($L$9:INDIRECT("K"&amp;ROW()),L77))</f>
        <v>20</v>
      </c>
    </row>
    <row r="78" spans="3:13" ht="18" hidden="1" customHeight="1" outlineLevel="1" x14ac:dyDescent="0.2">
      <c r="C78" s="252">
        <v>44773</v>
      </c>
      <c r="D78" s="248" t="s">
        <v>334</v>
      </c>
      <c r="E78" s="263">
        <f t="shared" si="2"/>
        <v>2022</v>
      </c>
      <c r="F78" s="266" t="s">
        <v>277</v>
      </c>
      <c r="G78" s="265" t="s">
        <v>111</v>
      </c>
      <c r="H78" s="369">
        <v>26000</v>
      </c>
      <c r="I78" s="369">
        <f>IF(Table1[[#This Row],[TYPE]]="Income",Table1[[#This Row],[AMOUNT (₹)]],-Table1[[#This Row],[AMOUNT (₹)]])</f>
        <v>26000</v>
      </c>
      <c r="J78" s="265"/>
      <c r="K78" s="348"/>
      <c r="L78" s="265">
        <f t="shared" si="3"/>
        <v>2022</v>
      </c>
      <c r="M78" s="259">
        <f ca="1">IF(L78="","",COUNTIF($L$9:INDIRECT("K"&amp;ROW()),L78))</f>
        <v>21</v>
      </c>
    </row>
    <row r="79" spans="3:13" ht="18" hidden="1" customHeight="1" outlineLevel="1" x14ac:dyDescent="0.2">
      <c r="C79" s="252">
        <v>44774</v>
      </c>
      <c r="D79" s="248" t="s">
        <v>96</v>
      </c>
      <c r="E79" s="263">
        <f t="shared" si="2"/>
        <v>2022</v>
      </c>
      <c r="F79" s="267" t="s">
        <v>274</v>
      </c>
      <c r="G79" s="269" t="s">
        <v>96</v>
      </c>
      <c r="H79" s="268">
        <v>5333</v>
      </c>
      <c r="I79" s="268">
        <f>IF(Table1[[#This Row],[TYPE]]="Income",Table1[[#This Row],[AMOUNT (₹)]],-Table1[[#This Row],[AMOUNT (₹)]])</f>
        <v>-5333</v>
      </c>
      <c r="J79" s="265" t="s">
        <v>275</v>
      </c>
      <c r="K79" s="370"/>
      <c r="L79" s="265">
        <f t="shared" si="3"/>
        <v>2022</v>
      </c>
      <c r="M79" s="259">
        <f ca="1">IF(L79="","",COUNTIF($L$9:INDIRECT("K"&amp;ROW()),L79))</f>
        <v>22</v>
      </c>
    </row>
    <row r="80" spans="3:13" ht="18" hidden="1" customHeight="1" outlineLevel="1" x14ac:dyDescent="0.2">
      <c r="C80" s="252">
        <v>44774</v>
      </c>
      <c r="D80" s="248" t="s">
        <v>335</v>
      </c>
      <c r="E80" s="263">
        <f t="shared" si="2"/>
        <v>2022</v>
      </c>
      <c r="F80" s="266" t="s">
        <v>274</v>
      </c>
      <c r="G80" s="265" t="s">
        <v>92</v>
      </c>
      <c r="H80" s="369">
        <v>23096</v>
      </c>
      <c r="I80" s="369">
        <f>IF(Table1[[#This Row],[TYPE]]="Income",Table1[[#This Row],[AMOUNT (₹)]],-Table1[[#This Row],[AMOUNT (₹)]])</f>
        <v>-23096</v>
      </c>
      <c r="J80" s="265"/>
      <c r="K80" s="348"/>
      <c r="L80" s="265">
        <f t="shared" si="3"/>
        <v>2022</v>
      </c>
      <c r="M80" s="259">
        <f ca="1">IF(L80="","",COUNTIF($L$9:INDIRECT("K"&amp;ROW()),L80))</f>
        <v>23</v>
      </c>
    </row>
    <row r="81" spans="3:13" ht="18" hidden="1" customHeight="1" outlineLevel="1" x14ac:dyDescent="0.2">
      <c r="C81" s="252">
        <v>44775</v>
      </c>
      <c r="D81" s="248" t="s">
        <v>332</v>
      </c>
      <c r="E81" s="263">
        <f t="shared" si="2"/>
        <v>2022</v>
      </c>
      <c r="F81" s="266" t="s">
        <v>274</v>
      </c>
      <c r="G81" s="265" t="s">
        <v>94</v>
      </c>
      <c r="H81" s="369">
        <v>1000</v>
      </c>
      <c r="I81" s="369">
        <f>IF(Table1[[#This Row],[TYPE]]="Income",Table1[[#This Row],[AMOUNT (₹)]],-Table1[[#This Row],[AMOUNT (₹)]])</f>
        <v>-1000</v>
      </c>
      <c r="J81" s="265"/>
      <c r="K81" s="348"/>
      <c r="L81" s="265">
        <f t="shared" si="3"/>
        <v>2022</v>
      </c>
      <c r="M81" s="259">
        <f ca="1">IF(L81="","",COUNTIF($L$9:INDIRECT("K"&amp;ROW()),L81))</f>
        <v>24</v>
      </c>
    </row>
    <row r="82" spans="3:13" ht="18" hidden="1" customHeight="1" outlineLevel="1" x14ac:dyDescent="0.2">
      <c r="C82" s="252">
        <v>44777</v>
      </c>
      <c r="D82" s="248" t="s">
        <v>336</v>
      </c>
      <c r="E82" s="263">
        <f t="shared" si="2"/>
        <v>2022</v>
      </c>
      <c r="F82" s="267" t="s">
        <v>274</v>
      </c>
      <c r="G82" s="267" t="s">
        <v>88</v>
      </c>
      <c r="H82" s="268">
        <v>13000</v>
      </c>
      <c r="I82" s="268">
        <f>IF(Table1[[#This Row],[TYPE]]="Income",Table1[[#This Row],[AMOUNT (₹)]],-Table1[[#This Row],[AMOUNT (₹)]])</f>
        <v>-13000</v>
      </c>
      <c r="J82" s="265"/>
      <c r="K82" s="370"/>
      <c r="L82" s="265">
        <f t="shared" si="3"/>
        <v>2022</v>
      </c>
      <c r="M82" s="259">
        <f ca="1">IF(L82="","",COUNTIF($L$9:INDIRECT("K"&amp;ROW()),L82))</f>
        <v>25</v>
      </c>
    </row>
    <row r="83" spans="3:13" ht="18" hidden="1" customHeight="1" outlineLevel="1" x14ac:dyDescent="0.2">
      <c r="C83" s="252">
        <v>44779</v>
      </c>
      <c r="D83" s="248" t="s">
        <v>337</v>
      </c>
      <c r="E83" s="263">
        <f t="shared" si="2"/>
        <v>2022</v>
      </c>
      <c r="F83" s="266" t="s">
        <v>274</v>
      </c>
      <c r="G83" s="265" t="s">
        <v>92</v>
      </c>
      <c r="H83" s="369">
        <v>915</v>
      </c>
      <c r="I83" s="369">
        <f>IF(Table1[[#This Row],[TYPE]]="Income",Table1[[#This Row],[AMOUNT (₹)]],-Table1[[#This Row],[AMOUNT (₹)]])</f>
        <v>-915</v>
      </c>
      <c r="J83" s="265"/>
      <c r="K83" s="348"/>
      <c r="L83" s="265">
        <f t="shared" si="3"/>
        <v>2022</v>
      </c>
      <c r="M83" s="259">
        <f ca="1">IF(L83="","",COUNTIF($L$9:INDIRECT("K"&amp;ROW()),L83))</f>
        <v>26</v>
      </c>
    </row>
    <row r="84" spans="3:13" ht="18" hidden="1" customHeight="1" outlineLevel="1" x14ac:dyDescent="0.2">
      <c r="C84" s="252">
        <v>44804</v>
      </c>
      <c r="D84" s="248" t="s">
        <v>338</v>
      </c>
      <c r="E84" s="263">
        <f t="shared" si="2"/>
        <v>2022</v>
      </c>
      <c r="F84" s="266" t="s">
        <v>277</v>
      </c>
      <c r="G84" s="265" t="s">
        <v>111</v>
      </c>
      <c r="H84" s="369">
        <v>26000</v>
      </c>
      <c r="I84" s="369">
        <f>IF(Table1[[#This Row],[TYPE]]="Income",Table1[[#This Row],[AMOUNT (₹)]],-Table1[[#This Row],[AMOUNT (₹)]])</f>
        <v>26000</v>
      </c>
      <c r="J84" s="265"/>
      <c r="K84" s="348"/>
      <c r="L84" s="265">
        <f t="shared" si="3"/>
        <v>2022</v>
      </c>
      <c r="M84" s="259">
        <f ca="1">IF(L84="","",COUNTIF($L$9:INDIRECT("K"&amp;ROW()),L84))</f>
        <v>27</v>
      </c>
    </row>
    <row r="85" spans="3:13" ht="18" hidden="1" customHeight="1" outlineLevel="1" x14ac:dyDescent="0.2">
      <c r="C85" s="252">
        <v>44805</v>
      </c>
      <c r="D85" s="248" t="s">
        <v>96</v>
      </c>
      <c r="E85" s="263">
        <f t="shared" si="2"/>
        <v>2022</v>
      </c>
      <c r="F85" s="267" t="s">
        <v>274</v>
      </c>
      <c r="G85" s="269" t="s">
        <v>96</v>
      </c>
      <c r="H85" s="268">
        <v>5333</v>
      </c>
      <c r="I85" s="268">
        <f>IF(Table1[[#This Row],[TYPE]]="Income",Table1[[#This Row],[AMOUNT (₹)]],-Table1[[#This Row],[AMOUNT (₹)]])</f>
        <v>-5333</v>
      </c>
      <c r="J85" s="265"/>
      <c r="K85" s="370"/>
      <c r="L85" s="265">
        <f t="shared" si="3"/>
        <v>2022</v>
      </c>
      <c r="M85" s="259">
        <f ca="1">IF(L85="","",COUNTIF($L$9:INDIRECT("K"&amp;ROW()),L85))</f>
        <v>28</v>
      </c>
    </row>
    <row r="86" spans="3:13" ht="18" hidden="1" customHeight="1" outlineLevel="1" x14ac:dyDescent="0.2">
      <c r="C86" s="252">
        <v>44813</v>
      </c>
      <c r="D86" s="248" t="s">
        <v>339</v>
      </c>
      <c r="E86" s="263">
        <f t="shared" si="2"/>
        <v>2022</v>
      </c>
      <c r="F86" s="267" t="s">
        <v>274</v>
      </c>
      <c r="G86" s="267" t="s">
        <v>88</v>
      </c>
      <c r="H86" s="268">
        <v>4000</v>
      </c>
      <c r="I86" s="268">
        <f>IF(Table1[[#This Row],[TYPE]]="Income",Table1[[#This Row],[AMOUNT (₹)]],-Table1[[#This Row],[AMOUNT (₹)]])</f>
        <v>-4000</v>
      </c>
      <c r="J86" s="265"/>
      <c r="K86" s="370"/>
      <c r="L86" s="265">
        <f t="shared" si="3"/>
        <v>2022</v>
      </c>
      <c r="M86" s="259">
        <f ca="1">IF(L86="","",COUNTIF($L$9:INDIRECT("K"&amp;ROW()),L86))</f>
        <v>29</v>
      </c>
    </row>
    <row r="87" spans="3:13" ht="18" hidden="1" customHeight="1" outlineLevel="1" x14ac:dyDescent="0.2">
      <c r="C87" s="252">
        <v>44823</v>
      </c>
      <c r="D87" s="248" t="s">
        <v>340</v>
      </c>
      <c r="E87" s="263">
        <f t="shared" si="2"/>
        <v>2022</v>
      </c>
      <c r="F87" s="266" t="s">
        <v>274</v>
      </c>
      <c r="G87" s="265" t="s">
        <v>82</v>
      </c>
      <c r="H87" s="369">
        <v>1200</v>
      </c>
      <c r="I87" s="369">
        <f>IF(Table1[[#This Row],[TYPE]]="Income",Table1[[#This Row],[AMOUNT (₹)]],-Table1[[#This Row],[AMOUNT (₹)]])</f>
        <v>-1200</v>
      </c>
      <c r="J87" s="265"/>
      <c r="K87" s="348"/>
      <c r="L87" s="265">
        <f t="shared" si="3"/>
        <v>2022</v>
      </c>
      <c r="M87" s="259">
        <f ca="1">IF(L87="","",COUNTIF($L$9:INDIRECT("K"&amp;ROW()),L87))</f>
        <v>30</v>
      </c>
    </row>
    <row r="88" spans="3:13" ht="18" hidden="1" customHeight="1" outlineLevel="1" x14ac:dyDescent="0.2">
      <c r="C88" s="252">
        <v>44833</v>
      </c>
      <c r="D88" s="248" t="s">
        <v>341</v>
      </c>
      <c r="E88" s="263">
        <f t="shared" si="2"/>
        <v>2022</v>
      </c>
      <c r="F88" s="266" t="s">
        <v>274</v>
      </c>
      <c r="G88" s="265" t="s">
        <v>92</v>
      </c>
      <c r="H88" s="369">
        <v>11500</v>
      </c>
      <c r="I88" s="369">
        <f>IF(Table1[[#This Row],[TYPE]]="Income",Table1[[#This Row],[AMOUNT (₹)]],-Table1[[#This Row],[AMOUNT (₹)]])</f>
        <v>-11500</v>
      </c>
      <c r="J88" s="265"/>
      <c r="K88" s="348"/>
      <c r="L88" s="265">
        <f t="shared" si="3"/>
        <v>2022</v>
      </c>
      <c r="M88" s="259">
        <f ca="1">IF(L88="","",COUNTIF($L$9:INDIRECT("K"&amp;ROW()),L88))</f>
        <v>31</v>
      </c>
    </row>
    <row r="89" spans="3:13" ht="18" hidden="1" customHeight="1" outlineLevel="1" x14ac:dyDescent="0.2">
      <c r="C89" s="252">
        <v>44834</v>
      </c>
      <c r="D89" s="248" t="s">
        <v>342</v>
      </c>
      <c r="E89" s="263">
        <f t="shared" si="2"/>
        <v>2022</v>
      </c>
      <c r="F89" s="266" t="s">
        <v>277</v>
      </c>
      <c r="G89" s="265" t="s">
        <v>111</v>
      </c>
      <c r="H89" s="369">
        <v>26000</v>
      </c>
      <c r="I89" s="369">
        <f>IF(Table1[[#This Row],[TYPE]]="Income",Table1[[#This Row],[AMOUNT (₹)]],-Table1[[#This Row],[AMOUNT (₹)]])</f>
        <v>26000</v>
      </c>
      <c r="J89" s="265"/>
      <c r="K89" s="348"/>
      <c r="L89" s="265">
        <f t="shared" si="3"/>
        <v>2022</v>
      </c>
      <c r="M89" s="259">
        <f ca="1">IF(L89="","",COUNTIF($L$9:INDIRECT("K"&amp;ROW()),L89))</f>
        <v>32</v>
      </c>
    </row>
    <row r="90" spans="3:13" ht="18" hidden="1" customHeight="1" outlineLevel="1" x14ac:dyDescent="0.2">
      <c r="C90" s="252">
        <v>44835</v>
      </c>
      <c r="D90" s="248" t="s">
        <v>96</v>
      </c>
      <c r="E90" s="263">
        <f t="shared" si="2"/>
        <v>2022</v>
      </c>
      <c r="F90" s="267" t="s">
        <v>274</v>
      </c>
      <c r="G90" s="269" t="s">
        <v>96</v>
      </c>
      <c r="H90" s="268">
        <v>5333</v>
      </c>
      <c r="I90" s="268">
        <f>IF(Table1[[#This Row],[TYPE]]="Income",Table1[[#This Row],[AMOUNT (₹)]],-Table1[[#This Row],[AMOUNT (₹)]])</f>
        <v>-5333</v>
      </c>
      <c r="J90" s="265"/>
      <c r="K90" s="370"/>
      <c r="L90" s="265">
        <f t="shared" si="3"/>
        <v>2022</v>
      </c>
      <c r="M90" s="259">
        <f ca="1">IF(L90="","",COUNTIF($L$9:INDIRECT("K"&amp;ROW()),L90))</f>
        <v>33</v>
      </c>
    </row>
    <row r="91" spans="3:13" ht="18" hidden="1" customHeight="1" outlineLevel="1" x14ac:dyDescent="0.2">
      <c r="C91" s="252">
        <v>44839</v>
      </c>
      <c r="D91" s="248" t="s">
        <v>343</v>
      </c>
      <c r="E91" s="263">
        <f t="shared" si="2"/>
        <v>2022</v>
      </c>
      <c r="F91" s="266" t="s">
        <v>274</v>
      </c>
      <c r="G91" s="265" t="s">
        <v>82</v>
      </c>
      <c r="H91" s="369">
        <v>4460</v>
      </c>
      <c r="I91" s="369">
        <f>IF(Table1[[#This Row],[TYPE]]="Income",Table1[[#This Row],[AMOUNT (₹)]],-Table1[[#This Row],[AMOUNT (₹)]])</f>
        <v>-4460</v>
      </c>
      <c r="J91" s="265"/>
      <c r="K91" s="348"/>
      <c r="L91" s="265">
        <f t="shared" si="3"/>
        <v>2022</v>
      </c>
      <c r="M91" s="259">
        <f ca="1">IF(L91="","",COUNTIF($L$9:INDIRECT("K"&amp;ROW()),L91))</f>
        <v>34</v>
      </c>
    </row>
    <row r="92" spans="3:13" ht="18" hidden="1" customHeight="1" outlineLevel="1" x14ac:dyDescent="0.2">
      <c r="C92" s="252">
        <v>44843</v>
      </c>
      <c r="D92" s="248" t="s">
        <v>344</v>
      </c>
      <c r="E92" s="263">
        <f t="shared" si="2"/>
        <v>2022</v>
      </c>
      <c r="F92" s="267" t="s">
        <v>274</v>
      </c>
      <c r="G92" s="267" t="s">
        <v>88</v>
      </c>
      <c r="H92" s="268">
        <v>13500</v>
      </c>
      <c r="I92" s="268">
        <f>IF(Table1[[#This Row],[TYPE]]="Income",Table1[[#This Row],[AMOUNT (₹)]],-Table1[[#This Row],[AMOUNT (₹)]])</f>
        <v>-13500</v>
      </c>
      <c r="J92" s="265"/>
      <c r="K92" s="348"/>
      <c r="L92" s="265">
        <f t="shared" si="3"/>
        <v>2022</v>
      </c>
      <c r="M92" s="259">
        <f ca="1">IF(L92="","",COUNTIF($L$9:INDIRECT("K"&amp;ROW()),L92))</f>
        <v>35</v>
      </c>
    </row>
    <row r="93" spans="3:13" ht="18" hidden="1" customHeight="1" outlineLevel="1" x14ac:dyDescent="0.2">
      <c r="C93" s="252">
        <v>44844</v>
      </c>
      <c r="D93" s="248" t="s">
        <v>345</v>
      </c>
      <c r="E93" s="263">
        <f t="shared" si="2"/>
        <v>2022</v>
      </c>
      <c r="F93" s="266" t="s">
        <v>30</v>
      </c>
      <c r="G93" s="265" t="s">
        <v>98</v>
      </c>
      <c r="H93" s="369">
        <v>1000</v>
      </c>
      <c r="I93" s="369">
        <f>IF(Table1[[#This Row],[TYPE]]="Income",Table1[[#This Row],[AMOUNT (₹)]],-Table1[[#This Row],[AMOUNT (₹)]])</f>
        <v>-1000</v>
      </c>
      <c r="J93" s="265"/>
      <c r="K93" s="348"/>
      <c r="L93" s="265">
        <f t="shared" si="3"/>
        <v>2022</v>
      </c>
      <c r="M93" s="259">
        <f ca="1">IF(L93="","",COUNTIF($L$9:INDIRECT("K"&amp;ROW()),L93))</f>
        <v>36</v>
      </c>
    </row>
    <row r="94" spans="3:13" ht="18" hidden="1" customHeight="1" outlineLevel="1" x14ac:dyDescent="0.2">
      <c r="C94" s="252">
        <v>44847</v>
      </c>
      <c r="D94" s="248" t="s">
        <v>295</v>
      </c>
      <c r="E94" s="263">
        <f t="shared" si="2"/>
        <v>2022</v>
      </c>
      <c r="F94" s="266" t="s">
        <v>30</v>
      </c>
      <c r="G94" s="265" t="s">
        <v>98</v>
      </c>
      <c r="H94" s="369">
        <v>800</v>
      </c>
      <c r="I94" s="369">
        <f>IF(Table1[[#This Row],[TYPE]]="Income",Table1[[#This Row],[AMOUNT (₹)]],-Table1[[#This Row],[AMOUNT (₹)]])</f>
        <v>-800</v>
      </c>
      <c r="J94" s="265"/>
      <c r="K94" s="348"/>
      <c r="L94" s="265">
        <f t="shared" si="3"/>
        <v>2022</v>
      </c>
      <c r="M94" s="259">
        <f ca="1">IF(L94="","",COUNTIF($L$9:INDIRECT("K"&amp;ROW()),L94))</f>
        <v>37</v>
      </c>
    </row>
    <row r="95" spans="3:13" ht="18" hidden="1" customHeight="1" outlineLevel="1" x14ac:dyDescent="0.2">
      <c r="C95" s="252">
        <v>44856</v>
      </c>
      <c r="D95" s="248" t="s">
        <v>346</v>
      </c>
      <c r="E95" s="263">
        <f t="shared" si="2"/>
        <v>2022</v>
      </c>
      <c r="F95" s="266" t="s">
        <v>274</v>
      </c>
      <c r="G95" s="265" t="s">
        <v>82</v>
      </c>
      <c r="H95" s="369">
        <v>800</v>
      </c>
      <c r="I95" s="369">
        <f>IF(Table1[[#This Row],[TYPE]]="Income",Table1[[#This Row],[AMOUNT (₹)]],-Table1[[#This Row],[AMOUNT (₹)]])</f>
        <v>-800</v>
      </c>
      <c r="J95" s="265"/>
      <c r="K95" s="348"/>
      <c r="L95" s="265">
        <f t="shared" si="3"/>
        <v>2022</v>
      </c>
      <c r="M95" s="259">
        <f ca="1">IF(L95="","",COUNTIF($L$9:INDIRECT("K"&amp;ROW()),L95))</f>
        <v>38</v>
      </c>
    </row>
    <row r="96" spans="3:13" ht="18" hidden="1" customHeight="1" outlineLevel="1" x14ac:dyDescent="0.2">
      <c r="C96" s="252">
        <v>44859</v>
      </c>
      <c r="D96" s="248" t="s">
        <v>347</v>
      </c>
      <c r="E96" s="263">
        <f t="shared" si="2"/>
        <v>2022</v>
      </c>
      <c r="F96" s="266" t="s">
        <v>274</v>
      </c>
      <c r="G96" s="265" t="s">
        <v>82</v>
      </c>
      <c r="H96" s="369">
        <v>1801</v>
      </c>
      <c r="I96" s="369">
        <f>IF(Table1[[#This Row],[TYPE]]="Income",Table1[[#This Row],[AMOUNT (₹)]],-Table1[[#This Row],[AMOUNT (₹)]])</f>
        <v>-1801</v>
      </c>
      <c r="J96" s="265"/>
      <c r="K96" s="348"/>
      <c r="L96" s="265">
        <f t="shared" si="3"/>
        <v>2022</v>
      </c>
      <c r="M96" s="259">
        <f ca="1">IF(L96="","",COUNTIF($L$9:INDIRECT("K"&amp;ROW()),L96))</f>
        <v>39</v>
      </c>
    </row>
    <row r="97" spans="3:13" ht="18" hidden="1" customHeight="1" outlineLevel="1" x14ac:dyDescent="0.2">
      <c r="C97" s="252">
        <v>44862</v>
      </c>
      <c r="D97" s="248" t="s">
        <v>348</v>
      </c>
      <c r="E97" s="263">
        <f t="shared" si="2"/>
        <v>2022</v>
      </c>
      <c r="F97" s="266" t="s">
        <v>274</v>
      </c>
      <c r="G97" s="265" t="s">
        <v>82</v>
      </c>
      <c r="H97" s="369">
        <v>1500</v>
      </c>
      <c r="I97" s="369">
        <f>IF(Table1[[#This Row],[TYPE]]="Income",Table1[[#This Row],[AMOUNT (₹)]],-Table1[[#This Row],[AMOUNT (₹)]])</f>
        <v>-1500</v>
      </c>
      <c r="J97" s="265"/>
      <c r="K97" s="348"/>
      <c r="L97" s="265">
        <f t="shared" si="3"/>
        <v>2022</v>
      </c>
      <c r="M97" s="259">
        <f ca="1">IF(L97="","",COUNTIF($L$9:INDIRECT("K"&amp;ROW()),L97))</f>
        <v>40</v>
      </c>
    </row>
    <row r="98" spans="3:13" ht="18" hidden="1" customHeight="1" outlineLevel="1" x14ac:dyDescent="0.2">
      <c r="C98" s="252">
        <v>44865</v>
      </c>
      <c r="D98" s="248" t="s">
        <v>349</v>
      </c>
      <c r="E98" s="263">
        <f t="shared" si="2"/>
        <v>2022</v>
      </c>
      <c r="F98" s="266" t="s">
        <v>277</v>
      </c>
      <c r="G98" s="265" t="s">
        <v>111</v>
      </c>
      <c r="H98" s="369">
        <v>26852</v>
      </c>
      <c r="I98" s="369">
        <f>IF(Table1[[#This Row],[TYPE]]="Income",Table1[[#This Row],[AMOUNT (₹)]],-Table1[[#This Row],[AMOUNT (₹)]])</f>
        <v>26852</v>
      </c>
      <c r="J98" s="265"/>
      <c r="K98" s="348"/>
      <c r="L98" s="265">
        <f t="shared" si="3"/>
        <v>2022</v>
      </c>
      <c r="M98" s="259">
        <f ca="1">IF(L98="","",COUNTIF($L$9:INDIRECT("K"&amp;ROW()),L98))</f>
        <v>41</v>
      </c>
    </row>
    <row r="99" spans="3:13" ht="18" hidden="1" customHeight="1" outlineLevel="1" x14ac:dyDescent="0.2">
      <c r="C99" s="252">
        <v>44866</v>
      </c>
      <c r="D99" s="248" t="s">
        <v>96</v>
      </c>
      <c r="E99" s="263">
        <f t="shared" si="2"/>
        <v>2022</v>
      </c>
      <c r="F99" s="267" t="s">
        <v>274</v>
      </c>
      <c r="G99" s="269" t="s">
        <v>96</v>
      </c>
      <c r="H99" s="268">
        <v>5333</v>
      </c>
      <c r="I99" s="268">
        <f>IF(Table1[[#This Row],[TYPE]]="Income",Table1[[#This Row],[AMOUNT (₹)]],-Table1[[#This Row],[AMOUNT (₹)]])</f>
        <v>-5333</v>
      </c>
      <c r="J99" s="265"/>
      <c r="K99" s="370"/>
      <c r="L99" s="265">
        <f t="shared" si="3"/>
        <v>2022</v>
      </c>
      <c r="M99" s="259">
        <f ca="1">IF(L99="","",COUNTIF($L$9:INDIRECT("K"&amp;ROW()),L99))</f>
        <v>42</v>
      </c>
    </row>
    <row r="100" spans="3:13" ht="18" hidden="1" customHeight="1" outlineLevel="1" x14ac:dyDescent="0.2">
      <c r="C100" s="252">
        <v>44875</v>
      </c>
      <c r="D100" s="248" t="s">
        <v>252</v>
      </c>
      <c r="E100" s="263">
        <f t="shared" si="2"/>
        <v>2022</v>
      </c>
      <c r="F100" s="266" t="s">
        <v>30</v>
      </c>
      <c r="G100" s="265" t="s">
        <v>98</v>
      </c>
      <c r="H100" s="369">
        <v>1000</v>
      </c>
      <c r="I100" s="369">
        <f>IF(Table1[[#This Row],[TYPE]]="Income",Table1[[#This Row],[AMOUNT (₹)]],-Table1[[#This Row],[AMOUNT (₹)]])</f>
        <v>-1000</v>
      </c>
      <c r="J100" s="265"/>
      <c r="K100" s="348"/>
      <c r="L100" s="265">
        <f t="shared" si="3"/>
        <v>2022</v>
      </c>
      <c r="M100" s="259">
        <f ca="1">IF(L100="","",COUNTIF($L$9:INDIRECT("K"&amp;ROW()),L100))</f>
        <v>43</v>
      </c>
    </row>
    <row r="101" spans="3:13" ht="18" hidden="1" customHeight="1" outlineLevel="1" x14ac:dyDescent="0.2">
      <c r="C101" s="252">
        <v>44877</v>
      </c>
      <c r="D101" s="248" t="s">
        <v>252</v>
      </c>
      <c r="E101" s="263">
        <f t="shared" si="2"/>
        <v>2022</v>
      </c>
      <c r="F101" s="267" t="s">
        <v>274</v>
      </c>
      <c r="G101" s="267" t="s">
        <v>88</v>
      </c>
      <c r="H101" s="268">
        <v>3500</v>
      </c>
      <c r="I101" s="268">
        <f>IF(Table1[[#This Row],[TYPE]]="Income",Table1[[#This Row],[AMOUNT (₹)]],-Table1[[#This Row],[AMOUNT (₹)]])</f>
        <v>-3500</v>
      </c>
      <c r="J101" s="265"/>
      <c r="K101" s="370"/>
      <c r="L101" s="265">
        <f t="shared" si="3"/>
        <v>2022</v>
      </c>
      <c r="M101" s="259">
        <f ca="1">IF(L101="","",COUNTIF($L$9:INDIRECT("K"&amp;ROW()),L101))</f>
        <v>44</v>
      </c>
    </row>
    <row r="102" spans="3:13" ht="18" hidden="1" customHeight="1" outlineLevel="1" x14ac:dyDescent="0.2">
      <c r="C102" s="252">
        <v>44886</v>
      </c>
      <c r="D102" s="248" t="s">
        <v>350</v>
      </c>
      <c r="E102" s="263">
        <f t="shared" si="2"/>
        <v>2022</v>
      </c>
      <c r="F102" s="266" t="s">
        <v>274</v>
      </c>
      <c r="G102" s="265" t="s">
        <v>82</v>
      </c>
      <c r="H102" s="369">
        <v>3300</v>
      </c>
      <c r="I102" s="369">
        <f>IF(Table1[[#This Row],[TYPE]]="Income",Table1[[#This Row],[AMOUNT (₹)]],-Table1[[#This Row],[AMOUNT (₹)]])</f>
        <v>-3300</v>
      </c>
      <c r="J102" s="265"/>
      <c r="K102" s="348"/>
      <c r="L102" s="265">
        <f t="shared" si="3"/>
        <v>2022</v>
      </c>
      <c r="M102" s="259">
        <f ca="1">IF(L102="","",COUNTIF($L$9:INDIRECT("K"&amp;ROW()),L102))</f>
        <v>45</v>
      </c>
    </row>
    <row r="103" spans="3:13" ht="18" hidden="1" customHeight="1" outlineLevel="1" x14ac:dyDescent="0.2">
      <c r="C103" s="252">
        <v>44886</v>
      </c>
      <c r="D103" s="248" t="s">
        <v>351</v>
      </c>
      <c r="E103" s="263">
        <f t="shared" si="2"/>
        <v>2022</v>
      </c>
      <c r="F103" s="266" t="s">
        <v>274</v>
      </c>
      <c r="G103" s="265" t="s">
        <v>82</v>
      </c>
      <c r="H103" s="369">
        <v>1050</v>
      </c>
      <c r="I103" s="369">
        <f>IF(Table1[[#This Row],[TYPE]]="Income",Table1[[#This Row],[AMOUNT (₹)]],-Table1[[#This Row],[AMOUNT (₹)]])</f>
        <v>-1050</v>
      </c>
      <c r="J103" s="265"/>
      <c r="K103" s="348"/>
      <c r="L103" s="265">
        <f t="shared" si="3"/>
        <v>2022</v>
      </c>
      <c r="M103" s="259">
        <f ca="1">IF(L103="","",COUNTIF($L$9:INDIRECT("K"&amp;ROW()),L103))</f>
        <v>46</v>
      </c>
    </row>
    <row r="104" spans="3:13" ht="18" hidden="1" customHeight="1" outlineLevel="1" x14ac:dyDescent="0.2">
      <c r="C104" s="252">
        <v>44895</v>
      </c>
      <c r="D104" s="248" t="s">
        <v>294</v>
      </c>
      <c r="E104" s="263">
        <f t="shared" si="2"/>
        <v>2022</v>
      </c>
      <c r="F104" s="266" t="s">
        <v>277</v>
      </c>
      <c r="G104" s="265" t="s">
        <v>111</v>
      </c>
      <c r="H104" s="369">
        <v>30662</v>
      </c>
      <c r="I104" s="369">
        <f>IF(Table1[[#This Row],[TYPE]]="Income",Table1[[#This Row],[AMOUNT (₹)]],-Table1[[#This Row],[AMOUNT (₹)]])</f>
        <v>30662</v>
      </c>
      <c r="J104" s="265"/>
      <c r="K104" s="348"/>
      <c r="L104" s="265">
        <f t="shared" si="3"/>
        <v>2022</v>
      </c>
      <c r="M104" s="259">
        <f ca="1">IF(L104="","",COUNTIF($L$9:INDIRECT("K"&amp;ROW()),L104))</f>
        <v>47</v>
      </c>
    </row>
    <row r="105" spans="3:13" ht="18" hidden="1" customHeight="1" outlineLevel="1" x14ac:dyDescent="0.2">
      <c r="C105" s="252">
        <v>44896</v>
      </c>
      <c r="D105" s="248" t="s">
        <v>96</v>
      </c>
      <c r="E105" s="263">
        <f t="shared" si="2"/>
        <v>2022</v>
      </c>
      <c r="F105" s="267" t="s">
        <v>274</v>
      </c>
      <c r="G105" s="269" t="s">
        <v>96</v>
      </c>
      <c r="H105" s="268">
        <v>5333</v>
      </c>
      <c r="I105" s="268">
        <f>IF(Table1[[#This Row],[TYPE]]="Income",Table1[[#This Row],[AMOUNT (₹)]],-Table1[[#This Row],[AMOUNT (₹)]])</f>
        <v>-5333</v>
      </c>
      <c r="J105" s="265"/>
      <c r="K105" s="370"/>
      <c r="L105" s="265">
        <f t="shared" si="3"/>
        <v>2022</v>
      </c>
      <c r="M105" s="259">
        <f ca="1">IF(L105="","",COUNTIF($L$9:INDIRECT("K"&amp;ROW()),L105))</f>
        <v>48</v>
      </c>
    </row>
    <row r="106" spans="3:13" ht="18" hidden="1" customHeight="1" outlineLevel="1" x14ac:dyDescent="0.2">
      <c r="C106" s="252">
        <v>44905</v>
      </c>
      <c r="D106" s="248" t="s">
        <v>352</v>
      </c>
      <c r="E106" s="263">
        <f t="shared" si="2"/>
        <v>2022</v>
      </c>
      <c r="F106" s="267" t="s">
        <v>274</v>
      </c>
      <c r="G106" s="267" t="s">
        <v>88</v>
      </c>
      <c r="H106" s="268">
        <v>8818</v>
      </c>
      <c r="I106" s="268">
        <f>IF(Table1[[#This Row],[TYPE]]="Income",Table1[[#This Row],[AMOUNT (₹)]],-Table1[[#This Row],[AMOUNT (₹)]])</f>
        <v>-8818</v>
      </c>
      <c r="J106" s="265"/>
      <c r="K106" s="370"/>
      <c r="L106" s="265">
        <f t="shared" si="3"/>
        <v>2022</v>
      </c>
      <c r="M106" s="259">
        <f ca="1">IF(L106="","",COUNTIF($L$9:INDIRECT("K"&amp;ROW()),L106))</f>
        <v>49</v>
      </c>
    </row>
    <row r="107" spans="3:13" ht="18" hidden="1" customHeight="1" outlineLevel="1" x14ac:dyDescent="0.2">
      <c r="C107" s="252">
        <v>44905</v>
      </c>
      <c r="D107" s="248" t="s">
        <v>254</v>
      </c>
      <c r="E107" s="263">
        <f t="shared" si="2"/>
        <v>2022</v>
      </c>
      <c r="F107" s="266" t="s">
        <v>30</v>
      </c>
      <c r="G107" s="265" t="s">
        <v>98</v>
      </c>
      <c r="H107" s="369">
        <v>1000</v>
      </c>
      <c r="I107" s="369">
        <f>IF(Table1[[#This Row],[TYPE]]="Income",Table1[[#This Row],[AMOUNT (₹)]],-Table1[[#This Row],[AMOUNT (₹)]])</f>
        <v>-1000</v>
      </c>
      <c r="J107" s="265"/>
      <c r="K107" s="348"/>
      <c r="L107" s="265">
        <f t="shared" si="3"/>
        <v>2022</v>
      </c>
      <c r="M107" s="259">
        <f ca="1">IF(L107="","",COUNTIF($L$9:INDIRECT("K"&amp;ROW()),L107))</f>
        <v>50</v>
      </c>
    </row>
    <row r="108" spans="3:13" ht="18" hidden="1" customHeight="1" outlineLevel="1" x14ac:dyDescent="0.2">
      <c r="C108" s="252">
        <v>44912</v>
      </c>
      <c r="D108" s="248" t="s">
        <v>353</v>
      </c>
      <c r="E108" s="263">
        <f t="shared" si="2"/>
        <v>2022</v>
      </c>
      <c r="F108" s="266" t="s">
        <v>274</v>
      </c>
      <c r="G108" s="265" t="s">
        <v>82</v>
      </c>
      <c r="H108" s="369">
        <v>2015</v>
      </c>
      <c r="I108" s="369">
        <f>IF(Table1[[#This Row],[TYPE]]="Income",Table1[[#This Row],[AMOUNT (₹)]],-Table1[[#This Row],[AMOUNT (₹)]])</f>
        <v>-2015</v>
      </c>
      <c r="J108" s="265"/>
      <c r="K108" s="348"/>
      <c r="L108" s="265">
        <f t="shared" si="3"/>
        <v>2022</v>
      </c>
      <c r="M108" s="259">
        <f ca="1">IF(L108="","",COUNTIF($L$9:INDIRECT("K"&amp;ROW()),L108))</f>
        <v>51</v>
      </c>
    </row>
    <row r="109" spans="3:13" ht="18" hidden="1" customHeight="1" outlineLevel="1" x14ac:dyDescent="0.2">
      <c r="C109" s="252">
        <v>44925</v>
      </c>
      <c r="D109" s="248" t="s">
        <v>303</v>
      </c>
      <c r="E109" s="263">
        <f t="shared" si="2"/>
        <v>2022</v>
      </c>
      <c r="F109" s="266" t="s">
        <v>277</v>
      </c>
      <c r="G109" s="265" t="s">
        <v>111</v>
      </c>
      <c r="H109" s="369">
        <v>30662</v>
      </c>
      <c r="I109" s="369">
        <f>IF(Table1[[#This Row],[TYPE]]="Income",Table1[[#This Row],[AMOUNT (₹)]],-Table1[[#This Row],[AMOUNT (₹)]])</f>
        <v>30662</v>
      </c>
      <c r="J109" s="265"/>
      <c r="K109" s="348"/>
      <c r="L109" s="265">
        <f t="shared" si="3"/>
        <v>2022</v>
      </c>
      <c r="M109" s="259">
        <f ca="1">IF(L109="","",COUNTIF($L$9:INDIRECT("K"&amp;ROW()),L109))</f>
        <v>52</v>
      </c>
    </row>
    <row r="110" spans="3:13" ht="18" hidden="1" customHeight="1" outlineLevel="1" x14ac:dyDescent="0.2">
      <c r="C110" s="252">
        <v>44926</v>
      </c>
      <c r="D110" s="248" t="s">
        <v>354</v>
      </c>
      <c r="E110" s="263">
        <f t="shared" si="2"/>
        <v>2022</v>
      </c>
      <c r="F110" s="266" t="s">
        <v>274</v>
      </c>
      <c r="G110" s="265" t="s">
        <v>92</v>
      </c>
      <c r="H110" s="369">
        <v>14265</v>
      </c>
      <c r="I110" s="369">
        <f>IF(Table1[[#This Row],[TYPE]]="Income",Table1[[#This Row],[AMOUNT (₹)]],-Table1[[#This Row],[AMOUNT (₹)]])</f>
        <v>-14265</v>
      </c>
      <c r="J110" s="265"/>
      <c r="K110" s="348"/>
      <c r="L110" s="265">
        <f t="shared" si="3"/>
        <v>2022</v>
      </c>
      <c r="M110" s="259">
        <f ca="1">IF(L110="","",COUNTIF($L$9:INDIRECT("K"&amp;ROW()),L110))</f>
        <v>53</v>
      </c>
    </row>
    <row r="111" spans="3:13" ht="18" hidden="1" customHeight="1" outlineLevel="1" x14ac:dyDescent="0.2">
      <c r="C111" s="252">
        <v>44927</v>
      </c>
      <c r="D111" s="248" t="s">
        <v>96</v>
      </c>
      <c r="E111" s="263">
        <f t="shared" si="2"/>
        <v>2023</v>
      </c>
      <c r="F111" s="267" t="s">
        <v>274</v>
      </c>
      <c r="G111" s="269" t="s">
        <v>96</v>
      </c>
      <c r="H111" s="268">
        <v>5333</v>
      </c>
      <c r="I111" s="268">
        <f>IF(Table1[[#This Row],[TYPE]]="Income",Table1[[#This Row],[AMOUNT (₹)]],-Table1[[#This Row],[AMOUNT (₹)]])</f>
        <v>-5333</v>
      </c>
      <c r="J111" s="265"/>
      <c r="K111" s="370"/>
      <c r="L111" s="265">
        <f t="shared" si="3"/>
        <v>2022</v>
      </c>
      <c r="M111" s="259">
        <f ca="1">IF(L111="","",COUNTIF($L$9:INDIRECT("K"&amp;ROW()),L111))</f>
        <v>54</v>
      </c>
    </row>
    <row r="112" spans="3:13" ht="18" hidden="1" customHeight="1" outlineLevel="1" x14ac:dyDescent="0.2">
      <c r="C112" s="252">
        <v>44936</v>
      </c>
      <c r="D112" s="248" t="s">
        <v>256</v>
      </c>
      <c r="E112" s="263">
        <f t="shared" si="2"/>
        <v>2023</v>
      </c>
      <c r="F112" s="266" t="s">
        <v>30</v>
      </c>
      <c r="G112" s="265" t="s">
        <v>98</v>
      </c>
      <c r="H112" s="369">
        <v>1000</v>
      </c>
      <c r="I112" s="369">
        <f>IF(Table1[[#This Row],[TYPE]]="Income",Table1[[#This Row],[AMOUNT (₹)]],-Table1[[#This Row],[AMOUNT (₹)]])</f>
        <v>-1000</v>
      </c>
      <c r="J112" s="265"/>
      <c r="K112" s="348"/>
      <c r="L112" s="265">
        <f t="shared" si="3"/>
        <v>2022</v>
      </c>
      <c r="M112" s="259">
        <f ca="1">IF(L112="","",COUNTIF($L$9:INDIRECT("K"&amp;ROW()),L112))</f>
        <v>55</v>
      </c>
    </row>
    <row r="113" spans="3:13" ht="18" hidden="1" customHeight="1" outlineLevel="1" x14ac:dyDescent="0.2">
      <c r="C113" s="252">
        <v>44941</v>
      </c>
      <c r="D113" s="248" t="s">
        <v>355</v>
      </c>
      <c r="E113" s="263">
        <f t="shared" si="2"/>
        <v>2023</v>
      </c>
      <c r="F113" s="266" t="s">
        <v>274</v>
      </c>
      <c r="G113" s="265" t="s">
        <v>94</v>
      </c>
      <c r="H113" s="369">
        <v>1458</v>
      </c>
      <c r="I113" s="369">
        <f>IF(Table1[[#This Row],[TYPE]]="Income",Table1[[#This Row],[AMOUNT (₹)]],-Table1[[#This Row],[AMOUNT (₹)]])</f>
        <v>-1458</v>
      </c>
      <c r="J113" s="265"/>
      <c r="K113" s="348"/>
      <c r="L113" s="265">
        <f t="shared" si="3"/>
        <v>2022</v>
      </c>
      <c r="M113" s="259">
        <f ca="1">IF(L113="","",COUNTIF($L$9:INDIRECT("K"&amp;ROW()),L113))</f>
        <v>56</v>
      </c>
    </row>
    <row r="114" spans="3:13" ht="18" hidden="1" customHeight="1" outlineLevel="1" x14ac:dyDescent="0.2">
      <c r="C114" s="252">
        <v>44943</v>
      </c>
      <c r="D114" s="248" t="s">
        <v>356</v>
      </c>
      <c r="E114" s="263">
        <f t="shared" si="2"/>
        <v>2023</v>
      </c>
      <c r="F114" s="266" t="s">
        <v>274</v>
      </c>
      <c r="G114" s="265" t="s">
        <v>90</v>
      </c>
      <c r="H114" s="369">
        <v>3674</v>
      </c>
      <c r="I114" s="369">
        <f>IF(Table1[[#This Row],[TYPE]]="Income",Table1[[#This Row],[AMOUNT (₹)]],-Table1[[#This Row],[AMOUNT (₹)]])</f>
        <v>-3674</v>
      </c>
      <c r="J114" s="265"/>
      <c r="K114" s="348"/>
      <c r="L114" s="265">
        <f t="shared" si="3"/>
        <v>2022</v>
      </c>
      <c r="M114" s="259">
        <f ca="1">IF(L114="","",COUNTIF($L$9:INDIRECT("K"&amp;ROW()),L114))</f>
        <v>57</v>
      </c>
    </row>
    <row r="115" spans="3:13" ht="18" hidden="1" customHeight="1" outlineLevel="1" x14ac:dyDescent="0.2">
      <c r="C115" s="252">
        <v>44949</v>
      </c>
      <c r="D115" s="248" t="s">
        <v>357</v>
      </c>
      <c r="E115" s="263">
        <f t="shared" si="2"/>
        <v>2023</v>
      </c>
      <c r="F115" s="267" t="s">
        <v>274</v>
      </c>
      <c r="G115" s="253" t="s">
        <v>88</v>
      </c>
      <c r="H115" s="268">
        <v>1500</v>
      </c>
      <c r="I115" s="268">
        <f>IF(Table1[[#This Row],[TYPE]]="Income",Table1[[#This Row],[AMOUNT (₹)]],-Table1[[#This Row],[AMOUNT (₹)]])</f>
        <v>-1500</v>
      </c>
      <c r="J115" s="265"/>
      <c r="K115" s="370"/>
      <c r="L115" s="265">
        <f t="shared" si="3"/>
        <v>2022</v>
      </c>
      <c r="M115" s="259">
        <f ca="1">IF(L115="","",COUNTIF($L$9:INDIRECT("K"&amp;ROW()),L115))</f>
        <v>58</v>
      </c>
    </row>
    <row r="116" spans="3:13" ht="18" hidden="1" customHeight="1" outlineLevel="1" x14ac:dyDescent="0.2">
      <c r="C116" s="252">
        <v>44957</v>
      </c>
      <c r="D116" s="248" t="s">
        <v>358</v>
      </c>
      <c r="E116" s="263">
        <f t="shared" si="2"/>
        <v>2023</v>
      </c>
      <c r="F116" s="266" t="s">
        <v>274</v>
      </c>
      <c r="G116" s="265" t="s">
        <v>92</v>
      </c>
      <c r="H116" s="369">
        <v>9515</v>
      </c>
      <c r="I116" s="369">
        <f>IF(Table1[[#This Row],[TYPE]]="Income",Table1[[#This Row],[AMOUNT (₹)]],-Table1[[#This Row],[AMOUNT (₹)]])</f>
        <v>-9515</v>
      </c>
      <c r="J116" s="265"/>
      <c r="K116" s="348"/>
      <c r="L116" s="265">
        <f t="shared" si="3"/>
        <v>2022</v>
      </c>
      <c r="M116" s="259">
        <f ca="1">IF(L116="","",COUNTIF($L$9:INDIRECT("K"&amp;ROW()),L116))</f>
        <v>59</v>
      </c>
    </row>
    <row r="117" spans="3:13" ht="18" hidden="1" customHeight="1" outlineLevel="1" x14ac:dyDescent="0.2">
      <c r="C117" s="252">
        <v>44957</v>
      </c>
      <c r="D117" s="248" t="s">
        <v>307</v>
      </c>
      <c r="E117" s="263">
        <f t="shared" si="2"/>
        <v>2023</v>
      </c>
      <c r="F117" s="266" t="s">
        <v>277</v>
      </c>
      <c r="G117" s="265" t="s">
        <v>111</v>
      </c>
      <c r="H117" s="369">
        <v>30662</v>
      </c>
      <c r="I117" s="369">
        <f>IF(Table1[[#This Row],[TYPE]]="Income",Table1[[#This Row],[AMOUNT (₹)]],-Table1[[#This Row],[AMOUNT (₹)]])</f>
        <v>30662</v>
      </c>
      <c r="J117" s="265"/>
      <c r="K117" s="348"/>
      <c r="L117" s="265">
        <f t="shared" si="3"/>
        <v>2022</v>
      </c>
      <c r="M117" s="259">
        <f ca="1">IF(L117="","",COUNTIF($L$9:INDIRECT("K"&amp;ROW()),L117))</f>
        <v>60</v>
      </c>
    </row>
    <row r="118" spans="3:13" ht="18" hidden="1" customHeight="1" outlineLevel="1" x14ac:dyDescent="0.2">
      <c r="C118" s="252">
        <v>44958</v>
      </c>
      <c r="D118" s="248" t="s">
        <v>96</v>
      </c>
      <c r="E118" s="263">
        <f t="shared" si="2"/>
        <v>2023</v>
      </c>
      <c r="F118" s="267" t="s">
        <v>274</v>
      </c>
      <c r="G118" s="269" t="s">
        <v>96</v>
      </c>
      <c r="H118" s="268">
        <v>5333</v>
      </c>
      <c r="I118" s="268">
        <f>IF(Table1[[#This Row],[TYPE]]="Income",Table1[[#This Row],[AMOUNT (₹)]],-Table1[[#This Row],[AMOUNT (₹)]])</f>
        <v>-5333</v>
      </c>
      <c r="J118" s="265"/>
      <c r="K118" s="370"/>
      <c r="L118" s="265">
        <f t="shared" si="3"/>
        <v>2022</v>
      </c>
      <c r="M118" s="259">
        <f ca="1">IF(L118="","",COUNTIF($L$9:INDIRECT("K"&amp;ROW()),L118))</f>
        <v>61</v>
      </c>
    </row>
    <row r="119" spans="3:13" ht="18" hidden="1" customHeight="1" outlineLevel="1" x14ac:dyDescent="0.2">
      <c r="C119" s="252">
        <v>44965</v>
      </c>
      <c r="D119" s="248" t="s">
        <v>359</v>
      </c>
      <c r="E119" s="263">
        <f t="shared" si="2"/>
        <v>2023</v>
      </c>
      <c r="F119" s="267" t="s">
        <v>274</v>
      </c>
      <c r="G119" s="253" t="s">
        <v>88</v>
      </c>
      <c r="H119" s="268">
        <v>23100</v>
      </c>
      <c r="I119" s="268">
        <f>IF(Table1[[#This Row],[TYPE]]="Income",Table1[[#This Row],[AMOUNT (₹)]],-Table1[[#This Row],[AMOUNT (₹)]])</f>
        <v>-23100</v>
      </c>
      <c r="J119" s="265"/>
      <c r="K119" s="370"/>
      <c r="L119" s="265">
        <f t="shared" si="3"/>
        <v>2022</v>
      </c>
      <c r="M119" s="259">
        <f ca="1">IF(L119="","",COUNTIF($L$9:INDIRECT("K"&amp;ROW()),L119))</f>
        <v>62</v>
      </c>
    </row>
    <row r="120" spans="3:13" ht="18" hidden="1" customHeight="1" outlineLevel="1" x14ac:dyDescent="0.2">
      <c r="C120" s="252">
        <v>44967</v>
      </c>
      <c r="D120" s="248" t="s">
        <v>258</v>
      </c>
      <c r="E120" s="263">
        <f t="shared" si="2"/>
        <v>2023</v>
      </c>
      <c r="F120" s="266" t="s">
        <v>30</v>
      </c>
      <c r="G120" s="265" t="s">
        <v>98</v>
      </c>
      <c r="H120" s="369">
        <v>1000</v>
      </c>
      <c r="I120" s="369">
        <f>IF(Table1[[#This Row],[TYPE]]="Income",Table1[[#This Row],[AMOUNT (₹)]],-Table1[[#This Row],[AMOUNT (₹)]])</f>
        <v>-1000</v>
      </c>
      <c r="J120" s="265"/>
      <c r="K120" s="348"/>
      <c r="L120" s="265">
        <f t="shared" si="3"/>
        <v>2022</v>
      </c>
      <c r="M120" s="259">
        <f ca="1">IF(L120="","",COUNTIF($L$9:INDIRECT("K"&amp;ROW()),L120))</f>
        <v>63</v>
      </c>
    </row>
    <row r="121" spans="3:13" ht="18" hidden="1" customHeight="1" outlineLevel="1" x14ac:dyDescent="0.2">
      <c r="C121" s="252">
        <v>44985</v>
      </c>
      <c r="D121" s="248" t="s">
        <v>360</v>
      </c>
      <c r="E121" s="263">
        <f t="shared" si="2"/>
        <v>2023</v>
      </c>
      <c r="F121" s="266" t="s">
        <v>274</v>
      </c>
      <c r="G121" s="265" t="s">
        <v>82</v>
      </c>
      <c r="H121" s="369">
        <v>1918</v>
      </c>
      <c r="I121" s="369">
        <f>IF(Table1[[#This Row],[TYPE]]="Income",Table1[[#This Row],[AMOUNT (₹)]],-Table1[[#This Row],[AMOUNT (₹)]])</f>
        <v>-1918</v>
      </c>
      <c r="J121" s="265"/>
      <c r="K121" s="348"/>
      <c r="L121" s="265">
        <f t="shared" si="3"/>
        <v>2022</v>
      </c>
      <c r="M121" s="259">
        <f ca="1">IF(L121="","",COUNTIF($L$9:INDIRECT("K"&amp;ROW()),L121))</f>
        <v>64</v>
      </c>
    </row>
    <row r="122" spans="3:13" ht="18" hidden="1" customHeight="1" outlineLevel="1" x14ac:dyDescent="0.2">
      <c r="C122" s="252">
        <v>44985</v>
      </c>
      <c r="D122" s="248" t="s">
        <v>361</v>
      </c>
      <c r="E122" s="263">
        <f t="shared" si="2"/>
        <v>2023</v>
      </c>
      <c r="F122" s="266" t="s">
        <v>274</v>
      </c>
      <c r="G122" s="265" t="s">
        <v>92</v>
      </c>
      <c r="H122" s="369">
        <v>6300</v>
      </c>
      <c r="I122" s="369">
        <f>IF(Table1[[#This Row],[TYPE]]="Income",Table1[[#This Row],[AMOUNT (₹)]],-Table1[[#This Row],[AMOUNT (₹)]])</f>
        <v>-6300</v>
      </c>
      <c r="J122" s="265"/>
      <c r="K122" s="348"/>
      <c r="L122" s="265">
        <f t="shared" si="3"/>
        <v>2022</v>
      </c>
      <c r="M122" s="259">
        <f ca="1">IF(L122="","",COUNTIF($L$9:INDIRECT("K"&amp;ROW()),L122))</f>
        <v>65</v>
      </c>
    </row>
    <row r="123" spans="3:13" ht="18" hidden="1" customHeight="1" outlineLevel="1" x14ac:dyDescent="0.2">
      <c r="C123" s="252">
        <v>44985</v>
      </c>
      <c r="D123" s="248" t="s">
        <v>310</v>
      </c>
      <c r="E123" s="263">
        <f t="shared" si="2"/>
        <v>2023</v>
      </c>
      <c r="F123" s="266" t="s">
        <v>277</v>
      </c>
      <c r="G123" s="265" t="s">
        <v>111</v>
      </c>
      <c r="H123" s="369">
        <v>30662</v>
      </c>
      <c r="I123" s="369">
        <f>IF(Table1[[#This Row],[TYPE]]="Income",Table1[[#This Row],[AMOUNT (₹)]],-Table1[[#This Row],[AMOUNT (₹)]])</f>
        <v>30662</v>
      </c>
      <c r="J123" s="265"/>
      <c r="K123" s="348"/>
      <c r="L123" s="265">
        <f t="shared" si="3"/>
        <v>2022</v>
      </c>
      <c r="M123" s="259">
        <f ca="1">IF(L123="","",COUNTIF($L$9:INDIRECT("K"&amp;ROW()),L123))</f>
        <v>66</v>
      </c>
    </row>
    <row r="124" spans="3:13" ht="18" hidden="1" customHeight="1" outlineLevel="1" x14ac:dyDescent="0.2">
      <c r="C124" s="252">
        <v>44987</v>
      </c>
      <c r="D124" s="248" t="s">
        <v>96</v>
      </c>
      <c r="E124" s="263">
        <f t="shared" si="2"/>
        <v>2023</v>
      </c>
      <c r="F124" s="267" t="s">
        <v>274</v>
      </c>
      <c r="G124" s="269" t="s">
        <v>96</v>
      </c>
      <c r="H124" s="268">
        <v>5333</v>
      </c>
      <c r="I124" s="268">
        <f>IF(Table1[[#This Row],[TYPE]]="Income",Table1[[#This Row],[AMOUNT (₹)]],-Table1[[#This Row],[AMOUNT (₹)]])</f>
        <v>-5333</v>
      </c>
      <c r="J124" s="265"/>
      <c r="K124" s="370"/>
      <c r="L124" s="265">
        <f t="shared" si="3"/>
        <v>2022</v>
      </c>
      <c r="M124" s="259">
        <f ca="1">IF(L124="","",COUNTIF($L$9:INDIRECT("K"&amp;ROW()),L124))</f>
        <v>67</v>
      </c>
    </row>
    <row r="125" spans="3:13" ht="18" hidden="1" customHeight="1" outlineLevel="1" x14ac:dyDescent="0.2">
      <c r="C125" s="252">
        <v>44987</v>
      </c>
      <c r="D125" s="248" t="s">
        <v>96</v>
      </c>
      <c r="E125" s="263">
        <f t="shared" si="2"/>
        <v>2023</v>
      </c>
      <c r="F125" s="267" t="s">
        <v>274</v>
      </c>
      <c r="G125" s="269" t="s">
        <v>96</v>
      </c>
      <c r="H125" s="268">
        <v>5333</v>
      </c>
      <c r="I125" s="268">
        <f>IF(Table1[[#This Row],[TYPE]]="Income",Table1[[#This Row],[AMOUNT (₹)]],-Table1[[#This Row],[AMOUNT (₹)]])</f>
        <v>-5333</v>
      </c>
      <c r="J125" s="265"/>
      <c r="K125" s="370"/>
      <c r="L125" s="265">
        <f t="shared" si="3"/>
        <v>2022</v>
      </c>
      <c r="M125" s="259">
        <f ca="1">IF(L125="","",COUNTIF($L$9:INDIRECT("K"&amp;ROW()),L125))</f>
        <v>68</v>
      </c>
    </row>
    <row r="126" spans="3:13" ht="18" hidden="1" customHeight="1" outlineLevel="1" x14ac:dyDescent="0.2">
      <c r="C126" s="252">
        <v>44987</v>
      </c>
      <c r="D126" s="248" t="s">
        <v>362</v>
      </c>
      <c r="E126" s="263">
        <f t="shared" si="2"/>
        <v>2023</v>
      </c>
      <c r="F126" s="266" t="s">
        <v>274</v>
      </c>
      <c r="G126" s="265" t="s">
        <v>82</v>
      </c>
      <c r="H126" s="369">
        <v>4118</v>
      </c>
      <c r="I126" s="369">
        <f>IF(Table1[[#This Row],[TYPE]]="Income",Table1[[#This Row],[AMOUNT (₹)]],-Table1[[#This Row],[AMOUNT (₹)]])</f>
        <v>-4118</v>
      </c>
      <c r="J126" s="265"/>
      <c r="K126" s="348"/>
      <c r="L126" s="265">
        <f t="shared" si="3"/>
        <v>2022</v>
      </c>
      <c r="M126" s="259">
        <f ca="1">IF(L126="","",COUNTIF($L$9:INDIRECT("K"&amp;ROW()),L126))</f>
        <v>69</v>
      </c>
    </row>
    <row r="127" spans="3:13" ht="18" hidden="1" customHeight="1" outlineLevel="1" x14ac:dyDescent="0.2">
      <c r="C127" s="252">
        <v>44987</v>
      </c>
      <c r="D127" s="248" t="s">
        <v>363</v>
      </c>
      <c r="E127" s="263">
        <f t="shared" si="2"/>
        <v>2023</v>
      </c>
      <c r="F127" s="266" t="s">
        <v>274</v>
      </c>
      <c r="G127" s="265" t="s">
        <v>92</v>
      </c>
      <c r="H127" s="369">
        <v>9330</v>
      </c>
      <c r="I127" s="369">
        <f>IF(Table1[[#This Row],[TYPE]]="Income",Table1[[#This Row],[AMOUNT (₹)]],-Table1[[#This Row],[AMOUNT (₹)]])</f>
        <v>-9330</v>
      </c>
      <c r="J127" s="265"/>
      <c r="K127" s="348"/>
      <c r="L127" s="265">
        <f t="shared" si="3"/>
        <v>2022</v>
      </c>
      <c r="M127" s="259">
        <f ca="1">IF(L127="","",COUNTIF($L$9:INDIRECT("K"&amp;ROW()),L127))</f>
        <v>70</v>
      </c>
    </row>
    <row r="128" spans="3:13" ht="18" hidden="1" customHeight="1" outlineLevel="1" x14ac:dyDescent="0.2">
      <c r="C128" s="252">
        <v>44987</v>
      </c>
      <c r="D128" s="248" t="s">
        <v>364</v>
      </c>
      <c r="E128" s="263">
        <f t="shared" si="2"/>
        <v>2023</v>
      </c>
      <c r="F128" s="266" t="s">
        <v>274</v>
      </c>
      <c r="G128" s="265" t="s">
        <v>92</v>
      </c>
      <c r="H128" s="369">
        <v>6050</v>
      </c>
      <c r="I128" s="369">
        <f>IF(Table1[[#This Row],[TYPE]]="Income",Table1[[#This Row],[AMOUNT (₹)]],-Table1[[#This Row],[AMOUNT (₹)]])</f>
        <v>-6050</v>
      </c>
      <c r="J128" s="265"/>
      <c r="K128" s="348"/>
      <c r="L128" s="265">
        <f t="shared" si="3"/>
        <v>2022</v>
      </c>
      <c r="M128" s="259">
        <f ca="1">IF(L128="","",COUNTIF($L$9:INDIRECT("K"&amp;ROW()),L128))</f>
        <v>71</v>
      </c>
    </row>
    <row r="129" spans="3:13" ht="18" hidden="1" customHeight="1" outlineLevel="1" x14ac:dyDescent="0.2">
      <c r="C129" s="252">
        <v>44991</v>
      </c>
      <c r="D129" s="248" t="s">
        <v>365</v>
      </c>
      <c r="E129" s="263">
        <f t="shared" si="2"/>
        <v>2023</v>
      </c>
      <c r="F129" s="267" t="s">
        <v>274</v>
      </c>
      <c r="G129" s="253" t="s">
        <v>88</v>
      </c>
      <c r="H129" s="268">
        <v>18500</v>
      </c>
      <c r="I129" s="268">
        <f>IF(Table1[[#This Row],[TYPE]]="Income",Table1[[#This Row],[AMOUNT (₹)]],-Table1[[#This Row],[AMOUNT (₹)]])</f>
        <v>-18500</v>
      </c>
      <c r="J129" s="265"/>
      <c r="K129" s="348"/>
      <c r="L129" s="265">
        <f t="shared" si="3"/>
        <v>2022</v>
      </c>
      <c r="M129" s="259">
        <f ca="1">IF(L129="","",COUNTIF($L$9:INDIRECT("K"&amp;ROW()),L129))</f>
        <v>72</v>
      </c>
    </row>
    <row r="130" spans="3:13" ht="18" hidden="1" customHeight="1" outlineLevel="1" x14ac:dyDescent="0.2">
      <c r="C130" s="252">
        <v>44995</v>
      </c>
      <c r="D130" s="248" t="s">
        <v>260</v>
      </c>
      <c r="E130" s="263">
        <f t="shared" si="2"/>
        <v>2023</v>
      </c>
      <c r="F130" s="266" t="s">
        <v>30</v>
      </c>
      <c r="G130" s="265" t="s">
        <v>98</v>
      </c>
      <c r="H130" s="369">
        <v>1000</v>
      </c>
      <c r="I130" s="369">
        <f>IF(Table1[[#This Row],[TYPE]]="Income",Table1[[#This Row],[AMOUNT (₹)]],-Table1[[#This Row],[AMOUNT (₹)]])</f>
        <v>-1000</v>
      </c>
      <c r="J130" s="265"/>
      <c r="K130" s="348"/>
      <c r="L130" s="265">
        <f t="shared" si="3"/>
        <v>2022</v>
      </c>
      <c r="M130" s="259">
        <f ca="1">IF(L130="","",COUNTIF($L$9:INDIRECT("K"&amp;ROW()),L130))</f>
        <v>73</v>
      </c>
    </row>
    <row r="131" spans="3:13" ht="18" hidden="1" customHeight="1" outlineLevel="1" x14ac:dyDescent="0.2">
      <c r="C131" s="252">
        <v>44996</v>
      </c>
      <c r="D131" s="248" t="s">
        <v>366</v>
      </c>
      <c r="E131" s="263">
        <f t="shared" si="2"/>
        <v>2023</v>
      </c>
      <c r="F131" s="266" t="s">
        <v>274</v>
      </c>
      <c r="G131" s="265" t="s">
        <v>92</v>
      </c>
      <c r="H131" s="369">
        <v>11000</v>
      </c>
      <c r="I131" s="369">
        <f>IF(Table1[[#This Row],[TYPE]]="Income",Table1[[#This Row],[AMOUNT (₹)]],-Table1[[#This Row],[AMOUNT (₹)]])</f>
        <v>-11000</v>
      </c>
      <c r="J131" s="265"/>
      <c r="K131" s="348"/>
      <c r="L131" s="265">
        <f t="shared" si="3"/>
        <v>2022</v>
      </c>
      <c r="M131" s="259">
        <f ca="1">IF(L131="","",COUNTIF($L$9:INDIRECT("K"&amp;ROW()),L131))</f>
        <v>74</v>
      </c>
    </row>
    <row r="132" spans="3:13" ht="18" hidden="1" customHeight="1" outlineLevel="1" x14ac:dyDescent="0.2">
      <c r="C132" s="252">
        <v>45016</v>
      </c>
      <c r="D132" s="248" t="s">
        <v>316</v>
      </c>
      <c r="E132" s="263">
        <f t="shared" si="2"/>
        <v>2023</v>
      </c>
      <c r="F132" s="266" t="s">
        <v>277</v>
      </c>
      <c r="G132" s="265" t="s">
        <v>111</v>
      </c>
      <c r="H132" s="369">
        <v>55512</v>
      </c>
      <c r="I132" s="369">
        <f>IF(Table1[[#This Row],[TYPE]]="Income",Table1[[#This Row],[AMOUNT (₹)]],-Table1[[#This Row],[AMOUNT (₹)]])</f>
        <v>55512</v>
      </c>
      <c r="J132" s="265"/>
      <c r="K132" s="348"/>
      <c r="L132" s="265">
        <f t="shared" si="3"/>
        <v>2022</v>
      </c>
      <c r="M132" s="259">
        <f ca="1">IF(L132="","",COUNTIF($L$9:INDIRECT("K"&amp;ROW()),L132))</f>
        <v>75</v>
      </c>
    </row>
    <row r="133" spans="3:13" ht="18" hidden="1" customHeight="1" outlineLevel="1" x14ac:dyDescent="0.2">
      <c r="C133" s="252">
        <v>45017</v>
      </c>
      <c r="D133" s="248" t="s">
        <v>367</v>
      </c>
      <c r="E133" s="263">
        <f t="shared" si="2"/>
        <v>2023</v>
      </c>
      <c r="F133" s="266" t="s">
        <v>274</v>
      </c>
      <c r="G133" s="265" t="s">
        <v>92</v>
      </c>
      <c r="H133" s="369">
        <v>8000</v>
      </c>
      <c r="I133" s="369">
        <f>IF(Table1[[#This Row],[TYPE]]="Income",Table1[[#This Row],[AMOUNT (₹)]],-Table1[[#This Row],[AMOUNT (₹)]])</f>
        <v>-8000</v>
      </c>
      <c r="J133" s="265"/>
      <c r="K133" s="348"/>
      <c r="L133" s="265">
        <f t="shared" si="3"/>
        <v>2023</v>
      </c>
      <c r="M133" s="259">
        <f ca="1">IF(L133="","",COUNTIF($L$9:INDIRECT("K"&amp;ROW()),L133))</f>
        <v>1</v>
      </c>
    </row>
    <row r="134" spans="3:13" ht="18" hidden="1" customHeight="1" outlineLevel="1" x14ac:dyDescent="0.2">
      <c r="C134" s="252">
        <v>45019</v>
      </c>
      <c r="D134" s="248" t="s">
        <v>368</v>
      </c>
      <c r="E134" s="263">
        <f t="shared" si="2"/>
        <v>2023</v>
      </c>
      <c r="F134" s="266" t="s">
        <v>274</v>
      </c>
      <c r="G134" s="265" t="s">
        <v>80</v>
      </c>
      <c r="H134" s="369">
        <v>6881</v>
      </c>
      <c r="I134" s="369">
        <f>IF(Table1[[#This Row],[TYPE]]="Income",Table1[[#This Row],[AMOUNT (₹)]],-Table1[[#This Row],[AMOUNT (₹)]])</f>
        <v>-6881</v>
      </c>
      <c r="J134" s="265"/>
      <c r="K134" s="348"/>
      <c r="L134" s="265">
        <f t="shared" si="3"/>
        <v>2023</v>
      </c>
      <c r="M134" s="259">
        <f ca="1">IF(L134="","",COUNTIF($L$9:INDIRECT("K"&amp;ROW()),L134))</f>
        <v>2</v>
      </c>
    </row>
    <row r="135" spans="3:13" ht="18" hidden="1" customHeight="1" outlineLevel="1" x14ac:dyDescent="0.2">
      <c r="C135" s="252">
        <v>45026</v>
      </c>
      <c r="D135" s="248" t="s">
        <v>369</v>
      </c>
      <c r="E135" s="263">
        <f t="shared" si="2"/>
        <v>2023</v>
      </c>
      <c r="F135" s="267" t="s">
        <v>274</v>
      </c>
      <c r="G135" s="253" t="s">
        <v>88</v>
      </c>
      <c r="H135" s="268">
        <v>16000</v>
      </c>
      <c r="I135" s="268">
        <f>IF(Table1[[#This Row],[TYPE]]="Income",Table1[[#This Row],[AMOUNT (₹)]],-Table1[[#This Row],[AMOUNT (₹)]])</f>
        <v>-16000</v>
      </c>
      <c r="J135" s="265"/>
      <c r="K135" s="370"/>
      <c r="L135" s="265">
        <f t="shared" si="3"/>
        <v>2023</v>
      </c>
      <c r="M135" s="259">
        <f ca="1">IF(L135="","",COUNTIF($L$9:INDIRECT("K"&amp;ROW()),L135))</f>
        <v>3</v>
      </c>
    </row>
    <row r="136" spans="3:13" ht="18" hidden="1" customHeight="1" outlineLevel="1" x14ac:dyDescent="0.2">
      <c r="C136" s="252">
        <v>45026</v>
      </c>
      <c r="D136" s="248" t="s">
        <v>38</v>
      </c>
      <c r="E136" s="263">
        <f t="shared" si="2"/>
        <v>2023</v>
      </c>
      <c r="F136" s="266" t="s">
        <v>30</v>
      </c>
      <c r="G136" s="265" t="s">
        <v>98</v>
      </c>
      <c r="H136" s="369">
        <v>1000</v>
      </c>
      <c r="I136" s="369">
        <f>IF(Table1[[#This Row],[TYPE]]="Income",Table1[[#This Row],[AMOUNT (₹)]],-Table1[[#This Row],[AMOUNT (₹)]])</f>
        <v>-1000</v>
      </c>
      <c r="J136" s="265"/>
      <c r="K136" s="348"/>
      <c r="L136" s="265">
        <f t="shared" si="3"/>
        <v>2023</v>
      </c>
      <c r="M136" s="259">
        <f ca="1">IF(L136="","",COUNTIF($L$9:INDIRECT("K"&amp;ROW()),L136))</f>
        <v>4</v>
      </c>
    </row>
    <row r="137" spans="3:13" ht="18" hidden="1" customHeight="1" outlineLevel="1" x14ac:dyDescent="0.2">
      <c r="C137" s="252">
        <v>45028</v>
      </c>
      <c r="D137" s="248" t="s">
        <v>370</v>
      </c>
      <c r="E137" s="263">
        <f t="shared" ref="E137:E200" si="4">IFERROR(YEAR(C137),"")</f>
        <v>2023</v>
      </c>
      <c r="F137" s="266" t="s">
        <v>274</v>
      </c>
      <c r="G137" s="265" t="s">
        <v>82</v>
      </c>
      <c r="H137" s="369">
        <v>1283</v>
      </c>
      <c r="I137" s="369">
        <f>IF(Table1[[#This Row],[TYPE]]="Income",Table1[[#This Row],[AMOUNT (₹)]],-Table1[[#This Row],[AMOUNT (₹)]])</f>
        <v>-1283</v>
      </c>
      <c r="J137" s="265"/>
      <c r="K137" s="348"/>
      <c r="L137" s="265">
        <f t="shared" ref="L137:L200" si="5">IFERROR(IF(MONTH(C137)&lt;=3,YEAR(C137)-1,YEAR(C137)),"")</f>
        <v>2023</v>
      </c>
      <c r="M137" s="259">
        <f ca="1">IF(L137="","",COUNTIF($L$9:INDIRECT("K"&amp;ROW()),L137))</f>
        <v>5</v>
      </c>
    </row>
    <row r="138" spans="3:13" ht="18" hidden="1" customHeight="1" outlineLevel="1" x14ac:dyDescent="0.2">
      <c r="C138" s="252">
        <v>45030</v>
      </c>
      <c r="D138" s="248" t="s">
        <v>371</v>
      </c>
      <c r="E138" s="263">
        <f t="shared" si="4"/>
        <v>2023</v>
      </c>
      <c r="F138" s="266" t="s">
        <v>274</v>
      </c>
      <c r="G138" s="265" t="s">
        <v>92</v>
      </c>
      <c r="H138" s="369">
        <v>2000</v>
      </c>
      <c r="I138" s="369">
        <f>IF(Table1[[#This Row],[TYPE]]="Income",Table1[[#This Row],[AMOUNT (₹)]],-Table1[[#This Row],[AMOUNT (₹)]])</f>
        <v>-2000</v>
      </c>
      <c r="J138" s="265"/>
      <c r="K138" s="348"/>
      <c r="L138" s="265">
        <f t="shared" si="5"/>
        <v>2023</v>
      </c>
      <c r="M138" s="259">
        <f ca="1">IF(L138="","",COUNTIF($L$9:INDIRECT("K"&amp;ROW()),L138))</f>
        <v>6</v>
      </c>
    </row>
    <row r="139" spans="3:13" ht="18" hidden="1" customHeight="1" outlineLevel="1" x14ac:dyDescent="0.2">
      <c r="C139" s="252">
        <v>45039</v>
      </c>
      <c r="D139" s="248" t="s">
        <v>372</v>
      </c>
      <c r="E139" s="263">
        <f t="shared" si="4"/>
        <v>2023</v>
      </c>
      <c r="F139" s="266" t="s">
        <v>274</v>
      </c>
      <c r="G139" s="265" t="s">
        <v>92</v>
      </c>
      <c r="H139" s="369">
        <v>9000</v>
      </c>
      <c r="I139" s="369">
        <f>IF(Table1[[#This Row],[TYPE]]="Income",Table1[[#This Row],[AMOUNT (₹)]],-Table1[[#This Row],[AMOUNT (₹)]])</f>
        <v>-9000</v>
      </c>
      <c r="J139" s="265"/>
      <c r="K139" s="348"/>
      <c r="L139" s="265">
        <f t="shared" si="5"/>
        <v>2023</v>
      </c>
      <c r="M139" s="259">
        <f ca="1">IF(L139="","",COUNTIF($L$9:INDIRECT("K"&amp;ROW()),L139))</f>
        <v>7</v>
      </c>
    </row>
    <row r="140" spans="3:13" ht="18" hidden="1" customHeight="1" outlineLevel="1" x14ac:dyDescent="0.2">
      <c r="C140" s="252">
        <v>45044</v>
      </c>
      <c r="D140" s="248" t="s">
        <v>320</v>
      </c>
      <c r="E140" s="263">
        <f t="shared" si="4"/>
        <v>2023</v>
      </c>
      <c r="F140" s="266" t="s">
        <v>277</v>
      </c>
      <c r="G140" s="265" t="s">
        <v>111</v>
      </c>
      <c r="H140" s="369">
        <v>34000</v>
      </c>
      <c r="I140" s="369">
        <f>IF(Table1[[#This Row],[TYPE]]="Income",Table1[[#This Row],[AMOUNT (₹)]],-Table1[[#This Row],[AMOUNT (₹)]])</f>
        <v>34000</v>
      </c>
      <c r="J140" s="265"/>
      <c r="K140" s="348"/>
      <c r="L140" s="265">
        <f t="shared" si="5"/>
        <v>2023</v>
      </c>
      <c r="M140" s="259">
        <f ca="1">IF(L140="","",COUNTIF($L$9:INDIRECT("K"&amp;ROW()),L140))</f>
        <v>8</v>
      </c>
    </row>
    <row r="141" spans="3:13" ht="18" hidden="1" customHeight="1" outlineLevel="1" x14ac:dyDescent="0.2">
      <c r="C141" s="252">
        <v>45047</v>
      </c>
      <c r="D141" s="248" t="s">
        <v>373</v>
      </c>
      <c r="E141" s="263">
        <f t="shared" si="4"/>
        <v>2023</v>
      </c>
      <c r="F141" s="266" t="s">
        <v>274</v>
      </c>
      <c r="G141" s="265" t="s">
        <v>92</v>
      </c>
      <c r="H141" s="369">
        <v>8000</v>
      </c>
      <c r="I141" s="369">
        <f>IF(Table1[[#This Row],[TYPE]]="Income",Table1[[#This Row],[AMOUNT (₹)]],-Table1[[#This Row],[AMOUNT (₹)]])</f>
        <v>-8000</v>
      </c>
      <c r="J141" s="265"/>
      <c r="K141" s="348"/>
      <c r="L141" s="265">
        <f t="shared" si="5"/>
        <v>2023</v>
      </c>
      <c r="M141" s="259">
        <f ca="1">IF(L141="","",COUNTIF($L$9:INDIRECT("K"&amp;ROW()),L141))</f>
        <v>9</v>
      </c>
    </row>
    <row r="142" spans="3:13" ht="18" hidden="1" customHeight="1" outlineLevel="1" x14ac:dyDescent="0.2">
      <c r="C142" s="252">
        <v>45047</v>
      </c>
      <c r="D142" s="248" t="s">
        <v>371</v>
      </c>
      <c r="E142" s="263">
        <f t="shared" si="4"/>
        <v>2023</v>
      </c>
      <c r="F142" s="266" t="s">
        <v>274</v>
      </c>
      <c r="G142" s="265" t="s">
        <v>92</v>
      </c>
      <c r="H142" s="369">
        <v>3000</v>
      </c>
      <c r="I142" s="369">
        <f>IF(Table1[[#This Row],[TYPE]]="Income",Table1[[#This Row],[AMOUNT (₹)]],-Table1[[#This Row],[AMOUNT (₹)]])</f>
        <v>-3000</v>
      </c>
      <c r="J142" s="265"/>
      <c r="K142" s="348"/>
      <c r="L142" s="265">
        <f t="shared" si="5"/>
        <v>2023</v>
      </c>
      <c r="M142" s="259">
        <f ca="1">IF(L142="","",COUNTIF($L$9:INDIRECT("K"&amp;ROW()),L142))</f>
        <v>10</v>
      </c>
    </row>
    <row r="143" spans="3:13" ht="18" hidden="1" customHeight="1" outlineLevel="1" x14ac:dyDescent="0.2">
      <c r="C143" s="252">
        <v>45049</v>
      </c>
      <c r="D143" s="248" t="s">
        <v>374</v>
      </c>
      <c r="E143" s="263">
        <f t="shared" si="4"/>
        <v>2023</v>
      </c>
      <c r="F143" s="266" t="s">
        <v>274</v>
      </c>
      <c r="G143" s="265" t="s">
        <v>80</v>
      </c>
      <c r="H143" s="369">
        <v>6881</v>
      </c>
      <c r="I143" s="369">
        <f>IF(Table1[[#This Row],[TYPE]]="Income",Table1[[#This Row],[AMOUNT (₹)]],-Table1[[#This Row],[AMOUNT (₹)]])</f>
        <v>-6881</v>
      </c>
      <c r="J143" s="265"/>
      <c r="K143" s="348"/>
      <c r="L143" s="265">
        <f t="shared" si="5"/>
        <v>2023</v>
      </c>
      <c r="M143" s="259">
        <f ca="1">IF(L143="","",COUNTIF($L$9:INDIRECT("K"&amp;ROW()),L143))</f>
        <v>11</v>
      </c>
    </row>
    <row r="144" spans="3:13" ht="18" hidden="1" customHeight="1" outlineLevel="1" x14ac:dyDescent="0.2">
      <c r="C144" s="252">
        <v>45049</v>
      </c>
      <c r="D144" s="273" t="s">
        <v>375</v>
      </c>
      <c r="E144" s="263">
        <f t="shared" si="4"/>
        <v>2023</v>
      </c>
      <c r="F144" s="267" t="s">
        <v>274</v>
      </c>
      <c r="G144" s="253" t="s">
        <v>88</v>
      </c>
      <c r="H144" s="268">
        <v>4000</v>
      </c>
      <c r="I144" s="268">
        <f>IF(Table1[[#This Row],[TYPE]]="Income",Table1[[#This Row],[AMOUNT (₹)]],-Table1[[#This Row],[AMOUNT (₹)]])</f>
        <v>-4000</v>
      </c>
      <c r="J144" s="265"/>
      <c r="K144" s="370"/>
      <c r="L144" s="265">
        <f t="shared" si="5"/>
        <v>2023</v>
      </c>
      <c r="M144" s="259">
        <f ca="1">IF(L144="","",COUNTIF($L$9:INDIRECT("K"&amp;ROW()),L144))</f>
        <v>12</v>
      </c>
    </row>
    <row r="145" spans="3:13" ht="18" hidden="1" customHeight="1" outlineLevel="1" x14ac:dyDescent="0.2">
      <c r="C145" s="252">
        <v>45056</v>
      </c>
      <c r="D145" s="248" t="s">
        <v>39</v>
      </c>
      <c r="E145" s="263">
        <f t="shared" si="4"/>
        <v>2023</v>
      </c>
      <c r="F145" s="266" t="s">
        <v>30</v>
      </c>
      <c r="G145" s="265" t="s">
        <v>98</v>
      </c>
      <c r="H145" s="369">
        <v>1000</v>
      </c>
      <c r="I145" s="369">
        <f>IF(Table1[[#This Row],[TYPE]]="Income",Table1[[#This Row],[AMOUNT (₹)]],-Table1[[#This Row],[AMOUNT (₹)]])</f>
        <v>-1000</v>
      </c>
      <c r="J145" s="265"/>
      <c r="K145" s="348"/>
      <c r="L145" s="265">
        <f t="shared" si="5"/>
        <v>2023</v>
      </c>
      <c r="M145" s="259">
        <f ca="1">IF(L145="","",COUNTIF($L$9:INDIRECT("K"&amp;ROW()),L145))</f>
        <v>13</v>
      </c>
    </row>
    <row r="146" spans="3:13" ht="18" hidden="1" customHeight="1" outlineLevel="1" x14ac:dyDescent="0.2">
      <c r="C146" s="252">
        <v>45067</v>
      </c>
      <c r="D146" s="248" t="s">
        <v>295</v>
      </c>
      <c r="E146" s="263">
        <f t="shared" si="4"/>
        <v>2023</v>
      </c>
      <c r="F146" s="266" t="s">
        <v>30</v>
      </c>
      <c r="G146" s="265" t="s">
        <v>98</v>
      </c>
      <c r="H146" s="369">
        <v>1000</v>
      </c>
      <c r="I146" s="369">
        <f>IF(Table1[[#This Row],[TYPE]]="Income",Table1[[#This Row],[AMOUNT (₹)]],-Table1[[#This Row],[AMOUNT (₹)]])</f>
        <v>-1000</v>
      </c>
      <c r="J146" s="265"/>
      <c r="K146" s="348"/>
      <c r="L146" s="265">
        <f t="shared" si="5"/>
        <v>2023</v>
      </c>
      <c r="M146" s="259">
        <f ca="1">IF(L146="","",COUNTIF($L$9:INDIRECT("K"&amp;ROW()),L146))</f>
        <v>14</v>
      </c>
    </row>
    <row r="147" spans="3:13" ht="18" hidden="1" customHeight="1" outlineLevel="1" x14ac:dyDescent="0.2">
      <c r="C147" s="252">
        <v>45071</v>
      </c>
      <c r="D147" s="248" t="s">
        <v>376</v>
      </c>
      <c r="E147" s="263">
        <f t="shared" si="4"/>
        <v>2023</v>
      </c>
      <c r="F147" s="266" t="s">
        <v>274</v>
      </c>
      <c r="G147" s="265" t="s">
        <v>82</v>
      </c>
      <c r="H147" s="369">
        <v>354</v>
      </c>
      <c r="I147" s="369">
        <f>IF(Table1[[#This Row],[TYPE]]="Income",Table1[[#This Row],[AMOUNT (₹)]],-Table1[[#This Row],[AMOUNT (₹)]])</f>
        <v>-354</v>
      </c>
      <c r="J147" s="265"/>
      <c r="K147" s="348"/>
      <c r="L147" s="265">
        <f t="shared" si="5"/>
        <v>2023</v>
      </c>
      <c r="M147" s="259">
        <f ca="1">IF(L147="","",COUNTIF($L$9:INDIRECT("K"&amp;ROW()),L147))</f>
        <v>15</v>
      </c>
    </row>
    <row r="148" spans="3:13" ht="18" hidden="1" customHeight="1" outlineLevel="1" x14ac:dyDescent="0.2">
      <c r="C148" s="252">
        <v>45073</v>
      </c>
      <c r="D148" s="349" t="s">
        <v>377</v>
      </c>
      <c r="E148" s="263">
        <f t="shared" si="4"/>
        <v>2023</v>
      </c>
      <c r="F148" s="266" t="s">
        <v>274</v>
      </c>
      <c r="G148" s="265" t="s">
        <v>84</v>
      </c>
      <c r="H148" s="369">
        <v>1500</v>
      </c>
      <c r="I148" s="369">
        <f>IF(Table1[[#This Row],[TYPE]]="Income",Table1[[#This Row],[AMOUNT (₹)]],-Table1[[#This Row],[AMOUNT (₹)]])</f>
        <v>-1500</v>
      </c>
      <c r="J148" s="265"/>
      <c r="K148" s="348" t="s">
        <v>99</v>
      </c>
      <c r="L148" s="265">
        <f t="shared" si="5"/>
        <v>2023</v>
      </c>
      <c r="M148" s="259">
        <f ca="1">IF(L148="","",COUNTIF($L$9:INDIRECT("K"&amp;ROW()),L148))</f>
        <v>16</v>
      </c>
    </row>
    <row r="149" spans="3:13" ht="18" hidden="1" customHeight="1" outlineLevel="1" x14ac:dyDescent="0.2">
      <c r="C149" s="252">
        <v>45076</v>
      </c>
      <c r="D149" s="248" t="s">
        <v>327</v>
      </c>
      <c r="E149" s="263">
        <f t="shared" si="4"/>
        <v>2023</v>
      </c>
      <c r="F149" s="266" t="s">
        <v>277</v>
      </c>
      <c r="G149" s="265" t="s">
        <v>111</v>
      </c>
      <c r="H149" s="369">
        <v>34000</v>
      </c>
      <c r="I149" s="369">
        <f>IF(Table1[[#This Row],[TYPE]]="Income",Table1[[#This Row],[AMOUNT (₹)]],-Table1[[#This Row],[AMOUNT (₹)]])</f>
        <v>34000</v>
      </c>
      <c r="J149" s="265"/>
      <c r="K149" s="348"/>
      <c r="L149" s="265">
        <f t="shared" si="5"/>
        <v>2023</v>
      </c>
      <c r="M149" s="259">
        <f ca="1">IF(L149="","",COUNTIF($L$9:INDIRECT("K"&amp;ROW()),L149))</f>
        <v>17</v>
      </c>
    </row>
    <row r="150" spans="3:13" ht="18" hidden="1" customHeight="1" outlineLevel="1" x14ac:dyDescent="0.2">
      <c r="C150" s="252">
        <v>45078</v>
      </c>
      <c r="D150" s="248" t="s">
        <v>378</v>
      </c>
      <c r="E150" s="263">
        <f t="shared" si="4"/>
        <v>2023</v>
      </c>
      <c r="F150" s="266" t="s">
        <v>274</v>
      </c>
      <c r="G150" s="265" t="s">
        <v>92</v>
      </c>
      <c r="H150" s="369">
        <v>10000</v>
      </c>
      <c r="I150" s="369">
        <f>IF(Table1[[#This Row],[TYPE]]="Income",Table1[[#This Row],[AMOUNT (₹)]],-Table1[[#This Row],[AMOUNT (₹)]])</f>
        <v>-10000</v>
      </c>
      <c r="J150" s="265"/>
      <c r="K150" s="348"/>
      <c r="L150" s="265">
        <f t="shared" si="5"/>
        <v>2023</v>
      </c>
      <c r="M150" s="259">
        <f ca="1">IF(L150="","",COUNTIF($L$9:INDIRECT("K"&amp;ROW()),L150))</f>
        <v>18</v>
      </c>
    </row>
    <row r="151" spans="3:13" ht="18" hidden="1" customHeight="1" outlineLevel="1" x14ac:dyDescent="0.2">
      <c r="C151" s="252">
        <v>45080</v>
      </c>
      <c r="D151" s="248" t="s">
        <v>379</v>
      </c>
      <c r="E151" s="263">
        <f t="shared" si="4"/>
        <v>2023</v>
      </c>
      <c r="F151" s="266" t="s">
        <v>274</v>
      </c>
      <c r="G151" s="265" t="s">
        <v>80</v>
      </c>
      <c r="H151" s="369">
        <v>6881</v>
      </c>
      <c r="I151" s="369">
        <f>IF(Table1[[#This Row],[TYPE]]="Income",Table1[[#This Row],[AMOUNT (₹)]],-Table1[[#This Row],[AMOUNT (₹)]])</f>
        <v>-6881</v>
      </c>
      <c r="J151" s="265"/>
      <c r="K151" s="348"/>
      <c r="L151" s="265">
        <f t="shared" si="5"/>
        <v>2023</v>
      </c>
      <c r="M151" s="259">
        <f ca="1">IF(L151="","",COUNTIF($L$9:INDIRECT("K"&amp;ROW()),L151))</f>
        <v>19</v>
      </c>
    </row>
    <row r="152" spans="3:13" ht="18" hidden="1" customHeight="1" outlineLevel="1" x14ac:dyDescent="0.2">
      <c r="C152" s="252">
        <v>45080</v>
      </c>
      <c r="D152" s="248" t="s">
        <v>380</v>
      </c>
      <c r="E152" s="263">
        <f t="shared" si="4"/>
        <v>2023</v>
      </c>
      <c r="F152" s="266" t="s">
        <v>274</v>
      </c>
      <c r="G152" s="265" t="s">
        <v>92</v>
      </c>
      <c r="H152" s="369">
        <v>8500</v>
      </c>
      <c r="I152" s="369">
        <f>IF(Table1[[#This Row],[TYPE]]="Income",Table1[[#This Row],[AMOUNT (₹)]],-Table1[[#This Row],[AMOUNT (₹)]])</f>
        <v>-8500</v>
      </c>
      <c r="J152" s="265"/>
      <c r="K152" s="348"/>
      <c r="L152" s="265">
        <f t="shared" si="5"/>
        <v>2023</v>
      </c>
      <c r="M152" s="259">
        <f ca="1">IF(L152="","",COUNTIF($L$9:INDIRECT("K"&amp;ROW()),L152))</f>
        <v>20</v>
      </c>
    </row>
    <row r="153" spans="3:13" ht="18" hidden="1" customHeight="1" outlineLevel="1" x14ac:dyDescent="0.2">
      <c r="C153" s="252">
        <v>45086</v>
      </c>
      <c r="D153" s="273" t="s">
        <v>381</v>
      </c>
      <c r="E153" s="263">
        <f t="shared" si="4"/>
        <v>2023</v>
      </c>
      <c r="F153" s="267" t="s">
        <v>274</v>
      </c>
      <c r="G153" s="253" t="s">
        <v>88</v>
      </c>
      <c r="H153" s="268">
        <v>3500</v>
      </c>
      <c r="I153" s="268">
        <f>IF(Table1[[#This Row],[TYPE]]="Income",Table1[[#This Row],[AMOUNT (₹)]],-Table1[[#This Row],[AMOUNT (₹)]])</f>
        <v>-3500</v>
      </c>
      <c r="J153" s="265"/>
      <c r="K153" s="348"/>
      <c r="L153" s="265">
        <f t="shared" si="5"/>
        <v>2023</v>
      </c>
      <c r="M153" s="259">
        <f ca="1">IF(L153="","",COUNTIF($L$9:INDIRECT("K"&amp;ROW()),L153))</f>
        <v>21</v>
      </c>
    </row>
    <row r="154" spans="3:13" ht="18" hidden="1" customHeight="1" outlineLevel="1" x14ac:dyDescent="0.2">
      <c r="C154" s="252">
        <v>45087</v>
      </c>
      <c r="D154" s="248" t="s">
        <v>40</v>
      </c>
      <c r="E154" s="263">
        <f t="shared" si="4"/>
        <v>2023</v>
      </c>
      <c r="F154" s="266" t="s">
        <v>30</v>
      </c>
      <c r="G154" s="265" t="s">
        <v>98</v>
      </c>
      <c r="H154" s="369">
        <v>1000</v>
      </c>
      <c r="I154" s="369">
        <f>IF(Table1[[#This Row],[TYPE]]="Income",Table1[[#This Row],[AMOUNT (₹)]],-Table1[[#This Row],[AMOUNT (₹)]])</f>
        <v>-1000</v>
      </c>
      <c r="J154" s="265"/>
      <c r="K154" s="348"/>
      <c r="L154" s="265">
        <f t="shared" si="5"/>
        <v>2023</v>
      </c>
      <c r="M154" s="259">
        <f ca="1">IF(L154="","",COUNTIF($L$9:INDIRECT("K"&amp;ROW()),L154))</f>
        <v>22</v>
      </c>
    </row>
    <row r="155" spans="3:13" ht="18" hidden="1" customHeight="1" outlineLevel="1" x14ac:dyDescent="0.2">
      <c r="C155" s="252">
        <v>45102</v>
      </c>
      <c r="D155" s="248" t="s">
        <v>76</v>
      </c>
      <c r="E155" s="263">
        <f t="shared" si="4"/>
        <v>2023</v>
      </c>
      <c r="F155" s="266" t="s">
        <v>274</v>
      </c>
      <c r="G155" s="265" t="s">
        <v>76</v>
      </c>
      <c r="H155" s="369">
        <v>3000</v>
      </c>
      <c r="I155" s="369">
        <f>IF(Table1[[#This Row],[TYPE]]="Income",Table1[[#This Row],[AMOUNT (₹)]],-Table1[[#This Row],[AMOUNT (₹)]])</f>
        <v>-3000</v>
      </c>
      <c r="J155" s="265"/>
      <c r="K155" s="348"/>
      <c r="L155" s="265">
        <f t="shared" si="5"/>
        <v>2023</v>
      </c>
      <c r="M155" s="259">
        <f ca="1">IF(L155="","",COUNTIF($L$9:INDIRECT("K"&amp;ROW()),L155))</f>
        <v>23</v>
      </c>
    </row>
    <row r="156" spans="3:13" ht="18" hidden="1" customHeight="1" outlineLevel="1" x14ac:dyDescent="0.2">
      <c r="C156" s="252">
        <v>45107</v>
      </c>
      <c r="D156" s="248" t="s">
        <v>330</v>
      </c>
      <c r="E156" s="263">
        <f t="shared" si="4"/>
        <v>2023</v>
      </c>
      <c r="F156" s="266" t="s">
        <v>277</v>
      </c>
      <c r="G156" s="265" t="s">
        <v>111</v>
      </c>
      <c r="H156" s="369">
        <v>34000</v>
      </c>
      <c r="I156" s="369">
        <f>IF(Table1[[#This Row],[TYPE]]="Income",Table1[[#This Row],[AMOUNT (₹)]],-Table1[[#This Row],[AMOUNT (₹)]])</f>
        <v>34000</v>
      </c>
      <c r="J156" s="265"/>
      <c r="K156" s="348"/>
      <c r="L156" s="265">
        <f t="shared" si="5"/>
        <v>2023</v>
      </c>
      <c r="M156" s="259">
        <f ca="1">IF(L156="","",COUNTIF($L$9:INDIRECT("K"&amp;ROW()),L156))</f>
        <v>24</v>
      </c>
    </row>
    <row r="157" spans="3:13" ht="18" hidden="1" customHeight="1" outlineLevel="1" x14ac:dyDescent="0.2">
      <c r="C157" s="252">
        <v>45110</v>
      </c>
      <c r="D157" s="248" t="s">
        <v>382</v>
      </c>
      <c r="E157" s="263">
        <f t="shared" si="4"/>
        <v>2023</v>
      </c>
      <c r="F157" s="266" t="s">
        <v>274</v>
      </c>
      <c r="G157" s="265" t="s">
        <v>80</v>
      </c>
      <c r="H157" s="369">
        <v>6881</v>
      </c>
      <c r="I157" s="369">
        <f>IF(Table1[[#This Row],[TYPE]]="Income",Table1[[#This Row],[AMOUNT (₹)]],-Table1[[#This Row],[AMOUNT (₹)]])</f>
        <v>-6881</v>
      </c>
      <c r="J157" s="265"/>
      <c r="K157" s="348"/>
      <c r="L157" s="265">
        <f t="shared" si="5"/>
        <v>2023</v>
      </c>
      <c r="M157" s="259">
        <f ca="1">IF(L157="","",COUNTIF($L$9:INDIRECT("K"&amp;ROW()),L157))</f>
        <v>25</v>
      </c>
    </row>
    <row r="158" spans="3:13" ht="18" hidden="1" customHeight="1" outlineLevel="1" x14ac:dyDescent="0.2">
      <c r="C158" s="252">
        <v>45110</v>
      </c>
      <c r="D158" s="273" t="s">
        <v>383</v>
      </c>
      <c r="E158" s="263">
        <f t="shared" si="4"/>
        <v>2023</v>
      </c>
      <c r="F158" s="267" t="s">
        <v>274</v>
      </c>
      <c r="G158" s="253" t="s">
        <v>88</v>
      </c>
      <c r="H158" s="268">
        <v>3500</v>
      </c>
      <c r="I158" s="268">
        <f>IF(Table1[[#This Row],[TYPE]]="Income",Table1[[#This Row],[AMOUNT (₹)]],-Table1[[#This Row],[AMOUNT (₹)]])</f>
        <v>-3500</v>
      </c>
      <c r="J158" s="265"/>
      <c r="K158" s="370"/>
      <c r="L158" s="265">
        <f t="shared" si="5"/>
        <v>2023</v>
      </c>
      <c r="M158" s="259">
        <f ca="1">IF(L158="","",COUNTIF($L$9:INDIRECT("K"&amp;ROW()),L158))</f>
        <v>26</v>
      </c>
    </row>
    <row r="159" spans="3:13" ht="18" hidden="1" customHeight="1" outlineLevel="1" x14ac:dyDescent="0.2">
      <c r="C159" s="252">
        <v>45117</v>
      </c>
      <c r="D159" s="248" t="s">
        <v>41</v>
      </c>
      <c r="E159" s="263">
        <f t="shared" si="4"/>
        <v>2023</v>
      </c>
      <c r="F159" s="266" t="s">
        <v>30</v>
      </c>
      <c r="G159" s="265" t="s">
        <v>98</v>
      </c>
      <c r="H159" s="369">
        <v>1000</v>
      </c>
      <c r="I159" s="369">
        <f>IF(Table1[[#This Row],[TYPE]]="Income",Table1[[#This Row],[AMOUNT (₹)]],-Table1[[#This Row],[AMOUNT (₹)]])</f>
        <v>-1000</v>
      </c>
      <c r="J159" s="265"/>
      <c r="K159" s="348"/>
      <c r="L159" s="265">
        <f t="shared" si="5"/>
        <v>2023</v>
      </c>
      <c r="M159" s="259">
        <f ca="1">IF(L159="","",COUNTIF($L$9:INDIRECT("K"&amp;ROW()),L159))</f>
        <v>27</v>
      </c>
    </row>
    <row r="160" spans="3:13" ht="18" hidden="1" customHeight="1" outlineLevel="1" x14ac:dyDescent="0.2">
      <c r="C160" s="252">
        <v>45121</v>
      </c>
      <c r="D160" s="349" t="s">
        <v>384</v>
      </c>
      <c r="E160" s="263">
        <f t="shared" si="4"/>
        <v>2023</v>
      </c>
      <c r="F160" s="266" t="s">
        <v>274</v>
      </c>
      <c r="G160" s="265" t="s">
        <v>84</v>
      </c>
      <c r="H160" s="369">
        <v>30000</v>
      </c>
      <c r="I160" s="369">
        <f>IF(Table1[[#This Row],[TYPE]]="Income",Table1[[#This Row],[AMOUNT (₹)]],-Table1[[#This Row],[AMOUNT (₹)]])</f>
        <v>-30000</v>
      </c>
      <c r="J160" s="265"/>
      <c r="K160" s="348" t="s">
        <v>99</v>
      </c>
      <c r="L160" s="265">
        <f t="shared" si="5"/>
        <v>2023</v>
      </c>
      <c r="M160" s="259">
        <f ca="1">IF(L160="","",COUNTIF($L$9:INDIRECT("K"&amp;ROW()),L160))</f>
        <v>28</v>
      </c>
    </row>
    <row r="161" spans="3:13" ht="18" hidden="1" customHeight="1" outlineLevel="1" x14ac:dyDescent="0.2">
      <c r="C161" s="252">
        <v>45122</v>
      </c>
      <c r="D161" s="248" t="s">
        <v>385</v>
      </c>
      <c r="E161" s="263">
        <f t="shared" si="4"/>
        <v>2023</v>
      </c>
      <c r="F161" s="266" t="s">
        <v>274</v>
      </c>
      <c r="G161" s="265" t="s">
        <v>94</v>
      </c>
      <c r="H161" s="369">
        <v>1150</v>
      </c>
      <c r="I161" s="369">
        <f>IF(Table1[[#This Row],[TYPE]]="Income",Table1[[#This Row],[AMOUNT (₹)]],-Table1[[#This Row],[AMOUNT (₹)]])</f>
        <v>-1150</v>
      </c>
      <c r="J161" s="265"/>
      <c r="K161" s="348"/>
      <c r="L161" s="265">
        <f t="shared" si="5"/>
        <v>2023</v>
      </c>
      <c r="M161" s="259">
        <f ca="1">IF(L161="","",COUNTIF($L$9:INDIRECT("K"&amp;ROW()),L161))</f>
        <v>29</v>
      </c>
    </row>
    <row r="162" spans="3:13" ht="18" hidden="1" customHeight="1" outlineLevel="1" x14ac:dyDescent="0.2">
      <c r="C162" s="252">
        <v>45133</v>
      </c>
      <c r="D162" s="274">
        <v>45139</v>
      </c>
      <c r="E162" s="263">
        <f t="shared" si="4"/>
        <v>2023</v>
      </c>
      <c r="F162" s="267" t="s">
        <v>274</v>
      </c>
      <c r="G162" s="253" t="s">
        <v>88</v>
      </c>
      <c r="H162" s="268">
        <v>4000</v>
      </c>
      <c r="I162" s="268">
        <f>IF(Table1[[#This Row],[TYPE]]="Income",Table1[[#This Row],[AMOUNT (₹)]],-Table1[[#This Row],[AMOUNT (₹)]])</f>
        <v>-4000</v>
      </c>
      <c r="J162" s="265"/>
      <c r="K162" s="370"/>
      <c r="L162" s="265">
        <f t="shared" si="5"/>
        <v>2023</v>
      </c>
      <c r="M162" s="259">
        <f ca="1">IF(L162="","",COUNTIF($L$9:INDIRECT("K"&amp;ROW()),L162))</f>
        <v>30</v>
      </c>
    </row>
    <row r="163" spans="3:13" ht="18" hidden="1" customHeight="1" outlineLevel="1" x14ac:dyDescent="0.2">
      <c r="C163" s="252">
        <v>45133</v>
      </c>
      <c r="D163" s="248" t="s">
        <v>386</v>
      </c>
      <c r="E163" s="263">
        <f t="shared" si="4"/>
        <v>2023</v>
      </c>
      <c r="F163" s="266" t="s">
        <v>274</v>
      </c>
      <c r="G163" s="265" t="s">
        <v>90</v>
      </c>
      <c r="H163" s="369">
        <v>5285</v>
      </c>
      <c r="I163" s="369">
        <f>IF(Table1[[#This Row],[TYPE]]="Income",Table1[[#This Row],[AMOUNT (₹)]],-Table1[[#This Row],[AMOUNT (₹)]])</f>
        <v>-5285</v>
      </c>
      <c r="J163" s="265"/>
      <c r="K163" s="348"/>
      <c r="L163" s="265">
        <f t="shared" si="5"/>
        <v>2023</v>
      </c>
      <c r="M163" s="259">
        <f ca="1">IF(L163="","",COUNTIF($L$9:INDIRECT("K"&amp;ROW()),L163))</f>
        <v>31</v>
      </c>
    </row>
    <row r="164" spans="3:13" ht="18" hidden="1" customHeight="1" outlineLevel="1" x14ac:dyDescent="0.2">
      <c r="C164" s="252">
        <v>45134</v>
      </c>
      <c r="D164" s="349" t="s">
        <v>387</v>
      </c>
      <c r="E164" s="263">
        <f t="shared" si="4"/>
        <v>2023</v>
      </c>
      <c r="F164" s="266" t="s">
        <v>274</v>
      </c>
      <c r="G164" s="265" t="s">
        <v>84</v>
      </c>
      <c r="H164" s="369">
        <v>6500</v>
      </c>
      <c r="I164" s="369">
        <f>IF(Table1[[#This Row],[TYPE]]="Income",Table1[[#This Row],[AMOUNT (₹)]],-Table1[[#This Row],[AMOUNT (₹)]])</f>
        <v>-6500</v>
      </c>
      <c r="J164" s="265"/>
      <c r="K164" s="348" t="s">
        <v>99</v>
      </c>
      <c r="L164" s="265">
        <f t="shared" si="5"/>
        <v>2023</v>
      </c>
      <c r="M164" s="259">
        <f ca="1">IF(L164="","",COUNTIF($L$9:INDIRECT("K"&amp;ROW()),L164))</f>
        <v>32</v>
      </c>
    </row>
    <row r="165" spans="3:13" ht="18" hidden="1" customHeight="1" outlineLevel="1" x14ac:dyDescent="0.2">
      <c r="C165" s="252">
        <v>45138</v>
      </c>
      <c r="D165" s="248" t="s">
        <v>388</v>
      </c>
      <c r="E165" s="263">
        <f t="shared" si="4"/>
        <v>2023</v>
      </c>
      <c r="F165" s="266" t="s">
        <v>274</v>
      </c>
      <c r="G165" s="265" t="s">
        <v>76</v>
      </c>
      <c r="H165" s="369">
        <v>7810</v>
      </c>
      <c r="I165" s="369">
        <f>IF(Table1[[#This Row],[TYPE]]="Income",Table1[[#This Row],[AMOUNT (₹)]],-Table1[[#This Row],[AMOUNT (₹)]])</f>
        <v>-7810</v>
      </c>
      <c r="J165" s="265"/>
      <c r="K165" s="348"/>
      <c r="L165" s="265">
        <f t="shared" si="5"/>
        <v>2023</v>
      </c>
      <c r="M165" s="259">
        <f ca="1">IF(L165="","",COUNTIF($L$9:INDIRECT("K"&amp;ROW()),L165))</f>
        <v>33</v>
      </c>
    </row>
    <row r="166" spans="3:13" ht="18" hidden="1" customHeight="1" outlineLevel="1" x14ac:dyDescent="0.2">
      <c r="C166" s="252">
        <v>45138</v>
      </c>
      <c r="D166" s="248" t="s">
        <v>334</v>
      </c>
      <c r="E166" s="263">
        <f t="shared" si="4"/>
        <v>2023</v>
      </c>
      <c r="F166" s="266" t="s">
        <v>277</v>
      </c>
      <c r="G166" s="265" t="s">
        <v>111</v>
      </c>
      <c r="H166" s="369">
        <v>34000</v>
      </c>
      <c r="I166" s="369">
        <f>IF(Table1[[#This Row],[TYPE]]="Income",Table1[[#This Row],[AMOUNT (₹)]],-Table1[[#This Row],[AMOUNT (₹)]])</f>
        <v>34000</v>
      </c>
      <c r="J166" s="265"/>
      <c r="K166" s="348"/>
      <c r="L166" s="265">
        <f t="shared" si="5"/>
        <v>2023</v>
      </c>
      <c r="M166" s="259">
        <f ca="1">IF(L166="","",COUNTIF($L$9:INDIRECT("K"&amp;ROW()),L166))</f>
        <v>34</v>
      </c>
    </row>
    <row r="167" spans="3:13" ht="18" hidden="1" customHeight="1" outlineLevel="1" x14ac:dyDescent="0.2">
      <c r="C167" s="252">
        <v>45141</v>
      </c>
      <c r="D167" s="248" t="s">
        <v>389</v>
      </c>
      <c r="E167" s="263">
        <f t="shared" si="4"/>
        <v>2023</v>
      </c>
      <c r="F167" s="266" t="s">
        <v>274</v>
      </c>
      <c r="G167" s="265" t="s">
        <v>80</v>
      </c>
      <c r="H167" s="369">
        <v>6881</v>
      </c>
      <c r="I167" s="369">
        <f>IF(Table1[[#This Row],[TYPE]]="Income",Table1[[#This Row],[AMOUNT (₹)]],-Table1[[#This Row],[AMOUNT (₹)]])</f>
        <v>-6881</v>
      </c>
      <c r="J167" s="265"/>
      <c r="K167" s="348"/>
      <c r="L167" s="265">
        <f t="shared" si="5"/>
        <v>2023</v>
      </c>
      <c r="M167" s="259">
        <f ca="1">IF(L167="","",COUNTIF($L$9:INDIRECT("K"&amp;ROW()),L167))</f>
        <v>35</v>
      </c>
    </row>
    <row r="168" spans="3:13" ht="18" hidden="1" customHeight="1" outlineLevel="1" x14ac:dyDescent="0.2">
      <c r="C168" s="252">
        <v>45141</v>
      </c>
      <c r="D168" s="349" t="s">
        <v>390</v>
      </c>
      <c r="E168" s="263">
        <f t="shared" si="4"/>
        <v>2023</v>
      </c>
      <c r="F168" s="266" t="s">
        <v>274</v>
      </c>
      <c r="G168" s="265" t="s">
        <v>84</v>
      </c>
      <c r="H168" s="369">
        <v>41500</v>
      </c>
      <c r="I168" s="369">
        <f>IF(Table1[[#This Row],[TYPE]]="Income",Table1[[#This Row],[AMOUNT (₹)]],-Table1[[#This Row],[AMOUNT (₹)]])</f>
        <v>-41500</v>
      </c>
      <c r="J168" s="265"/>
      <c r="K168" s="348" t="s">
        <v>99</v>
      </c>
      <c r="L168" s="265">
        <f t="shared" si="5"/>
        <v>2023</v>
      </c>
      <c r="M168" s="259">
        <f ca="1">IF(L168="","",COUNTIF($L$9:INDIRECT("K"&amp;ROW()),L168))</f>
        <v>36</v>
      </c>
    </row>
    <row r="169" spans="3:13" ht="18" hidden="1" customHeight="1" outlineLevel="1" x14ac:dyDescent="0.2">
      <c r="C169" s="252">
        <v>45145</v>
      </c>
      <c r="D169" s="248" t="s">
        <v>391</v>
      </c>
      <c r="E169" s="263">
        <f t="shared" si="4"/>
        <v>2023</v>
      </c>
      <c r="F169" s="266" t="s">
        <v>274</v>
      </c>
      <c r="G169" s="265" t="s">
        <v>76</v>
      </c>
      <c r="H169" s="369">
        <v>4000</v>
      </c>
      <c r="I169" s="369">
        <f>IF(Table1[[#This Row],[TYPE]]="Income",Table1[[#This Row],[AMOUNT (₹)]],-Table1[[#This Row],[AMOUNT (₹)]])</f>
        <v>-4000</v>
      </c>
      <c r="J169" s="265"/>
      <c r="K169" s="348"/>
      <c r="L169" s="265">
        <f t="shared" si="5"/>
        <v>2023</v>
      </c>
      <c r="M169" s="259">
        <f ca="1">IF(L169="","",COUNTIF($L$9:INDIRECT("K"&amp;ROW()),L169))</f>
        <v>37</v>
      </c>
    </row>
    <row r="170" spans="3:13" ht="18" hidden="1" customHeight="1" outlineLevel="1" x14ac:dyDescent="0.2">
      <c r="C170" s="252">
        <v>45148</v>
      </c>
      <c r="D170" s="248" t="s">
        <v>43</v>
      </c>
      <c r="E170" s="263">
        <f t="shared" si="4"/>
        <v>2023</v>
      </c>
      <c r="F170" s="266" t="s">
        <v>30</v>
      </c>
      <c r="G170" s="265" t="s">
        <v>98</v>
      </c>
      <c r="H170" s="369">
        <v>1000</v>
      </c>
      <c r="I170" s="369">
        <f>IF(Table1[[#This Row],[TYPE]]="Income",Table1[[#This Row],[AMOUNT (₹)]],-Table1[[#This Row],[AMOUNT (₹)]])</f>
        <v>-1000</v>
      </c>
      <c r="J170" s="265"/>
      <c r="K170" s="348"/>
      <c r="L170" s="265">
        <f t="shared" si="5"/>
        <v>2023</v>
      </c>
      <c r="M170" s="259">
        <f ca="1">IF(L170="","",COUNTIF($L$9:INDIRECT("K"&amp;ROW()),L170))</f>
        <v>38</v>
      </c>
    </row>
    <row r="171" spans="3:13" ht="18" hidden="1" customHeight="1" outlineLevel="1" x14ac:dyDescent="0.2">
      <c r="C171" s="252">
        <v>45150</v>
      </c>
      <c r="D171" s="248" t="s">
        <v>392</v>
      </c>
      <c r="E171" s="263">
        <f t="shared" si="4"/>
        <v>2023</v>
      </c>
      <c r="F171" s="266" t="s">
        <v>274</v>
      </c>
      <c r="G171" s="265" t="s">
        <v>76</v>
      </c>
      <c r="H171" s="369">
        <v>5000</v>
      </c>
      <c r="I171" s="369">
        <f>IF(Table1[[#This Row],[TYPE]]="Income",Table1[[#This Row],[AMOUNT (₹)]],-Table1[[#This Row],[AMOUNT (₹)]])</f>
        <v>-5000</v>
      </c>
      <c r="J171" s="265"/>
      <c r="K171" s="348"/>
      <c r="L171" s="265">
        <f t="shared" si="5"/>
        <v>2023</v>
      </c>
      <c r="M171" s="259">
        <f ca="1">IF(L171="","",COUNTIF($L$9:INDIRECT("K"&amp;ROW()),L171))</f>
        <v>39</v>
      </c>
    </row>
    <row r="172" spans="3:13" ht="18" hidden="1" customHeight="1" outlineLevel="1" x14ac:dyDescent="0.2">
      <c r="C172" s="252">
        <v>45151</v>
      </c>
      <c r="D172" s="248" t="s">
        <v>393</v>
      </c>
      <c r="E172" s="263">
        <f t="shared" si="4"/>
        <v>2023</v>
      </c>
      <c r="F172" s="266" t="s">
        <v>274</v>
      </c>
      <c r="G172" s="265" t="s">
        <v>90</v>
      </c>
      <c r="H172" s="369">
        <v>2646</v>
      </c>
      <c r="I172" s="369">
        <f>IF(Table1[[#This Row],[TYPE]]="Income",Table1[[#This Row],[AMOUNT (₹)]],-Table1[[#This Row],[AMOUNT (₹)]])</f>
        <v>-2646</v>
      </c>
      <c r="J172" s="265"/>
      <c r="K172" s="348"/>
      <c r="L172" s="265">
        <f t="shared" si="5"/>
        <v>2023</v>
      </c>
      <c r="M172" s="259">
        <f ca="1">IF(L172="","",COUNTIF($L$9:INDIRECT("K"&amp;ROW()),L172))</f>
        <v>40</v>
      </c>
    </row>
    <row r="173" spans="3:13" ht="18" hidden="1" customHeight="1" outlineLevel="1" x14ac:dyDescent="0.2">
      <c r="C173" s="252">
        <v>45153</v>
      </c>
      <c r="D173" s="248" t="s">
        <v>394</v>
      </c>
      <c r="E173" s="263">
        <f t="shared" si="4"/>
        <v>2023</v>
      </c>
      <c r="F173" s="266" t="s">
        <v>274</v>
      </c>
      <c r="G173" s="265" t="s">
        <v>94</v>
      </c>
      <c r="H173" s="369">
        <v>1150</v>
      </c>
      <c r="I173" s="369">
        <f>IF(Table1[[#This Row],[TYPE]]="Income",Table1[[#This Row],[AMOUNT (₹)]],-Table1[[#This Row],[AMOUNT (₹)]])</f>
        <v>-1150</v>
      </c>
      <c r="J173" s="265"/>
      <c r="K173" s="348"/>
      <c r="L173" s="265">
        <f t="shared" si="5"/>
        <v>2023</v>
      </c>
      <c r="M173" s="259">
        <f ca="1">IF(L173="","",COUNTIF($L$9:INDIRECT("K"&amp;ROW()),L173))</f>
        <v>41</v>
      </c>
    </row>
    <row r="174" spans="3:13" ht="18" hidden="1" customHeight="1" outlineLevel="1" x14ac:dyDescent="0.2">
      <c r="C174" s="252">
        <v>45160</v>
      </c>
      <c r="D174" s="349" t="s">
        <v>395</v>
      </c>
      <c r="E174" s="263">
        <f t="shared" si="4"/>
        <v>2023</v>
      </c>
      <c r="F174" s="266" t="s">
        <v>274</v>
      </c>
      <c r="G174" s="265" t="s">
        <v>84</v>
      </c>
      <c r="H174" s="369">
        <v>3165</v>
      </c>
      <c r="I174" s="369">
        <f>IF(Table1[[#This Row],[TYPE]]="Income",Table1[[#This Row],[AMOUNT (₹)]],-Table1[[#This Row],[AMOUNT (₹)]])</f>
        <v>-3165</v>
      </c>
      <c r="J174" s="265"/>
      <c r="K174" s="348" t="s">
        <v>99</v>
      </c>
      <c r="L174" s="265">
        <f t="shared" si="5"/>
        <v>2023</v>
      </c>
      <c r="M174" s="259">
        <f ca="1">IF(L174="","",COUNTIF($L$9:INDIRECT("K"&amp;ROW()),L174))</f>
        <v>42</v>
      </c>
    </row>
    <row r="175" spans="3:13" ht="18" hidden="1" customHeight="1" outlineLevel="1" x14ac:dyDescent="0.2">
      <c r="C175" s="252">
        <v>45162</v>
      </c>
      <c r="D175" s="349" t="s">
        <v>396</v>
      </c>
      <c r="E175" s="263">
        <f t="shared" si="4"/>
        <v>2023</v>
      </c>
      <c r="F175" s="266" t="s">
        <v>274</v>
      </c>
      <c r="G175" s="265" t="s">
        <v>84</v>
      </c>
      <c r="H175" s="369">
        <v>2200</v>
      </c>
      <c r="I175" s="369">
        <f>IF(Table1[[#This Row],[TYPE]]="Income",Table1[[#This Row],[AMOUNT (₹)]],-Table1[[#This Row],[AMOUNT (₹)]])</f>
        <v>-2200</v>
      </c>
      <c r="J175" s="265"/>
      <c r="K175" s="348" t="s">
        <v>99</v>
      </c>
      <c r="L175" s="265">
        <f t="shared" si="5"/>
        <v>2023</v>
      </c>
      <c r="M175" s="259">
        <f ca="1">IF(L175="","",COUNTIF($L$9:INDIRECT("K"&amp;ROW()),L175))</f>
        <v>43</v>
      </c>
    </row>
    <row r="176" spans="3:13" ht="18" hidden="1" customHeight="1" outlineLevel="1" x14ac:dyDescent="0.2">
      <c r="C176" s="252">
        <v>45162</v>
      </c>
      <c r="D176" s="349" t="s">
        <v>397</v>
      </c>
      <c r="E176" s="263">
        <f t="shared" si="4"/>
        <v>2023</v>
      </c>
      <c r="F176" s="266" t="s">
        <v>274</v>
      </c>
      <c r="G176" s="265" t="s">
        <v>84</v>
      </c>
      <c r="H176" s="369">
        <v>1800</v>
      </c>
      <c r="I176" s="369">
        <f>IF(Table1[[#This Row],[TYPE]]="Income",Table1[[#This Row],[AMOUNT (₹)]],-Table1[[#This Row],[AMOUNT (₹)]])</f>
        <v>-1800</v>
      </c>
      <c r="J176" s="265"/>
      <c r="K176" s="348" t="s">
        <v>99</v>
      </c>
      <c r="L176" s="265">
        <f t="shared" si="5"/>
        <v>2023</v>
      </c>
      <c r="M176" s="259">
        <f ca="1">IF(L176="","",COUNTIF($L$9:INDIRECT("K"&amp;ROW()),L176))</f>
        <v>44</v>
      </c>
    </row>
    <row r="177" spans="3:13" ht="18" hidden="1" customHeight="1" outlineLevel="1" x14ac:dyDescent="0.2">
      <c r="C177" s="252">
        <v>45163</v>
      </c>
      <c r="D177" s="274">
        <v>45170</v>
      </c>
      <c r="E177" s="263">
        <f t="shared" si="4"/>
        <v>2023</v>
      </c>
      <c r="F177" s="267" t="s">
        <v>274</v>
      </c>
      <c r="G177" s="253" t="s">
        <v>88</v>
      </c>
      <c r="H177" s="268">
        <v>4000</v>
      </c>
      <c r="I177" s="268">
        <f>IF(Table1[[#This Row],[TYPE]]="Income",Table1[[#This Row],[AMOUNT (₹)]],-Table1[[#This Row],[AMOUNT (₹)]])</f>
        <v>-4000</v>
      </c>
      <c r="J177" s="265"/>
      <c r="K177" s="370"/>
      <c r="L177" s="265">
        <f t="shared" si="5"/>
        <v>2023</v>
      </c>
      <c r="M177" s="259">
        <f ca="1">IF(L177="","",COUNTIF($L$9:INDIRECT("K"&amp;ROW()),L177))</f>
        <v>45</v>
      </c>
    </row>
    <row r="178" spans="3:13" ht="18" hidden="1" customHeight="1" outlineLevel="1" x14ac:dyDescent="0.2">
      <c r="C178" s="252">
        <v>45163</v>
      </c>
      <c r="D178" s="274">
        <v>45200</v>
      </c>
      <c r="E178" s="263">
        <f t="shared" si="4"/>
        <v>2023</v>
      </c>
      <c r="F178" s="267" t="s">
        <v>274</v>
      </c>
      <c r="G178" s="253" t="s">
        <v>88</v>
      </c>
      <c r="H178" s="268">
        <v>5000</v>
      </c>
      <c r="I178" s="268">
        <f>IF(Table1[[#This Row],[TYPE]]="Income",Table1[[#This Row],[AMOUNT (₹)]],-Table1[[#This Row],[AMOUNT (₹)]])</f>
        <v>-5000</v>
      </c>
      <c r="J178" s="265"/>
      <c r="K178" s="348"/>
      <c r="L178" s="265">
        <f t="shared" si="5"/>
        <v>2023</v>
      </c>
      <c r="M178" s="259">
        <f ca="1">IF(L178="","",COUNTIF($L$9:INDIRECT("K"&amp;ROW()),L178))</f>
        <v>46</v>
      </c>
    </row>
    <row r="179" spans="3:13" ht="18" hidden="1" customHeight="1" outlineLevel="1" x14ac:dyDescent="0.2">
      <c r="C179" s="252">
        <v>45169</v>
      </c>
      <c r="D179" s="248" t="s">
        <v>398</v>
      </c>
      <c r="E179" s="263">
        <f t="shared" si="4"/>
        <v>2023</v>
      </c>
      <c r="F179" s="266" t="s">
        <v>274</v>
      </c>
      <c r="G179" s="265" t="s">
        <v>76</v>
      </c>
      <c r="H179" s="369">
        <v>8500</v>
      </c>
      <c r="I179" s="369">
        <f>IF(Table1[[#This Row],[TYPE]]="Income",Table1[[#This Row],[AMOUNT (₹)]],-Table1[[#This Row],[AMOUNT (₹)]])</f>
        <v>-8500</v>
      </c>
      <c r="J179" s="265"/>
      <c r="K179" s="348"/>
      <c r="L179" s="265">
        <f t="shared" si="5"/>
        <v>2023</v>
      </c>
      <c r="M179" s="259">
        <f ca="1">IF(L179="","",COUNTIF($L$9:INDIRECT("K"&amp;ROW()),L179))</f>
        <v>47</v>
      </c>
    </row>
    <row r="180" spans="3:13" ht="18" hidden="1" customHeight="1" outlineLevel="1" x14ac:dyDescent="0.2">
      <c r="C180" s="252">
        <v>45169</v>
      </c>
      <c r="D180" s="248" t="s">
        <v>338</v>
      </c>
      <c r="E180" s="263">
        <f t="shared" si="4"/>
        <v>2023</v>
      </c>
      <c r="F180" s="266" t="s">
        <v>277</v>
      </c>
      <c r="G180" s="265" t="s">
        <v>111</v>
      </c>
      <c r="H180" s="369">
        <v>34000</v>
      </c>
      <c r="I180" s="369">
        <f>IF(Table1[[#This Row],[TYPE]]="Income",Table1[[#This Row],[AMOUNT (₹)]],-Table1[[#This Row],[AMOUNT (₹)]])</f>
        <v>34000</v>
      </c>
      <c r="J180" s="265"/>
      <c r="K180" s="348"/>
      <c r="L180" s="265">
        <f t="shared" si="5"/>
        <v>2023</v>
      </c>
      <c r="M180" s="259">
        <f ca="1">IF(L180="","",COUNTIF($L$9:INDIRECT("K"&amp;ROW()),L180))</f>
        <v>48</v>
      </c>
    </row>
    <row r="181" spans="3:13" ht="18" hidden="1" customHeight="1" outlineLevel="1" x14ac:dyDescent="0.2">
      <c r="C181" s="252">
        <v>45172</v>
      </c>
      <c r="D181" s="248" t="s">
        <v>399</v>
      </c>
      <c r="E181" s="263">
        <f t="shared" si="4"/>
        <v>2023</v>
      </c>
      <c r="F181" s="266" t="s">
        <v>274</v>
      </c>
      <c r="G181" s="265" t="s">
        <v>80</v>
      </c>
      <c r="H181" s="369">
        <v>6881</v>
      </c>
      <c r="I181" s="369">
        <f>IF(Table1[[#This Row],[TYPE]]="Income",Table1[[#This Row],[AMOUNT (₹)]],-Table1[[#This Row],[AMOUNT (₹)]])</f>
        <v>-6881</v>
      </c>
      <c r="J181" s="265"/>
      <c r="K181" s="348"/>
      <c r="L181" s="265">
        <f t="shared" si="5"/>
        <v>2023</v>
      </c>
      <c r="M181" s="259">
        <f ca="1">IF(L181="","",COUNTIF($L$9:INDIRECT("K"&amp;ROW()),L181))</f>
        <v>49</v>
      </c>
    </row>
    <row r="182" spans="3:13" ht="18" hidden="1" customHeight="1" outlineLevel="1" x14ac:dyDescent="0.2">
      <c r="C182" s="252">
        <v>45172</v>
      </c>
      <c r="D182" s="248" t="s">
        <v>400</v>
      </c>
      <c r="E182" s="263">
        <f t="shared" si="4"/>
        <v>2023</v>
      </c>
      <c r="F182" s="266" t="s">
        <v>274</v>
      </c>
      <c r="G182" s="265" t="s">
        <v>82</v>
      </c>
      <c r="H182" s="369">
        <v>1390</v>
      </c>
      <c r="I182" s="369">
        <f>IF(Table1[[#This Row],[TYPE]]="Income",Table1[[#This Row],[AMOUNT (₹)]],-Table1[[#This Row],[AMOUNT (₹)]])</f>
        <v>-1390</v>
      </c>
      <c r="J182" s="265"/>
      <c r="K182" s="348"/>
      <c r="L182" s="265">
        <f t="shared" si="5"/>
        <v>2023</v>
      </c>
      <c r="M182" s="259">
        <f ca="1">IF(L182="","",COUNTIF($L$9:INDIRECT("K"&amp;ROW()),L182))</f>
        <v>50</v>
      </c>
    </row>
    <row r="183" spans="3:13" ht="18" hidden="1" customHeight="1" outlineLevel="1" x14ac:dyDescent="0.2">
      <c r="C183" s="252">
        <v>45179</v>
      </c>
      <c r="D183" s="248" t="s">
        <v>44</v>
      </c>
      <c r="E183" s="263">
        <f t="shared" si="4"/>
        <v>2023</v>
      </c>
      <c r="F183" s="266" t="s">
        <v>30</v>
      </c>
      <c r="G183" s="265" t="s">
        <v>98</v>
      </c>
      <c r="H183" s="369">
        <v>1376</v>
      </c>
      <c r="I183" s="369">
        <f>IF(Table1[[#This Row],[TYPE]]="Income",Table1[[#This Row],[AMOUNT (₹)]],-Table1[[#This Row],[AMOUNT (₹)]])</f>
        <v>-1376</v>
      </c>
      <c r="J183" s="265"/>
      <c r="K183" s="348"/>
      <c r="L183" s="265">
        <f t="shared" si="5"/>
        <v>2023</v>
      </c>
      <c r="M183" s="259">
        <f ca="1">IF(L183="","",COUNTIF($L$9:INDIRECT("K"&amp;ROW()),L183))</f>
        <v>51</v>
      </c>
    </row>
    <row r="184" spans="3:13" ht="18" hidden="1" customHeight="1" outlineLevel="1" x14ac:dyDescent="0.2">
      <c r="C184" s="252">
        <v>45184</v>
      </c>
      <c r="D184" s="248" t="s">
        <v>401</v>
      </c>
      <c r="E184" s="263">
        <f t="shared" si="4"/>
        <v>2023</v>
      </c>
      <c r="F184" s="266" t="s">
        <v>274</v>
      </c>
      <c r="G184" s="265" t="s">
        <v>82</v>
      </c>
      <c r="H184" s="369">
        <v>807</v>
      </c>
      <c r="I184" s="369">
        <f>IF(Table1[[#This Row],[TYPE]]="Income",Table1[[#This Row],[AMOUNT (₹)]],-Table1[[#This Row],[AMOUNT (₹)]])</f>
        <v>-807</v>
      </c>
      <c r="J184" s="265"/>
      <c r="K184" s="348"/>
      <c r="L184" s="265">
        <f t="shared" si="5"/>
        <v>2023</v>
      </c>
      <c r="M184" s="259">
        <f ca="1">IF(L184="","",COUNTIF($L$9:INDIRECT("K"&amp;ROW()),L184))</f>
        <v>52</v>
      </c>
    </row>
    <row r="185" spans="3:13" ht="18" hidden="1" customHeight="1" outlineLevel="1" x14ac:dyDescent="0.2">
      <c r="C185" s="252">
        <v>45184</v>
      </c>
      <c r="D185" s="248" t="s">
        <v>402</v>
      </c>
      <c r="E185" s="263">
        <f t="shared" si="4"/>
        <v>2023</v>
      </c>
      <c r="F185" s="266" t="s">
        <v>274</v>
      </c>
      <c r="G185" s="265" t="s">
        <v>94</v>
      </c>
      <c r="H185" s="369">
        <v>1150</v>
      </c>
      <c r="I185" s="369">
        <f>IF(Table1[[#This Row],[TYPE]]="Income",Table1[[#This Row],[AMOUNT (₹)]],-Table1[[#This Row],[AMOUNT (₹)]])</f>
        <v>-1150</v>
      </c>
      <c r="J185" s="265"/>
      <c r="K185" s="348"/>
      <c r="L185" s="265">
        <f t="shared" si="5"/>
        <v>2023</v>
      </c>
      <c r="M185" s="259">
        <f ca="1">IF(L185="","",COUNTIF($L$9:INDIRECT("K"&amp;ROW()),L185))</f>
        <v>53</v>
      </c>
    </row>
    <row r="186" spans="3:13" ht="18" hidden="1" customHeight="1" outlineLevel="1" x14ac:dyDescent="0.2">
      <c r="C186" s="252">
        <v>45186</v>
      </c>
      <c r="D186" s="248" t="s">
        <v>403</v>
      </c>
      <c r="E186" s="263">
        <f t="shared" si="4"/>
        <v>2023</v>
      </c>
      <c r="F186" s="267" t="s">
        <v>274</v>
      </c>
      <c r="G186" s="267" t="s">
        <v>84</v>
      </c>
      <c r="H186" s="268">
        <v>1000</v>
      </c>
      <c r="I186" s="268">
        <f>IF(Table1[[#This Row],[TYPE]]="Income",Table1[[#This Row],[AMOUNT (₹)]],-Table1[[#This Row],[AMOUNT (₹)]])</f>
        <v>-1000</v>
      </c>
      <c r="J186" s="265"/>
      <c r="K186" s="370"/>
      <c r="L186" s="265">
        <f t="shared" si="5"/>
        <v>2023</v>
      </c>
      <c r="M186" s="259">
        <f ca="1">IF(L186="","",COUNTIF($L$9:INDIRECT("K"&amp;ROW()),L186))</f>
        <v>54</v>
      </c>
    </row>
    <row r="187" spans="3:13" ht="18" hidden="1" customHeight="1" outlineLevel="1" x14ac:dyDescent="0.2">
      <c r="C187" s="252">
        <v>45193</v>
      </c>
      <c r="D187" s="248" t="s">
        <v>404</v>
      </c>
      <c r="E187" s="263">
        <f t="shared" si="4"/>
        <v>2023</v>
      </c>
      <c r="F187" s="266" t="s">
        <v>274</v>
      </c>
      <c r="G187" s="265" t="s">
        <v>92</v>
      </c>
      <c r="H187" s="369">
        <v>500</v>
      </c>
      <c r="I187" s="369">
        <f>IF(Table1[[#This Row],[TYPE]]="Income",Table1[[#This Row],[AMOUNT (₹)]],-Table1[[#This Row],[AMOUNT (₹)]])</f>
        <v>-500</v>
      </c>
      <c r="J187" s="265"/>
      <c r="K187" s="348"/>
      <c r="L187" s="265">
        <f t="shared" si="5"/>
        <v>2023</v>
      </c>
      <c r="M187" s="259">
        <f ca="1">IF(L187="","",COUNTIF($L$9:INDIRECT("K"&amp;ROW()),L187))</f>
        <v>55</v>
      </c>
    </row>
    <row r="188" spans="3:13" ht="18" hidden="1" customHeight="1" outlineLevel="1" x14ac:dyDescent="0.2">
      <c r="C188" s="252">
        <v>45195</v>
      </c>
      <c r="D188" s="248" t="s">
        <v>405</v>
      </c>
      <c r="E188" s="263">
        <f t="shared" si="4"/>
        <v>2023</v>
      </c>
      <c r="F188" s="267" t="s">
        <v>274</v>
      </c>
      <c r="G188" s="267" t="s">
        <v>84</v>
      </c>
      <c r="H188" s="268">
        <v>8000</v>
      </c>
      <c r="I188" s="268">
        <f>IF(Table1[[#This Row],[TYPE]]="Income",Table1[[#This Row],[AMOUNT (₹)]],-Table1[[#This Row],[AMOUNT (₹)]])</f>
        <v>-8000</v>
      </c>
      <c r="J188" s="265"/>
      <c r="K188" s="370"/>
      <c r="L188" s="265">
        <f t="shared" si="5"/>
        <v>2023</v>
      </c>
      <c r="M188" s="259">
        <f ca="1">IF(L188="","",COUNTIF($L$9:INDIRECT("K"&amp;ROW()),L188))</f>
        <v>56</v>
      </c>
    </row>
    <row r="189" spans="3:13" ht="18" hidden="1" customHeight="1" outlineLevel="1" x14ac:dyDescent="0.2">
      <c r="C189" s="252">
        <v>45197</v>
      </c>
      <c r="D189" s="349" t="s">
        <v>406</v>
      </c>
      <c r="E189" s="263">
        <f t="shared" si="4"/>
        <v>2023</v>
      </c>
      <c r="F189" s="266" t="s">
        <v>274</v>
      </c>
      <c r="G189" s="265" t="s">
        <v>84</v>
      </c>
      <c r="H189" s="369">
        <v>10050</v>
      </c>
      <c r="I189" s="369">
        <f>IF(Table1[[#This Row],[TYPE]]="Income",Table1[[#This Row],[AMOUNT (₹)]],-Table1[[#This Row],[AMOUNT (₹)]])</f>
        <v>-10050</v>
      </c>
      <c r="J189" s="265"/>
      <c r="K189" s="348" t="s">
        <v>99</v>
      </c>
      <c r="L189" s="265">
        <f t="shared" si="5"/>
        <v>2023</v>
      </c>
      <c r="M189" s="259">
        <f ca="1">IF(L189="","",COUNTIF($L$9:INDIRECT("K"&amp;ROW()),L189))</f>
        <v>57</v>
      </c>
    </row>
    <row r="190" spans="3:13" ht="18" hidden="1" customHeight="1" outlineLevel="1" x14ac:dyDescent="0.2">
      <c r="C190" s="252">
        <v>45197</v>
      </c>
      <c r="D190" s="248" t="s">
        <v>407</v>
      </c>
      <c r="E190" s="263">
        <f t="shared" si="4"/>
        <v>2023</v>
      </c>
      <c r="F190" s="266" t="s">
        <v>277</v>
      </c>
      <c r="G190" s="265" t="s">
        <v>112</v>
      </c>
      <c r="H190" s="369">
        <f>Own!AJ2</f>
        <v>97468</v>
      </c>
      <c r="I190" s="369">
        <f>IF(Table1[[#This Row],[TYPE]]="Income",Table1[[#This Row],[AMOUNT (₹)]],-Table1[[#This Row],[AMOUNT (₹)]])</f>
        <v>97468</v>
      </c>
      <c r="J190" s="265"/>
      <c r="K190" s="348" t="s">
        <v>99</v>
      </c>
      <c r="L190" s="265">
        <f t="shared" si="5"/>
        <v>2023</v>
      </c>
      <c r="M190" s="259">
        <f ca="1">IF(L190="","",COUNTIF($L$9:INDIRECT("K"&amp;ROW()),L190))</f>
        <v>58</v>
      </c>
    </row>
    <row r="191" spans="3:13" ht="18" hidden="1" customHeight="1" outlineLevel="1" x14ac:dyDescent="0.2">
      <c r="C191" s="252">
        <v>45199</v>
      </c>
      <c r="D191" s="248" t="s">
        <v>408</v>
      </c>
      <c r="E191" s="263">
        <f t="shared" si="4"/>
        <v>2023</v>
      </c>
      <c r="F191" s="266" t="s">
        <v>274</v>
      </c>
      <c r="G191" s="265" t="s">
        <v>76</v>
      </c>
      <c r="H191" s="369">
        <v>7045</v>
      </c>
      <c r="I191" s="369">
        <f>IF(Table1[[#This Row],[TYPE]]="Income",Table1[[#This Row],[AMOUNT (₹)]],-Table1[[#This Row],[AMOUNT (₹)]])</f>
        <v>-7045</v>
      </c>
      <c r="J191" s="265"/>
      <c r="K191" s="348"/>
      <c r="L191" s="265">
        <f t="shared" si="5"/>
        <v>2023</v>
      </c>
      <c r="M191" s="259">
        <f ca="1">IF(L191="","",COUNTIF($L$9:INDIRECT("K"&amp;ROW()),L191))</f>
        <v>59</v>
      </c>
    </row>
    <row r="192" spans="3:13" ht="18" hidden="1" customHeight="1" outlineLevel="1" x14ac:dyDescent="0.2">
      <c r="C192" s="252">
        <v>45199</v>
      </c>
      <c r="D192" s="248" t="s">
        <v>342</v>
      </c>
      <c r="E192" s="263">
        <f t="shared" si="4"/>
        <v>2023</v>
      </c>
      <c r="F192" s="266" t="s">
        <v>277</v>
      </c>
      <c r="G192" s="265" t="s">
        <v>111</v>
      </c>
      <c r="H192" s="369">
        <v>34000</v>
      </c>
      <c r="I192" s="369">
        <f>IF(Table1[[#This Row],[TYPE]]="Income",Table1[[#This Row],[AMOUNT (₹)]],-Table1[[#This Row],[AMOUNT (₹)]])</f>
        <v>34000</v>
      </c>
      <c r="J192" s="265"/>
      <c r="K192" s="348"/>
      <c r="L192" s="265">
        <f t="shared" si="5"/>
        <v>2023</v>
      </c>
      <c r="M192" s="259">
        <f ca="1">IF(L192="","",COUNTIF($L$9:INDIRECT("K"&amp;ROW()),L192))</f>
        <v>60</v>
      </c>
    </row>
    <row r="193" spans="3:13" ht="18" hidden="1" customHeight="1" outlineLevel="1" x14ac:dyDescent="0.2">
      <c r="C193" s="252">
        <v>45202</v>
      </c>
      <c r="D193" s="248" t="s">
        <v>409</v>
      </c>
      <c r="E193" s="263">
        <f t="shared" si="4"/>
        <v>2023</v>
      </c>
      <c r="F193" s="266" t="s">
        <v>274</v>
      </c>
      <c r="G193" s="265" t="s">
        <v>80</v>
      </c>
      <c r="H193" s="369">
        <v>6881</v>
      </c>
      <c r="I193" s="369">
        <f>IF(Table1[[#This Row],[TYPE]]="Income",Table1[[#This Row],[AMOUNT (₹)]],-Table1[[#This Row],[AMOUNT (₹)]])</f>
        <v>-6881</v>
      </c>
      <c r="J193" s="265"/>
      <c r="K193" s="348"/>
      <c r="L193" s="265">
        <f t="shared" si="5"/>
        <v>2023</v>
      </c>
      <c r="M193" s="259">
        <f ca="1">IF(L193="","",COUNTIF($L$9:INDIRECT("K"&amp;ROW()),L193))</f>
        <v>61</v>
      </c>
    </row>
    <row r="194" spans="3:13" ht="18" hidden="1" customHeight="1" outlineLevel="1" x14ac:dyDescent="0.2">
      <c r="C194" s="252">
        <v>45202</v>
      </c>
      <c r="D194" s="273" t="s">
        <v>410</v>
      </c>
      <c r="E194" s="263">
        <f t="shared" si="4"/>
        <v>2023</v>
      </c>
      <c r="F194" s="267" t="s">
        <v>274</v>
      </c>
      <c r="G194" s="253" t="s">
        <v>88</v>
      </c>
      <c r="H194" s="268">
        <v>1200</v>
      </c>
      <c r="I194" s="268">
        <f>IF(Table1[[#This Row],[TYPE]]="Income",Table1[[#This Row],[AMOUNT (₹)]],-Table1[[#This Row],[AMOUNT (₹)]])</f>
        <v>-1200</v>
      </c>
      <c r="J194" s="265"/>
      <c r="K194" s="348"/>
      <c r="L194" s="265">
        <f t="shared" si="5"/>
        <v>2023</v>
      </c>
      <c r="M194" s="259">
        <f ca="1">IF(L194="","",COUNTIF($L$9:INDIRECT("K"&amp;ROW()),L194))</f>
        <v>62</v>
      </c>
    </row>
    <row r="195" spans="3:13" ht="18" hidden="1" customHeight="1" outlineLevel="1" x14ac:dyDescent="0.2">
      <c r="C195" s="252">
        <v>45209</v>
      </c>
      <c r="D195" s="248" t="s">
        <v>45</v>
      </c>
      <c r="E195" s="263">
        <f t="shared" si="4"/>
        <v>2023</v>
      </c>
      <c r="F195" s="266" t="s">
        <v>30</v>
      </c>
      <c r="G195" s="265" t="s">
        <v>98</v>
      </c>
      <c r="H195" s="369">
        <v>1376</v>
      </c>
      <c r="I195" s="369">
        <f>IF(Table1[[#This Row],[TYPE]]="Income",Table1[[#This Row],[AMOUNT (₹)]],-Table1[[#This Row],[AMOUNT (₹)]])</f>
        <v>-1376</v>
      </c>
      <c r="J195" s="265"/>
      <c r="K195" s="348"/>
      <c r="L195" s="265">
        <f t="shared" si="5"/>
        <v>2023</v>
      </c>
      <c r="M195" s="259">
        <f ca="1">IF(L195="","",COUNTIF($L$9:INDIRECT("K"&amp;ROW()),L195))</f>
        <v>63</v>
      </c>
    </row>
    <row r="196" spans="3:13" ht="18" hidden="1" customHeight="1" outlineLevel="1" x14ac:dyDescent="0.2">
      <c r="C196" s="252">
        <v>45210</v>
      </c>
      <c r="D196" s="248" t="s">
        <v>411</v>
      </c>
      <c r="E196" s="263">
        <f t="shared" si="4"/>
        <v>2023</v>
      </c>
      <c r="F196" s="267" t="s">
        <v>274</v>
      </c>
      <c r="G196" s="267" t="s">
        <v>84</v>
      </c>
      <c r="H196" s="268">
        <v>800</v>
      </c>
      <c r="I196" s="268">
        <f>IF(Table1[[#This Row],[TYPE]]="Income",Table1[[#This Row],[AMOUNT (₹)]],-Table1[[#This Row],[AMOUNT (₹)]])</f>
        <v>-800</v>
      </c>
      <c r="J196" s="265"/>
      <c r="K196" s="370"/>
      <c r="L196" s="265">
        <f t="shared" si="5"/>
        <v>2023</v>
      </c>
      <c r="M196" s="259">
        <f ca="1">IF(L196="","",COUNTIF($L$9:INDIRECT("K"&amp;ROW()),L196))</f>
        <v>64</v>
      </c>
    </row>
    <row r="197" spans="3:13" ht="18" hidden="1" customHeight="1" outlineLevel="1" x14ac:dyDescent="0.2">
      <c r="C197" s="252">
        <v>45214</v>
      </c>
      <c r="D197" s="248" t="s">
        <v>394</v>
      </c>
      <c r="E197" s="263">
        <f t="shared" si="4"/>
        <v>2023</v>
      </c>
      <c r="F197" s="266" t="s">
        <v>274</v>
      </c>
      <c r="G197" s="265" t="s">
        <v>94</v>
      </c>
      <c r="H197" s="369">
        <v>1150</v>
      </c>
      <c r="I197" s="369">
        <f>IF(Table1[[#This Row],[TYPE]]="Income",Table1[[#This Row],[AMOUNT (₹)]],-Table1[[#This Row],[AMOUNT (₹)]])</f>
        <v>-1150</v>
      </c>
      <c r="J197" s="265"/>
      <c r="K197" s="348"/>
      <c r="L197" s="265">
        <f t="shared" si="5"/>
        <v>2023</v>
      </c>
      <c r="M197" s="259">
        <f ca="1">IF(L197="","",COUNTIF($L$9:INDIRECT("K"&amp;ROW()),L197))</f>
        <v>65</v>
      </c>
    </row>
    <row r="198" spans="3:13" ht="18" hidden="1" customHeight="1" outlineLevel="1" x14ac:dyDescent="0.2">
      <c r="C198" s="252">
        <v>45217</v>
      </c>
      <c r="D198" s="248" t="s">
        <v>412</v>
      </c>
      <c r="E198" s="263">
        <f t="shared" si="4"/>
        <v>2023</v>
      </c>
      <c r="F198" s="266" t="s">
        <v>274</v>
      </c>
      <c r="G198" s="265" t="s">
        <v>82</v>
      </c>
      <c r="H198" s="369">
        <v>500</v>
      </c>
      <c r="I198" s="369">
        <f>IF(Table1[[#This Row],[TYPE]]="Income",Table1[[#This Row],[AMOUNT (₹)]],-Table1[[#This Row],[AMOUNT (₹)]])</f>
        <v>-500</v>
      </c>
      <c r="J198" s="265"/>
      <c r="K198" s="348"/>
      <c r="L198" s="265">
        <f t="shared" si="5"/>
        <v>2023</v>
      </c>
      <c r="M198" s="259">
        <f ca="1">IF(L198="","",COUNTIF($L$9:INDIRECT("K"&amp;ROW()),L198))</f>
        <v>66</v>
      </c>
    </row>
    <row r="199" spans="3:13" ht="18" hidden="1" customHeight="1" outlineLevel="1" x14ac:dyDescent="0.2">
      <c r="C199" s="252">
        <v>45222</v>
      </c>
      <c r="D199" s="248" t="s">
        <v>413</v>
      </c>
      <c r="E199" s="263">
        <f t="shared" si="4"/>
        <v>2023</v>
      </c>
      <c r="F199" s="267" t="s">
        <v>274</v>
      </c>
      <c r="G199" s="267" t="s">
        <v>84</v>
      </c>
      <c r="H199" s="268">
        <v>1000</v>
      </c>
      <c r="I199" s="268">
        <f>IF(Table1[[#This Row],[TYPE]]="Income",Table1[[#This Row],[AMOUNT (₹)]],-Table1[[#This Row],[AMOUNT (₹)]])</f>
        <v>-1000</v>
      </c>
      <c r="J199" s="265"/>
      <c r="K199" s="370"/>
      <c r="L199" s="265">
        <f t="shared" si="5"/>
        <v>2023</v>
      </c>
      <c r="M199" s="259">
        <f ca="1">IF(L199="","",COUNTIF($L$9:INDIRECT("K"&amp;ROW()),L199))</f>
        <v>67</v>
      </c>
    </row>
    <row r="200" spans="3:13" ht="18" hidden="1" customHeight="1" outlineLevel="1" x14ac:dyDescent="0.2">
      <c r="C200" s="252">
        <v>45229</v>
      </c>
      <c r="D200" s="248" t="s">
        <v>414</v>
      </c>
      <c r="E200" s="263">
        <f t="shared" si="4"/>
        <v>2023</v>
      </c>
      <c r="F200" s="266" t="s">
        <v>274</v>
      </c>
      <c r="G200" s="265" t="s">
        <v>76</v>
      </c>
      <c r="H200" s="369">
        <v>9200</v>
      </c>
      <c r="I200" s="369">
        <f>IF(Table1[[#This Row],[TYPE]]="Income",Table1[[#This Row],[AMOUNT (₹)]],-Table1[[#This Row],[AMOUNT (₹)]])</f>
        <v>-9200</v>
      </c>
      <c r="J200" s="265"/>
      <c r="K200" s="348"/>
      <c r="L200" s="265">
        <f t="shared" si="5"/>
        <v>2023</v>
      </c>
      <c r="M200" s="259">
        <f ca="1">IF(L200="","",COUNTIF($L$9:INDIRECT("K"&amp;ROW()),L200))</f>
        <v>68</v>
      </c>
    </row>
    <row r="201" spans="3:13" ht="18" hidden="1" customHeight="1" outlineLevel="1" x14ac:dyDescent="0.2">
      <c r="C201" s="252">
        <v>45230</v>
      </c>
      <c r="D201" s="273" t="s">
        <v>401</v>
      </c>
      <c r="E201" s="263">
        <f t="shared" ref="E201:E264" si="6">IFERROR(YEAR(C201),"")</f>
        <v>2023</v>
      </c>
      <c r="F201" s="267" t="s">
        <v>274</v>
      </c>
      <c r="G201" s="253" t="s">
        <v>88</v>
      </c>
      <c r="H201" s="268">
        <v>1620</v>
      </c>
      <c r="I201" s="268">
        <f>IF(Table1[[#This Row],[TYPE]]="Income",Table1[[#This Row],[AMOUNT (₹)]],-Table1[[#This Row],[AMOUNT (₹)]])</f>
        <v>-1620</v>
      </c>
      <c r="J201" s="265"/>
      <c r="K201" s="348"/>
      <c r="L201" s="265">
        <f t="shared" ref="L201:L264" si="7">IFERROR(IF(MONTH(C201)&lt;=3,YEAR(C201)-1,YEAR(C201)),"")</f>
        <v>2023</v>
      </c>
      <c r="M201" s="259">
        <f ca="1">IF(L201="","",COUNTIF($L$9:INDIRECT("K"&amp;ROW()),L201))</f>
        <v>69</v>
      </c>
    </row>
    <row r="202" spans="3:13" ht="18" hidden="1" customHeight="1" outlineLevel="1" x14ac:dyDescent="0.2">
      <c r="C202" s="252">
        <v>45230</v>
      </c>
      <c r="D202" s="248" t="s">
        <v>349</v>
      </c>
      <c r="E202" s="263">
        <f t="shared" si="6"/>
        <v>2023</v>
      </c>
      <c r="F202" s="266" t="s">
        <v>277</v>
      </c>
      <c r="G202" s="265" t="s">
        <v>111</v>
      </c>
      <c r="H202" s="369">
        <v>34000</v>
      </c>
      <c r="I202" s="369">
        <f>IF(Table1[[#This Row],[TYPE]]="Income",Table1[[#This Row],[AMOUNT (₹)]],-Table1[[#This Row],[AMOUNT (₹)]])</f>
        <v>34000</v>
      </c>
      <c r="J202" s="265"/>
      <c r="K202" s="348"/>
      <c r="L202" s="265">
        <f t="shared" si="7"/>
        <v>2023</v>
      </c>
      <c r="M202" s="259">
        <f ca="1">IF(L202="","",COUNTIF($L$9:INDIRECT("K"&amp;ROW()),L202))</f>
        <v>70</v>
      </c>
    </row>
    <row r="203" spans="3:13" ht="18" hidden="1" customHeight="1" outlineLevel="1" x14ac:dyDescent="0.2">
      <c r="C203" s="252">
        <v>45232</v>
      </c>
      <c r="D203" s="274">
        <v>45231</v>
      </c>
      <c r="E203" s="263">
        <f t="shared" si="6"/>
        <v>2023</v>
      </c>
      <c r="F203" s="267" t="s">
        <v>274</v>
      </c>
      <c r="G203" s="253" t="s">
        <v>88</v>
      </c>
      <c r="H203" s="268">
        <v>4500</v>
      </c>
      <c r="I203" s="268">
        <f>IF(Table1[[#This Row],[TYPE]]="Income",Table1[[#This Row],[AMOUNT (₹)]],-Table1[[#This Row],[AMOUNT (₹)]])</f>
        <v>-4500</v>
      </c>
      <c r="J203" s="265"/>
      <c r="K203" s="348"/>
      <c r="L203" s="265">
        <f t="shared" si="7"/>
        <v>2023</v>
      </c>
      <c r="M203" s="259">
        <f ca="1">IF(L203="","",COUNTIF($L$9:INDIRECT("K"&amp;ROW()),L203))</f>
        <v>71</v>
      </c>
    </row>
    <row r="204" spans="3:13" ht="18" hidden="1" customHeight="1" outlineLevel="1" x14ac:dyDescent="0.2">
      <c r="C204" s="252">
        <v>45233</v>
      </c>
      <c r="D204" s="248" t="s">
        <v>415</v>
      </c>
      <c r="E204" s="263">
        <f t="shared" si="6"/>
        <v>2023</v>
      </c>
      <c r="F204" s="266" t="s">
        <v>274</v>
      </c>
      <c r="G204" s="265" t="s">
        <v>80</v>
      </c>
      <c r="H204" s="369">
        <v>6881</v>
      </c>
      <c r="I204" s="369">
        <f>IF(Table1[[#This Row],[TYPE]]="Income",Table1[[#This Row],[AMOUNT (₹)]],-Table1[[#This Row],[AMOUNT (₹)]])</f>
        <v>-6881</v>
      </c>
      <c r="J204" s="265"/>
      <c r="K204" s="348"/>
      <c r="L204" s="265">
        <f t="shared" si="7"/>
        <v>2023</v>
      </c>
      <c r="M204" s="259">
        <f ca="1">IF(L204="","",COUNTIF($L$9:INDIRECT("K"&amp;ROW()),L204))</f>
        <v>72</v>
      </c>
    </row>
    <row r="205" spans="3:13" ht="18" hidden="1" customHeight="1" outlineLevel="1" x14ac:dyDescent="0.2">
      <c r="C205" s="252">
        <v>45240</v>
      </c>
      <c r="D205" s="248" t="s">
        <v>46</v>
      </c>
      <c r="E205" s="263">
        <f t="shared" si="6"/>
        <v>2023</v>
      </c>
      <c r="F205" s="266" t="s">
        <v>30</v>
      </c>
      <c r="G205" s="265" t="s">
        <v>98</v>
      </c>
      <c r="H205" s="369">
        <v>1376</v>
      </c>
      <c r="I205" s="369">
        <f>IF(Table1[[#This Row],[TYPE]]="Income",Table1[[#This Row],[AMOUNT (₹)]],-Table1[[#This Row],[AMOUNT (₹)]])</f>
        <v>-1376</v>
      </c>
      <c r="J205" s="265"/>
      <c r="K205" s="348"/>
      <c r="L205" s="265">
        <f t="shared" si="7"/>
        <v>2023</v>
      </c>
      <c r="M205" s="259">
        <f ca="1">IF(L205="","",COUNTIF($L$9:INDIRECT("K"&amp;ROW()),L205))</f>
        <v>73</v>
      </c>
    </row>
    <row r="206" spans="3:13" ht="18" hidden="1" customHeight="1" outlineLevel="1" x14ac:dyDescent="0.2">
      <c r="C206" s="252">
        <v>45248</v>
      </c>
      <c r="D206" s="248" t="s">
        <v>416</v>
      </c>
      <c r="E206" s="263">
        <f t="shared" si="6"/>
        <v>2023</v>
      </c>
      <c r="F206" s="266" t="s">
        <v>274</v>
      </c>
      <c r="G206" s="265" t="s">
        <v>82</v>
      </c>
      <c r="H206" s="369">
        <v>1950</v>
      </c>
      <c r="I206" s="369">
        <f>IF(Table1[[#This Row],[TYPE]]="Income",Table1[[#This Row],[AMOUNT (₹)]],-Table1[[#This Row],[AMOUNT (₹)]])</f>
        <v>-1950</v>
      </c>
      <c r="J206" s="265"/>
      <c r="K206" s="348"/>
      <c r="L206" s="265">
        <f t="shared" si="7"/>
        <v>2023</v>
      </c>
      <c r="M206" s="259">
        <f ca="1">IF(L206="","",COUNTIF($L$9:INDIRECT("K"&amp;ROW()),L206))</f>
        <v>74</v>
      </c>
    </row>
    <row r="207" spans="3:13" ht="18" hidden="1" customHeight="1" outlineLevel="1" x14ac:dyDescent="0.2">
      <c r="C207" s="252">
        <v>45250</v>
      </c>
      <c r="D207" s="248" t="s">
        <v>417</v>
      </c>
      <c r="E207" s="263">
        <f t="shared" si="6"/>
        <v>2023</v>
      </c>
      <c r="F207" s="266" t="s">
        <v>274</v>
      </c>
      <c r="G207" s="265" t="s">
        <v>76</v>
      </c>
      <c r="H207" s="369">
        <v>4000</v>
      </c>
      <c r="I207" s="369">
        <f>IF(Table1[[#This Row],[TYPE]]="Income",Table1[[#This Row],[AMOUNT (₹)]],-Table1[[#This Row],[AMOUNT (₹)]])</f>
        <v>-4000</v>
      </c>
      <c r="J207" s="265"/>
      <c r="K207" s="348"/>
      <c r="L207" s="265">
        <f t="shared" si="7"/>
        <v>2023</v>
      </c>
      <c r="M207" s="259">
        <f ca="1">IF(L207="","",COUNTIF($L$9:INDIRECT("K"&amp;ROW()),L207))</f>
        <v>75</v>
      </c>
    </row>
    <row r="208" spans="3:13" ht="18" hidden="1" customHeight="1" outlineLevel="1" x14ac:dyDescent="0.2">
      <c r="C208" s="252">
        <v>45251</v>
      </c>
      <c r="D208" s="248" t="s">
        <v>418</v>
      </c>
      <c r="E208" s="263">
        <f t="shared" si="6"/>
        <v>2023</v>
      </c>
      <c r="F208" s="267" t="s">
        <v>274</v>
      </c>
      <c r="G208" s="267" t="s">
        <v>84</v>
      </c>
      <c r="H208" s="268">
        <v>2000</v>
      </c>
      <c r="I208" s="268">
        <f>IF(Table1[[#This Row],[TYPE]]="Income",Table1[[#This Row],[AMOUNT (₹)]],-Table1[[#This Row],[AMOUNT (₹)]])</f>
        <v>-2000</v>
      </c>
      <c r="J208" s="265"/>
      <c r="K208" s="370"/>
      <c r="L208" s="265">
        <f t="shared" si="7"/>
        <v>2023</v>
      </c>
      <c r="M208" s="259">
        <f ca="1">IF(L208="","",COUNTIF($L$9:INDIRECT("K"&amp;ROW()),L208))</f>
        <v>76</v>
      </c>
    </row>
    <row r="209" spans="3:13" ht="18" hidden="1" customHeight="1" outlineLevel="1" x14ac:dyDescent="0.2">
      <c r="C209" s="252">
        <v>45252</v>
      </c>
      <c r="D209" s="248" t="s">
        <v>419</v>
      </c>
      <c r="E209" s="263">
        <f t="shared" si="6"/>
        <v>2023</v>
      </c>
      <c r="F209" s="267" t="s">
        <v>274</v>
      </c>
      <c r="G209" s="267" t="s">
        <v>84</v>
      </c>
      <c r="H209" s="268">
        <v>8000</v>
      </c>
      <c r="I209" s="268">
        <f>IF(Table1[[#This Row],[TYPE]]="Income",Table1[[#This Row],[AMOUNT (₹)]],-Table1[[#This Row],[AMOUNT (₹)]])</f>
        <v>-8000</v>
      </c>
      <c r="J209" s="265"/>
      <c r="K209" s="370"/>
      <c r="L209" s="265">
        <f t="shared" si="7"/>
        <v>2023</v>
      </c>
      <c r="M209" s="259">
        <f ca="1">IF(L209="","",COUNTIF($L$9:INDIRECT("K"&amp;ROW()),L209))</f>
        <v>77</v>
      </c>
    </row>
    <row r="210" spans="3:13" ht="18" hidden="1" customHeight="1" outlineLevel="1" x14ac:dyDescent="0.2">
      <c r="C210" s="252">
        <v>45260</v>
      </c>
      <c r="D210" s="274">
        <v>45261</v>
      </c>
      <c r="E210" s="263">
        <f t="shared" si="6"/>
        <v>2023</v>
      </c>
      <c r="F210" s="267" t="s">
        <v>274</v>
      </c>
      <c r="G210" s="253" t="s">
        <v>88</v>
      </c>
      <c r="H210" s="268">
        <v>4300</v>
      </c>
      <c r="I210" s="268">
        <f>IF(Table1[[#This Row],[TYPE]]="Income",Table1[[#This Row],[AMOUNT (₹)]],-Table1[[#This Row],[AMOUNT (₹)]])</f>
        <v>-4300</v>
      </c>
      <c r="J210" s="265"/>
      <c r="K210" s="348"/>
      <c r="L210" s="265">
        <f t="shared" si="7"/>
        <v>2023</v>
      </c>
      <c r="M210" s="259">
        <f ca="1">IF(L210="","",COUNTIF($L$9:INDIRECT("K"&amp;ROW()),L210))</f>
        <v>78</v>
      </c>
    </row>
    <row r="211" spans="3:13" ht="18" hidden="1" customHeight="1" outlineLevel="1" x14ac:dyDescent="0.2">
      <c r="C211" s="252">
        <v>45260</v>
      </c>
      <c r="D211" s="248" t="s">
        <v>294</v>
      </c>
      <c r="E211" s="263">
        <f t="shared" si="6"/>
        <v>2023</v>
      </c>
      <c r="F211" s="266" t="s">
        <v>277</v>
      </c>
      <c r="G211" s="265" t="s">
        <v>111</v>
      </c>
      <c r="H211" s="369">
        <v>34000</v>
      </c>
      <c r="I211" s="369">
        <f>IF(Table1[[#This Row],[TYPE]]="Income",Table1[[#This Row],[AMOUNT (₹)]],-Table1[[#This Row],[AMOUNT (₹)]])</f>
        <v>34000</v>
      </c>
      <c r="J211" s="265"/>
      <c r="K211" s="348"/>
      <c r="L211" s="265">
        <f t="shared" si="7"/>
        <v>2023</v>
      </c>
      <c r="M211" s="259">
        <f ca="1">IF(L211="","",COUNTIF($L$9:INDIRECT("K"&amp;ROW()),L211))</f>
        <v>79</v>
      </c>
    </row>
    <row r="212" spans="3:13" ht="18" hidden="1" customHeight="1" outlineLevel="1" x14ac:dyDescent="0.2">
      <c r="C212" s="252">
        <v>45263</v>
      </c>
      <c r="D212" s="248" t="s">
        <v>420</v>
      </c>
      <c r="E212" s="263">
        <f t="shared" si="6"/>
        <v>2023</v>
      </c>
      <c r="F212" s="266" t="s">
        <v>274</v>
      </c>
      <c r="G212" s="265" t="s">
        <v>80</v>
      </c>
      <c r="H212" s="369">
        <v>6881</v>
      </c>
      <c r="I212" s="369">
        <f>IF(Table1[[#This Row],[TYPE]]="Income",Table1[[#This Row],[AMOUNT (₹)]],-Table1[[#This Row],[AMOUNT (₹)]])</f>
        <v>-6881</v>
      </c>
      <c r="J212" s="265"/>
      <c r="K212" s="348"/>
      <c r="L212" s="265">
        <f t="shared" si="7"/>
        <v>2023</v>
      </c>
      <c r="M212" s="259">
        <f ca="1">IF(L212="","",COUNTIF($L$9:INDIRECT("K"&amp;ROW()),L212))</f>
        <v>80</v>
      </c>
    </row>
    <row r="213" spans="3:13" ht="18" hidden="1" customHeight="1" outlineLevel="1" x14ac:dyDescent="0.2">
      <c r="C213" s="252">
        <v>45270</v>
      </c>
      <c r="D213" s="248" t="s">
        <v>254</v>
      </c>
      <c r="E213" s="263">
        <f t="shared" si="6"/>
        <v>2023</v>
      </c>
      <c r="F213" s="266" t="s">
        <v>30</v>
      </c>
      <c r="G213" s="265" t="s">
        <v>98</v>
      </c>
      <c r="H213" s="369">
        <v>1376</v>
      </c>
      <c r="I213" s="369">
        <f>IF(Table1[[#This Row],[TYPE]]="Income",Table1[[#This Row],[AMOUNT (₹)]],-Table1[[#This Row],[AMOUNT (₹)]])</f>
        <v>-1376</v>
      </c>
      <c r="J213" s="265"/>
      <c r="K213" s="348"/>
      <c r="L213" s="265">
        <f t="shared" si="7"/>
        <v>2023</v>
      </c>
      <c r="M213" s="259">
        <f ca="1">IF(L213="","",COUNTIF($L$9:INDIRECT("K"&amp;ROW()),L213))</f>
        <v>81</v>
      </c>
    </row>
    <row r="214" spans="3:13" ht="18" hidden="1" customHeight="1" outlineLevel="1" x14ac:dyDescent="0.2">
      <c r="C214" s="252">
        <v>45278</v>
      </c>
      <c r="D214" s="248" t="s">
        <v>421</v>
      </c>
      <c r="E214" s="263">
        <f t="shared" si="6"/>
        <v>2023</v>
      </c>
      <c r="F214" s="266" t="s">
        <v>274</v>
      </c>
      <c r="G214" s="265" t="s">
        <v>92</v>
      </c>
      <c r="H214" s="369">
        <v>501</v>
      </c>
      <c r="I214" s="369">
        <f>IF(Table1[[#This Row],[TYPE]]="Income",Table1[[#This Row],[AMOUNT (₹)]],-Table1[[#This Row],[AMOUNT (₹)]])</f>
        <v>-501</v>
      </c>
      <c r="J214" s="265"/>
      <c r="K214" s="348"/>
      <c r="L214" s="265">
        <f t="shared" si="7"/>
        <v>2023</v>
      </c>
      <c r="M214" s="259">
        <f ca="1">IF(L214="","",COUNTIF($L$9:INDIRECT("K"&amp;ROW()),L214))</f>
        <v>82</v>
      </c>
    </row>
    <row r="215" spans="3:13" ht="18" hidden="1" customHeight="1" outlineLevel="1" x14ac:dyDescent="0.2">
      <c r="C215" s="252">
        <v>45280</v>
      </c>
      <c r="D215" s="248" t="s">
        <v>422</v>
      </c>
      <c r="E215" s="263">
        <f t="shared" si="6"/>
        <v>2023</v>
      </c>
      <c r="F215" s="267" t="s">
        <v>274</v>
      </c>
      <c r="G215" s="267" t="s">
        <v>84</v>
      </c>
      <c r="H215" s="268">
        <v>16000</v>
      </c>
      <c r="I215" s="268">
        <f>IF(Table1[[#This Row],[TYPE]]="Income",Table1[[#This Row],[AMOUNT (₹)]],-Table1[[#This Row],[AMOUNT (₹)]])</f>
        <v>-16000</v>
      </c>
      <c r="J215" s="265"/>
      <c r="K215" s="370"/>
      <c r="L215" s="265">
        <f t="shared" si="7"/>
        <v>2023</v>
      </c>
      <c r="M215" s="259">
        <f ca="1">IF(L215="","",COUNTIF($L$9:INDIRECT("K"&amp;ROW()),L215))</f>
        <v>83</v>
      </c>
    </row>
    <row r="216" spans="3:13" ht="18" hidden="1" customHeight="1" outlineLevel="1" x14ac:dyDescent="0.2">
      <c r="C216" s="252">
        <v>45281</v>
      </c>
      <c r="D216" s="248" t="s">
        <v>423</v>
      </c>
      <c r="E216" s="263">
        <f t="shared" si="6"/>
        <v>2023</v>
      </c>
      <c r="F216" s="266" t="s">
        <v>274</v>
      </c>
      <c r="G216" s="265" t="s">
        <v>82</v>
      </c>
      <c r="H216" s="369">
        <v>1180</v>
      </c>
      <c r="I216" s="369">
        <f>IF(Table1[[#This Row],[TYPE]]="Income",Table1[[#This Row],[AMOUNT (₹)]],-Table1[[#This Row],[AMOUNT (₹)]])</f>
        <v>-1180</v>
      </c>
      <c r="J216" s="265"/>
      <c r="K216" s="348"/>
      <c r="L216" s="265">
        <f t="shared" si="7"/>
        <v>2023</v>
      </c>
      <c r="M216" s="259">
        <f ca="1">IF(L216="","",COUNTIF($L$9:INDIRECT("K"&amp;ROW()),L216))</f>
        <v>84</v>
      </c>
    </row>
    <row r="217" spans="3:13" ht="18" hidden="1" customHeight="1" outlineLevel="1" x14ac:dyDescent="0.2">
      <c r="C217" s="252">
        <v>45282</v>
      </c>
      <c r="D217" s="274">
        <v>45261</v>
      </c>
      <c r="E217" s="263">
        <f t="shared" si="6"/>
        <v>2023</v>
      </c>
      <c r="F217" s="267" t="s">
        <v>274</v>
      </c>
      <c r="G217" s="253" t="s">
        <v>88</v>
      </c>
      <c r="H217" s="268">
        <v>1000</v>
      </c>
      <c r="I217" s="268">
        <f>IF(Table1[[#This Row],[TYPE]]="Income",Table1[[#This Row],[AMOUNT (₹)]],-Table1[[#This Row],[AMOUNT (₹)]])</f>
        <v>-1000</v>
      </c>
      <c r="J217" s="265"/>
      <c r="K217" s="348"/>
      <c r="L217" s="265">
        <f t="shared" si="7"/>
        <v>2023</v>
      </c>
      <c r="M217" s="259">
        <f ca="1">IF(L217="","",COUNTIF($L$9:INDIRECT("K"&amp;ROW()),L217))</f>
        <v>85</v>
      </c>
    </row>
    <row r="218" spans="3:13" ht="18" hidden="1" customHeight="1" outlineLevel="1" x14ac:dyDescent="0.2">
      <c r="C218" s="252">
        <v>45283</v>
      </c>
      <c r="D218" s="248" t="s">
        <v>424</v>
      </c>
      <c r="E218" s="263">
        <f t="shared" si="6"/>
        <v>2023</v>
      </c>
      <c r="F218" s="267" t="s">
        <v>274</v>
      </c>
      <c r="G218" s="267" t="s">
        <v>84</v>
      </c>
      <c r="H218" s="268">
        <v>1500</v>
      </c>
      <c r="I218" s="268">
        <f>IF(Table1[[#This Row],[TYPE]]="Income",Table1[[#This Row],[AMOUNT (₹)]],-Table1[[#This Row],[AMOUNT (₹)]])</f>
        <v>-1500</v>
      </c>
      <c r="J218" s="265"/>
      <c r="K218" s="370"/>
      <c r="L218" s="265">
        <f t="shared" si="7"/>
        <v>2023</v>
      </c>
      <c r="M218" s="259">
        <f ca="1">IF(L218="","",COUNTIF($L$9:INDIRECT("K"&amp;ROW()),L218))</f>
        <v>86</v>
      </c>
    </row>
    <row r="219" spans="3:13" ht="18" hidden="1" customHeight="1" outlineLevel="1" x14ac:dyDescent="0.2">
      <c r="C219" s="252">
        <v>45291</v>
      </c>
      <c r="D219" s="248" t="s">
        <v>425</v>
      </c>
      <c r="E219" s="263">
        <f t="shared" si="6"/>
        <v>2023</v>
      </c>
      <c r="F219" s="266" t="s">
        <v>274</v>
      </c>
      <c r="G219" s="265" t="s">
        <v>76</v>
      </c>
      <c r="H219" s="369">
        <v>8050</v>
      </c>
      <c r="I219" s="369">
        <f>IF(Table1[[#This Row],[TYPE]]="Income",Table1[[#This Row],[AMOUNT (₹)]],-Table1[[#This Row],[AMOUNT (₹)]])</f>
        <v>-8050</v>
      </c>
      <c r="J219" s="265"/>
      <c r="K219" s="348"/>
      <c r="L219" s="265">
        <f t="shared" si="7"/>
        <v>2023</v>
      </c>
      <c r="M219" s="259">
        <f ca="1">IF(L219="","",COUNTIF($L$9:INDIRECT("K"&amp;ROW()),L219))</f>
        <v>87</v>
      </c>
    </row>
    <row r="220" spans="3:13" ht="18" hidden="1" customHeight="1" outlineLevel="1" x14ac:dyDescent="0.2">
      <c r="C220" s="252">
        <v>45291</v>
      </c>
      <c r="D220" s="248" t="s">
        <v>426</v>
      </c>
      <c r="E220" s="263">
        <f t="shared" si="6"/>
        <v>2023</v>
      </c>
      <c r="F220" s="266" t="s">
        <v>274</v>
      </c>
      <c r="G220" s="265" t="s">
        <v>76</v>
      </c>
      <c r="H220" s="369">
        <v>2435</v>
      </c>
      <c r="I220" s="369">
        <f>IF(Table1[[#This Row],[TYPE]]="Income",Table1[[#This Row],[AMOUNT (₹)]],-Table1[[#This Row],[AMOUNT (₹)]])</f>
        <v>-2435</v>
      </c>
      <c r="J220" s="265"/>
      <c r="K220" s="348"/>
      <c r="L220" s="265">
        <f t="shared" si="7"/>
        <v>2023</v>
      </c>
      <c r="M220" s="259">
        <f ca="1">IF(L220="","",COUNTIF($L$9:INDIRECT("K"&amp;ROW()),L220))</f>
        <v>88</v>
      </c>
    </row>
    <row r="221" spans="3:13" ht="18" hidden="1" customHeight="1" outlineLevel="1" x14ac:dyDescent="0.2">
      <c r="C221" s="252">
        <v>45291</v>
      </c>
      <c r="D221" s="248" t="s">
        <v>303</v>
      </c>
      <c r="E221" s="263">
        <f t="shared" si="6"/>
        <v>2023</v>
      </c>
      <c r="F221" s="266" t="s">
        <v>277</v>
      </c>
      <c r="G221" s="265" t="s">
        <v>111</v>
      </c>
      <c r="H221" s="369">
        <v>34000</v>
      </c>
      <c r="I221" s="369">
        <f>IF(Table1[[#This Row],[TYPE]]="Income",Table1[[#This Row],[AMOUNT (₹)]],-Table1[[#This Row],[AMOUNT (₹)]])</f>
        <v>34000</v>
      </c>
      <c r="J221" s="265"/>
      <c r="K221" s="348"/>
      <c r="L221" s="265">
        <f t="shared" si="7"/>
        <v>2023</v>
      </c>
      <c r="M221" s="259">
        <f ca="1">IF(L221="","",COUNTIF($L$9:INDIRECT("K"&amp;ROW()),L221))</f>
        <v>89</v>
      </c>
    </row>
    <row r="222" spans="3:13" ht="18" hidden="1" customHeight="1" outlineLevel="1" x14ac:dyDescent="0.2">
      <c r="C222" s="252">
        <v>45294</v>
      </c>
      <c r="D222" s="248" t="s">
        <v>427</v>
      </c>
      <c r="E222" s="263">
        <f t="shared" si="6"/>
        <v>2024</v>
      </c>
      <c r="F222" s="266" t="s">
        <v>274</v>
      </c>
      <c r="G222" s="265" t="s">
        <v>80</v>
      </c>
      <c r="H222" s="369">
        <v>6881</v>
      </c>
      <c r="I222" s="369">
        <f>IF(Table1[[#This Row],[TYPE]]="Income",Table1[[#This Row],[AMOUNT (₹)]],-Table1[[#This Row],[AMOUNT (₹)]])</f>
        <v>-6881</v>
      </c>
      <c r="J222" s="265"/>
      <c r="K222" s="348"/>
      <c r="L222" s="265">
        <f t="shared" si="7"/>
        <v>2023</v>
      </c>
      <c r="M222" s="259">
        <f ca="1">IF(L222="","",COUNTIF($L$9:INDIRECT("K"&amp;ROW()),L222))</f>
        <v>90</v>
      </c>
    </row>
    <row r="223" spans="3:13" ht="18" hidden="1" customHeight="1" outlineLevel="1" x14ac:dyDescent="0.2">
      <c r="C223" s="252">
        <v>45299</v>
      </c>
      <c r="D223" s="274">
        <v>45292</v>
      </c>
      <c r="E223" s="263">
        <f t="shared" si="6"/>
        <v>2024</v>
      </c>
      <c r="F223" s="267" t="s">
        <v>274</v>
      </c>
      <c r="G223" s="253" t="s">
        <v>88</v>
      </c>
      <c r="H223" s="268">
        <v>4000</v>
      </c>
      <c r="I223" s="268">
        <f>IF(Table1[[#This Row],[TYPE]]="Income",Table1[[#This Row],[AMOUNT (₹)]],-Table1[[#This Row],[AMOUNT (₹)]])</f>
        <v>-4000</v>
      </c>
      <c r="J223" s="265"/>
      <c r="K223" s="348"/>
      <c r="L223" s="265">
        <f t="shared" si="7"/>
        <v>2023</v>
      </c>
      <c r="M223" s="259">
        <f ca="1">IF(L223="","",COUNTIF($L$9:INDIRECT("K"&amp;ROW()),L223))</f>
        <v>91</v>
      </c>
    </row>
    <row r="224" spans="3:13" ht="18" hidden="1" customHeight="1" outlineLevel="1" x14ac:dyDescent="0.2">
      <c r="C224" s="252">
        <v>45301</v>
      </c>
      <c r="D224" s="248" t="s">
        <v>256</v>
      </c>
      <c r="E224" s="263">
        <f t="shared" si="6"/>
        <v>2024</v>
      </c>
      <c r="F224" s="266" t="s">
        <v>30</v>
      </c>
      <c r="G224" s="265" t="s">
        <v>98</v>
      </c>
      <c r="H224" s="369">
        <v>1376</v>
      </c>
      <c r="I224" s="369">
        <f>IF(Table1[[#This Row],[TYPE]]="Income",Table1[[#This Row],[AMOUNT (₹)]],-Table1[[#This Row],[AMOUNT (₹)]])</f>
        <v>-1376</v>
      </c>
      <c r="J224" s="265"/>
      <c r="K224" s="348"/>
      <c r="L224" s="265">
        <f t="shared" si="7"/>
        <v>2023</v>
      </c>
      <c r="M224" s="259">
        <f ca="1">IF(L224="","",COUNTIF($L$9:INDIRECT("K"&amp;ROW()),L224))</f>
        <v>92</v>
      </c>
    </row>
    <row r="225" spans="3:13" ht="18" hidden="1" customHeight="1" outlineLevel="1" x14ac:dyDescent="0.2">
      <c r="C225" s="252">
        <v>45307</v>
      </c>
      <c r="D225" s="248" t="s">
        <v>428</v>
      </c>
      <c r="E225" s="263">
        <f t="shared" si="6"/>
        <v>2024</v>
      </c>
      <c r="F225" s="266" t="s">
        <v>274</v>
      </c>
      <c r="G225" s="265" t="s">
        <v>92</v>
      </c>
      <c r="H225" s="369">
        <v>1000</v>
      </c>
      <c r="I225" s="369">
        <f>IF(Table1[[#This Row],[TYPE]]="Income",Table1[[#This Row],[AMOUNT (₹)]],-Table1[[#This Row],[AMOUNT (₹)]])</f>
        <v>-1000</v>
      </c>
      <c r="J225" s="265"/>
      <c r="K225" s="348"/>
      <c r="L225" s="265">
        <f t="shared" si="7"/>
        <v>2023</v>
      </c>
      <c r="M225" s="259">
        <f ca="1">IF(L225="","",COUNTIF($L$9:INDIRECT("K"&amp;ROW()),L225))</f>
        <v>93</v>
      </c>
    </row>
    <row r="226" spans="3:13" ht="18" hidden="1" customHeight="1" outlineLevel="1" x14ac:dyDescent="0.2">
      <c r="C226" s="252">
        <v>45308</v>
      </c>
      <c r="D226" s="248" t="s">
        <v>429</v>
      </c>
      <c r="E226" s="263">
        <f t="shared" si="6"/>
        <v>2024</v>
      </c>
      <c r="F226" s="267" t="s">
        <v>274</v>
      </c>
      <c r="G226" s="267" t="s">
        <v>84</v>
      </c>
      <c r="H226" s="268">
        <v>51500</v>
      </c>
      <c r="I226" s="268">
        <f>IF(Table1[[#This Row],[TYPE]]="Income",Table1[[#This Row],[AMOUNT (₹)]],-Table1[[#This Row],[AMOUNT (₹)]])</f>
        <v>-51500</v>
      </c>
      <c r="J226" s="265"/>
      <c r="K226" s="370"/>
      <c r="L226" s="265">
        <f t="shared" si="7"/>
        <v>2023</v>
      </c>
      <c r="M226" s="259">
        <f ca="1">IF(L226="","",COUNTIF($L$9:INDIRECT("K"&amp;ROW()),L226))</f>
        <v>94</v>
      </c>
    </row>
    <row r="227" spans="3:13" ht="18" hidden="1" customHeight="1" outlineLevel="1" x14ac:dyDescent="0.2">
      <c r="C227" s="252">
        <v>45311</v>
      </c>
      <c r="D227" s="248" t="s">
        <v>430</v>
      </c>
      <c r="E227" s="263">
        <f t="shared" si="6"/>
        <v>2024</v>
      </c>
      <c r="F227" s="266" t="s">
        <v>274</v>
      </c>
      <c r="G227" s="265" t="s">
        <v>82</v>
      </c>
      <c r="H227" s="369">
        <v>3000</v>
      </c>
      <c r="I227" s="369">
        <f>IF(Table1[[#This Row],[TYPE]]="Income",Table1[[#This Row],[AMOUNT (₹)]],-Table1[[#This Row],[AMOUNT (₹)]])</f>
        <v>-3000</v>
      </c>
      <c r="J227" s="265"/>
      <c r="K227" s="348"/>
      <c r="L227" s="265">
        <f t="shared" si="7"/>
        <v>2023</v>
      </c>
      <c r="M227" s="259">
        <f ca="1">IF(L227="","",COUNTIF($L$9:INDIRECT("K"&amp;ROW()),L227))</f>
        <v>95</v>
      </c>
    </row>
    <row r="228" spans="3:13" ht="18" hidden="1" customHeight="1" outlineLevel="1" x14ac:dyDescent="0.2">
      <c r="C228" s="252">
        <v>45317</v>
      </c>
      <c r="D228" s="248" t="s">
        <v>431</v>
      </c>
      <c r="E228" s="263">
        <f t="shared" si="6"/>
        <v>2024</v>
      </c>
      <c r="F228" s="267" t="s">
        <v>274</v>
      </c>
      <c r="G228" s="267" t="s">
        <v>84</v>
      </c>
      <c r="H228" s="268">
        <v>1700</v>
      </c>
      <c r="I228" s="268">
        <f>IF(Table1[[#This Row],[TYPE]]="Income",Table1[[#This Row],[AMOUNT (₹)]],-Table1[[#This Row],[AMOUNT (₹)]])</f>
        <v>-1700</v>
      </c>
      <c r="J228" s="265"/>
      <c r="K228" s="370"/>
      <c r="L228" s="265">
        <f t="shared" si="7"/>
        <v>2023</v>
      </c>
      <c r="M228" s="259">
        <f ca="1">IF(L228="","",COUNTIF($L$9:INDIRECT("K"&amp;ROW()),L228))</f>
        <v>96</v>
      </c>
    </row>
    <row r="229" spans="3:13" ht="18" hidden="1" customHeight="1" outlineLevel="1" x14ac:dyDescent="0.2">
      <c r="C229" s="252">
        <v>45321</v>
      </c>
      <c r="D229" s="248" t="s">
        <v>425</v>
      </c>
      <c r="E229" s="263">
        <f t="shared" si="6"/>
        <v>2024</v>
      </c>
      <c r="F229" s="266" t="s">
        <v>274</v>
      </c>
      <c r="G229" s="265" t="s">
        <v>76</v>
      </c>
      <c r="H229" s="369">
        <v>7500</v>
      </c>
      <c r="I229" s="369">
        <f>IF(Table1[[#This Row],[TYPE]]="Income",Table1[[#This Row],[AMOUNT (₹)]],-Table1[[#This Row],[AMOUNT (₹)]])</f>
        <v>-7500</v>
      </c>
      <c r="J229" s="265"/>
      <c r="K229" s="348"/>
      <c r="L229" s="265">
        <f t="shared" si="7"/>
        <v>2023</v>
      </c>
      <c r="M229" s="259">
        <f ca="1">IF(L229="","",COUNTIF($L$9:INDIRECT("K"&amp;ROW()),L229))</f>
        <v>97</v>
      </c>
    </row>
    <row r="230" spans="3:13" ht="18" hidden="1" customHeight="1" outlineLevel="1" x14ac:dyDescent="0.2">
      <c r="C230" s="252">
        <v>45322</v>
      </c>
      <c r="D230" s="274">
        <v>45323</v>
      </c>
      <c r="E230" s="263">
        <f t="shared" si="6"/>
        <v>2024</v>
      </c>
      <c r="F230" s="267" t="s">
        <v>274</v>
      </c>
      <c r="G230" s="253" t="s">
        <v>88</v>
      </c>
      <c r="H230" s="268">
        <v>4000</v>
      </c>
      <c r="I230" s="268">
        <f>IF(Table1[[#This Row],[TYPE]]="Income",Table1[[#This Row],[AMOUNT (₹)]],-Table1[[#This Row],[AMOUNT (₹)]])</f>
        <v>-4000</v>
      </c>
      <c r="J230" s="265"/>
      <c r="K230" s="348"/>
      <c r="L230" s="265">
        <f t="shared" si="7"/>
        <v>2023</v>
      </c>
      <c r="M230" s="259">
        <f ca="1">IF(L230="","",COUNTIF($L$9:INDIRECT("K"&amp;ROW()),L230))</f>
        <v>98</v>
      </c>
    </row>
    <row r="231" spans="3:13" ht="18" hidden="1" customHeight="1" outlineLevel="1" x14ac:dyDescent="0.2">
      <c r="C231" s="252">
        <v>45322</v>
      </c>
      <c r="D231" s="248" t="s">
        <v>307</v>
      </c>
      <c r="E231" s="263">
        <f t="shared" si="6"/>
        <v>2024</v>
      </c>
      <c r="F231" s="266" t="s">
        <v>277</v>
      </c>
      <c r="G231" s="265" t="s">
        <v>111</v>
      </c>
      <c r="H231" s="369">
        <v>46000</v>
      </c>
      <c r="I231" s="369">
        <f>IF(Table1[[#This Row],[TYPE]]="Income",Table1[[#This Row],[AMOUNT (₹)]],-Table1[[#This Row],[AMOUNT (₹)]])</f>
        <v>46000</v>
      </c>
      <c r="J231" s="265"/>
      <c r="K231" s="348"/>
      <c r="L231" s="265">
        <f t="shared" si="7"/>
        <v>2023</v>
      </c>
      <c r="M231" s="259">
        <f ca="1">IF(L231="","",COUNTIF($L$9:INDIRECT("K"&amp;ROW()),L231))</f>
        <v>99</v>
      </c>
    </row>
    <row r="232" spans="3:13" ht="18" hidden="1" customHeight="1" outlineLevel="1" x14ac:dyDescent="0.2">
      <c r="C232" s="252">
        <v>45324</v>
      </c>
      <c r="D232" s="248" t="s">
        <v>432</v>
      </c>
      <c r="E232" s="263">
        <f t="shared" si="6"/>
        <v>2024</v>
      </c>
      <c r="F232" s="266" t="s">
        <v>274</v>
      </c>
      <c r="G232" s="265" t="s">
        <v>92</v>
      </c>
      <c r="H232" s="369">
        <v>3000</v>
      </c>
      <c r="I232" s="369">
        <f>IF(Table1[[#This Row],[TYPE]]="Income",Table1[[#This Row],[AMOUNT (₹)]],-Table1[[#This Row],[AMOUNT (₹)]])</f>
        <v>-3000</v>
      </c>
      <c r="J232" s="265"/>
      <c r="K232" s="348"/>
      <c r="L232" s="265">
        <f t="shared" si="7"/>
        <v>2023</v>
      </c>
      <c r="M232" s="259">
        <f ca="1">IF(L232="","",COUNTIF($L$9:INDIRECT("K"&amp;ROW()),L232))</f>
        <v>100</v>
      </c>
    </row>
    <row r="233" spans="3:13" ht="18" hidden="1" customHeight="1" outlineLevel="1" x14ac:dyDescent="0.2">
      <c r="C233" s="252">
        <v>45325</v>
      </c>
      <c r="D233" s="248" t="s">
        <v>433</v>
      </c>
      <c r="E233" s="263">
        <f t="shared" si="6"/>
        <v>2024</v>
      </c>
      <c r="F233" s="266" t="s">
        <v>274</v>
      </c>
      <c r="G233" s="265" t="s">
        <v>80</v>
      </c>
      <c r="H233" s="369">
        <v>6881</v>
      </c>
      <c r="I233" s="369">
        <f>IF(Table1[[#This Row],[TYPE]]="Income",Table1[[#This Row],[AMOUNT (₹)]],-Table1[[#This Row],[AMOUNT (₹)]])</f>
        <v>-6881</v>
      </c>
      <c r="J233" s="265"/>
      <c r="K233" s="348"/>
      <c r="L233" s="265">
        <f t="shared" si="7"/>
        <v>2023</v>
      </c>
      <c r="M233" s="259">
        <f ca="1">IF(L233="","",COUNTIF($L$9:INDIRECT("K"&amp;ROW()),L233))</f>
        <v>101</v>
      </c>
    </row>
    <row r="234" spans="3:13" ht="18" hidden="1" customHeight="1" outlineLevel="1" x14ac:dyDescent="0.2">
      <c r="C234" s="252">
        <v>45328</v>
      </c>
      <c r="D234" s="248" t="s">
        <v>434</v>
      </c>
      <c r="E234" s="263">
        <f t="shared" si="6"/>
        <v>2024</v>
      </c>
      <c r="F234" s="266" t="s">
        <v>274</v>
      </c>
      <c r="G234" s="265" t="s">
        <v>82</v>
      </c>
      <c r="H234" s="369">
        <v>482</v>
      </c>
      <c r="I234" s="369">
        <f>IF(Table1[[#This Row],[TYPE]]="Income",Table1[[#This Row],[AMOUNT (₹)]],-Table1[[#This Row],[AMOUNT (₹)]])</f>
        <v>-482</v>
      </c>
      <c r="J234" s="265"/>
      <c r="K234" s="348"/>
      <c r="L234" s="265">
        <f t="shared" si="7"/>
        <v>2023</v>
      </c>
      <c r="M234" s="259">
        <f ca="1">IF(L234="","",COUNTIF($L$9:INDIRECT("K"&amp;ROW()),L234))</f>
        <v>102</v>
      </c>
    </row>
    <row r="235" spans="3:13" ht="18" hidden="1" customHeight="1" outlineLevel="1" x14ac:dyDescent="0.2">
      <c r="C235" s="252">
        <v>45332</v>
      </c>
      <c r="D235" s="248" t="s">
        <v>258</v>
      </c>
      <c r="E235" s="263">
        <f t="shared" si="6"/>
        <v>2024</v>
      </c>
      <c r="F235" s="266" t="s">
        <v>30</v>
      </c>
      <c r="G235" s="265" t="s">
        <v>98</v>
      </c>
      <c r="H235" s="369">
        <v>1376</v>
      </c>
      <c r="I235" s="369">
        <f>IF(Table1[[#This Row],[TYPE]]="Income",Table1[[#This Row],[AMOUNT (₹)]],-Table1[[#This Row],[AMOUNT (₹)]])</f>
        <v>-1376</v>
      </c>
      <c r="J235" s="265"/>
      <c r="K235" s="348"/>
      <c r="L235" s="265">
        <f t="shared" si="7"/>
        <v>2023</v>
      </c>
      <c r="M235" s="259">
        <f ca="1">IF(L235="","",COUNTIF($L$9:INDIRECT("K"&amp;ROW()),L235))</f>
        <v>103</v>
      </c>
    </row>
    <row r="236" spans="3:13" ht="18" hidden="1" customHeight="1" outlineLevel="1" x14ac:dyDescent="0.2">
      <c r="C236" s="252">
        <v>45335</v>
      </c>
      <c r="D236" s="248" t="s">
        <v>376</v>
      </c>
      <c r="E236" s="263">
        <f t="shared" si="6"/>
        <v>2024</v>
      </c>
      <c r="F236" s="266" t="s">
        <v>274</v>
      </c>
      <c r="G236" s="265" t="s">
        <v>82</v>
      </c>
      <c r="H236" s="369">
        <v>975</v>
      </c>
      <c r="I236" s="369">
        <f>IF(Table1[[#This Row],[TYPE]]="Income",Table1[[#This Row],[AMOUNT (₹)]],-Table1[[#This Row],[AMOUNT (₹)]])</f>
        <v>-975</v>
      </c>
      <c r="J236" s="265"/>
      <c r="K236" s="348"/>
      <c r="L236" s="265">
        <f t="shared" si="7"/>
        <v>2023</v>
      </c>
      <c r="M236" s="259">
        <f ca="1">IF(L236="","",COUNTIF($L$9:INDIRECT("K"&amp;ROW()),L236))</f>
        <v>104</v>
      </c>
    </row>
    <row r="237" spans="3:13" ht="18" hidden="1" customHeight="1" outlineLevel="1" x14ac:dyDescent="0.2">
      <c r="C237" s="252">
        <v>45335</v>
      </c>
      <c r="D237" s="248" t="s">
        <v>434</v>
      </c>
      <c r="E237" s="263">
        <f t="shared" si="6"/>
        <v>2024</v>
      </c>
      <c r="F237" s="266" t="s">
        <v>274</v>
      </c>
      <c r="G237" s="265" t="s">
        <v>82</v>
      </c>
      <c r="H237" s="369">
        <v>1045</v>
      </c>
      <c r="I237" s="369">
        <f>IF(Table1[[#This Row],[TYPE]]="Income",Table1[[#This Row],[AMOUNT (₹)]],-Table1[[#This Row],[AMOUNT (₹)]])</f>
        <v>-1045</v>
      </c>
      <c r="J237" s="265"/>
      <c r="K237" s="348"/>
      <c r="L237" s="265">
        <f t="shared" si="7"/>
        <v>2023</v>
      </c>
      <c r="M237" s="259">
        <f ca="1">IF(L237="","",COUNTIF($L$9:INDIRECT("K"&amp;ROW()),L237))</f>
        <v>105</v>
      </c>
    </row>
    <row r="238" spans="3:13" ht="18" hidden="1" customHeight="1" outlineLevel="1" x14ac:dyDescent="0.2">
      <c r="C238" s="252">
        <v>45338</v>
      </c>
      <c r="D238" s="273" t="s">
        <v>435</v>
      </c>
      <c r="E238" s="263">
        <f t="shared" si="6"/>
        <v>2024</v>
      </c>
      <c r="F238" s="267" t="s">
        <v>274</v>
      </c>
      <c r="G238" s="253" t="s">
        <v>88</v>
      </c>
      <c r="H238" s="268">
        <v>8600</v>
      </c>
      <c r="I238" s="268">
        <f>IF(Table1[[#This Row],[TYPE]]="Income",Table1[[#This Row],[AMOUNT (₹)]],-Table1[[#This Row],[AMOUNT (₹)]])</f>
        <v>-8600</v>
      </c>
      <c r="J238" s="265"/>
      <c r="K238" s="348"/>
      <c r="L238" s="265">
        <f t="shared" si="7"/>
        <v>2023</v>
      </c>
      <c r="M238" s="259">
        <f ca="1">IF(L238="","",COUNTIF($L$9:INDIRECT("K"&amp;ROW()),L238))</f>
        <v>106</v>
      </c>
    </row>
    <row r="239" spans="3:13" ht="18" hidden="1" customHeight="1" outlineLevel="1" x14ac:dyDescent="0.2">
      <c r="C239" s="252">
        <v>45341</v>
      </c>
      <c r="D239" s="248" t="s">
        <v>436</v>
      </c>
      <c r="E239" s="263">
        <f t="shared" si="6"/>
        <v>2024</v>
      </c>
      <c r="F239" s="267" t="s">
        <v>274</v>
      </c>
      <c r="G239" s="253" t="s">
        <v>84</v>
      </c>
      <c r="H239" s="268">
        <v>17000</v>
      </c>
      <c r="I239" s="268">
        <f>IF(Table1[[#This Row],[TYPE]]="Income",Table1[[#This Row],[AMOUNT (₹)]],-Table1[[#This Row],[AMOUNT (₹)]])</f>
        <v>-17000</v>
      </c>
      <c r="J239" s="265"/>
      <c r="K239" s="370"/>
      <c r="L239" s="265">
        <f t="shared" si="7"/>
        <v>2023</v>
      </c>
      <c r="M239" s="259">
        <f ca="1">IF(L239="","",COUNTIF($L$9:INDIRECT("K"&amp;ROW()),L239))</f>
        <v>107</v>
      </c>
    </row>
    <row r="240" spans="3:13" ht="18" hidden="1" customHeight="1" outlineLevel="1" x14ac:dyDescent="0.2">
      <c r="C240" s="252">
        <v>45345</v>
      </c>
      <c r="D240" s="273" t="s">
        <v>437</v>
      </c>
      <c r="E240" s="263">
        <f t="shared" si="6"/>
        <v>2024</v>
      </c>
      <c r="F240" s="267" t="s">
        <v>274</v>
      </c>
      <c r="G240" s="253" t="s">
        <v>88</v>
      </c>
      <c r="H240" s="268">
        <v>1000</v>
      </c>
      <c r="I240" s="268">
        <f>IF(Table1[[#This Row],[TYPE]]="Income",Table1[[#This Row],[AMOUNT (₹)]],-Table1[[#This Row],[AMOUNT (₹)]])</f>
        <v>-1000</v>
      </c>
      <c r="J240" s="265"/>
      <c r="K240" s="348"/>
      <c r="L240" s="265">
        <f t="shared" si="7"/>
        <v>2023</v>
      </c>
      <c r="M240" s="259">
        <f ca="1">IF(L240="","",COUNTIF($L$9:INDIRECT("K"&amp;ROW()),L240))</f>
        <v>108</v>
      </c>
    </row>
    <row r="241" spans="3:13" ht="18" hidden="1" customHeight="1" outlineLevel="1" x14ac:dyDescent="0.2">
      <c r="C241" s="252">
        <v>45349</v>
      </c>
      <c r="D241" s="248" t="s">
        <v>438</v>
      </c>
      <c r="E241" s="263">
        <f t="shared" si="6"/>
        <v>2024</v>
      </c>
      <c r="F241" s="267" t="s">
        <v>274</v>
      </c>
      <c r="G241" s="253" t="s">
        <v>84</v>
      </c>
      <c r="H241" s="268">
        <v>2000</v>
      </c>
      <c r="I241" s="268">
        <f>IF(Table1[[#This Row],[TYPE]]="Income",Table1[[#This Row],[AMOUNT (₹)]],-Table1[[#This Row],[AMOUNT (₹)]])</f>
        <v>-2000</v>
      </c>
      <c r="J241" s="265"/>
      <c r="K241" s="370"/>
      <c r="L241" s="265">
        <f t="shared" si="7"/>
        <v>2023</v>
      </c>
      <c r="M241" s="259">
        <f ca="1">IF(L241="","",COUNTIF($L$9:INDIRECT("K"&amp;ROW()),L241))</f>
        <v>109</v>
      </c>
    </row>
    <row r="242" spans="3:13" ht="18" hidden="1" customHeight="1" outlineLevel="1" x14ac:dyDescent="0.2">
      <c r="C242" s="252">
        <v>45350</v>
      </c>
      <c r="D242" s="248" t="s">
        <v>425</v>
      </c>
      <c r="E242" s="263">
        <f t="shared" si="6"/>
        <v>2024</v>
      </c>
      <c r="F242" s="266" t="s">
        <v>274</v>
      </c>
      <c r="G242" s="265" t="s">
        <v>76</v>
      </c>
      <c r="H242" s="369">
        <v>9274</v>
      </c>
      <c r="I242" s="369">
        <f>IF(Table1[[#This Row],[TYPE]]="Income",Table1[[#This Row],[AMOUNT (₹)]],-Table1[[#This Row],[AMOUNT (₹)]])</f>
        <v>-9274</v>
      </c>
      <c r="J242" s="265"/>
      <c r="K242" s="348"/>
      <c r="L242" s="265">
        <f t="shared" si="7"/>
        <v>2023</v>
      </c>
      <c r="M242" s="259">
        <f ca="1">IF(L242="","",COUNTIF($L$9:INDIRECT("K"&amp;ROW()),L242))</f>
        <v>110</v>
      </c>
    </row>
    <row r="243" spans="3:13" ht="18" hidden="1" customHeight="1" outlineLevel="1" x14ac:dyDescent="0.2">
      <c r="C243" s="252">
        <v>45350</v>
      </c>
      <c r="D243" s="274">
        <v>45323</v>
      </c>
      <c r="E243" s="263">
        <f t="shared" si="6"/>
        <v>2024</v>
      </c>
      <c r="F243" s="267" t="s">
        <v>274</v>
      </c>
      <c r="G243" s="253" t="s">
        <v>88</v>
      </c>
      <c r="H243" s="268">
        <v>1000</v>
      </c>
      <c r="I243" s="268">
        <f>IF(Table1[[#This Row],[TYPE]]="Income",Table1[[#This Row],[AMOUNT (₹)]],-Table1[[#This Row],[AMOUNT (₹)]])</f>
        <v>-1000</v>
      </c>
      <c r="J243" s="265"/>
      <c r="K243" s="348"/>
      <c r="L243" s="265">
        <f t="shared" si="7"/>
        <v>2023</v>
      </c>
      <c r="M243" s="259">
        <f ca="1">IF(L243="","",COUNTIF($L$9:INDIRECT("K"&amp;ROW()),L243))</f>
        <v>111</v>
      </c>
    </row>
    <row r="244" spans="3:13" ht="18" hidden="1" customHeight="1" outlineLevel="1" x14ac:dyDescent="0.2">
      <c r="C244" s="252">
        <v>45351</v>
      </c>
      <c r="D244" s="274">
        <v>45352</v>
      </c>
      <c r="E244" s="263">
        <f t="shared" si="6"/>
        <v>2024</v>
      </c>
      <c r="F244" s="267" t="s">
        <v>274</v>
      </c>
      <c r="G244" s="253" t="s">
        <v>88</v>
      </c>
      <c r="H244" s="268">
        <v>4000</v>
      </c>
      <c r="I244" s="268">
        <f>IF(Table1[[#This Row],[TYPE]]="Income",Table1[[#This Row],[AMOUNT (₹)]],-Table1[[#This Row],[AMOUNT (₹)]])</f>
        <v>-4000</v>
      </c>
      <c r="J244" s="265"/>
      <c r="K244" s="348"/>
      <c r="L244" s="265">
        <f t="shared" si="7"/>
        <v>2023</v>
      </c>
      <c r="M244" s="259">
        <f ca="1">IF(L244="","",COUNTIF($L$9:INDIRECT("K"&amp;ROW()),L244))</f>
        <v>112</v>
      </c>
    </row>
    <row r="245" spans="3:13" ht="18" hidden="1" customHeight="1" outlineLevel="1" x14ac:dyDescent="0.2">
      <c r="C245" s="252">
        <v>45351</v>
      </c>
      <c r="D245" s="248" t="s">
        <v>310</v>
      </c>
      <c r="E245" s="263">
        <f t="shared" si="6"/>
        <v>2024</v>
      </c>
      <c r="F245" s="266" t="s">
        <v>277</v>
      </c>
      <c r="G245" s="265" t="s">
        <v>111</v>
      </c>
      <c r="H245" s="369">
        <v>46000</v>
      </c>
      <c r="I245" s="369">
        <f>IF(Table1[[#This Row],[TYPE]]="Income",Table1[[#This Row],[AMOUNT (₹)]],-Table1[[#This Row],[AMOUNT (₹)]])</f>
        <v>46000</v>
      </c>
      <c r="J245" s="265"/>
      <c r="K245" s="348"/>
      <c r="L245" s="265">
        <f t="shared" si="7"/>
        <v>2023</v>
      </c>
      <c r="M245" s="259">
        <f ca="1">IF(L245="","",COUNTIF($L$9:INDIRECT("K"&amp;ROW()),L245))</f>
        <v>113</v>
      </c>
    </row>
    <row r="246" spans="3:13" ht="18" hidden="1" customHeight="1" outlineLevel="1" x14ac:dyDescent="0.2">
      <c r="C246" s="252">
        <v>45352</v>
      </c>
      <c r="D246" s="248" t="s">
        <v>439</v>
      </c>
      <c r="E246" s="263">
        <f t="shared" si="6"/>
        <v>2024</v>
      </c>
      <c r="F246" s="266" t="s">
        <v>274</v>
      </c>
      <c r="G246" s="265" t="s">
        <v>82</v>
      </c>
      <c r="H246" s="369">
        <v>13040.6</v>
      </c>
      <c r="I246" s="369">
        <f>IF(Table1[[#This Row],[TYPE]]="Income",Table1[[#This Row],[AMOUNT (₹)]],-Table1[[#This Row],[AMOUNT (₹)]])</f>
        <v>-13040.6</v>
      </c>
      <c r="J246" s="265"/>
      <c r="K246" s="371" t="s">
        <v>440</v>
      </c>
      <c r="L246" s="265">
        <f t="shared" si="7"/>
        <v>2023</v>
      </c>
      <c r="M246" s="259">
        <f ca="1">IF(L246="","",COUNTIF($L$9:INDIRECT("K"&amp;ROW()),L246))</f>
        <v>114</v>
      </c>
    </row>
    <row r="247" spans="3:13" ht="18" hidden="1" customHeight="1" outlineLevel="1" x14ac:dyDescent="0.2">
      <c r="C247" s="252">
        <v>45355</v>
      </c>
      <c r="D247" s="248" t="s">
        <v>441</v>
      </c>
      <c r="E247" s="263">
        <f t="shared" si="6"/>
        <v>2024</v>
      </c>
      <c r="F247" s="266" t="s">
        <v>274</v>
      </c>
      <c r="G247" s="265" t="s">
        <v>80</v>
      </c>
      <c r="H247" s="369">
        <v>6882.54</v>
      </c>
      <c r="I247" s="369">
        <f>IF(Table1[[#This Row],[TYPE]]="Income",Table1[[#This Row],[AMOUNT (₹)]],-Table1[[#This Row],[AMOUNT (₹)]])</f>
        <v>-6882.54</v>
      </c>
      <c r="J247" s="265"/>
      <c r="K247" s="348"/>
      <c r="L247" s="265">
        <f t="shared" si="7"/>
        <v>2023</v>
      </c>
      <c r="M247" s="259">
        <f ca="1">IF(L247="","",COUNTIF($L$9:INDIRECT("K"&amp;ROW()),L247))</f>
        <v>115</v>
      </c>
    </row>
    <row r="248" spans="3:13" ht="18" hidden="1" customHeight="1" outlineLevel="1" x14ac:dyDescent="0.2">
      <c r="C248" s="252">
        <v>45361</v>
      </c>
      <c r="D248" s="248" t="s">
        <v>260</v>
      </c>
      <c r="E248" s="263">
        <f t="shared" si="6"/>
        <v>2024</v>
      </c>
      <c r="F248" s="266" t="s">
        <v>30</v>
      </c>
      <c r="G248" s="265" t="s">
        <v>98</v>
      </c>
      <c r="H248" s="369">
        <v>1376</v>
      </c>
      <c r="I248" s="369">
        <f>IF(Table1[[#This Row],[TYPE]]="Income",Table1[[#This Row],[AMOUNT (₹)]],-Table1[[#This Row],[AMOUNT (₹)]])</f>
        <v>-1376</v>
      </c>
      <c r="J248" s="265"/>
      <c r="K248" s="348"/>
      <c r="L248" s="265">
        <f t="shared" si="7"/>
        <v>2023</v>
      </c>
      <c r="M248" s="259">
        <f ca="1">IF(L248="","",COUNTIF($L$9:INDIRECT("K"&amp;ROW()),L248))</f>
        <v>116</v>
      </c>
    </row>
    <row r="249" spans="3:13" ht="18" hidden="1" customHeight="1" outlineLevel="1" x14ac:dyDescent="0.2">
      <c r="C249" s="252">
        <v>45364</v>
      </c>
      <c r="D249" s="248" t="s">
        <v>442</v>
      </c>
      <c r="E249" s="263">
        <f t="shared" si="6"/>
        <v>2024</v>
      </c>
      <c r="F249" s="266" t="s">
        <v>274</v>
      </c>
      <c r="G249" s="265" t="s">
        <v>82</v>
      </c>
      <c r="H249" s="369">
        <v>250</v>
      </c>
      <c r="I249" s="369">
        <f>IF(Table1[[#This Row],[TYPE]]="Income",Table1[[#This Row],[AMOUNT (₹)]],-Table1[[#This Row],[AMOUNT (₹)]])</f>
        <v>-250</v>
      </c>
      <c r="J249" s="265"/>
      <c r="K249" s="348"/>
      <c r="L249" s="265">
        <f t="shared" si="7"/>
        <v>2023</v>
      </c>
      <c r="M249" s="259">
        <f ca="1">IF(L249="","",COUNTIF($L$9:INDIRECT("K"&amp;ROW()),L249))</f>
        <v>117</v>
      </c>
    </row>
    <row r="250" spans="3:13" ht="18" hidden="1" customHeight="1" outlineLevel="1" x14ac:dyDescent="0.2">
      <c r="C250" s="252">
        <v>45365</v>
      </c>
      <c r="D250" s="248" t="s">
        <v>376</v>
      </c>
      <c r="E250" s="263">
        <f t="shared" si="6"/>
        <v>2024</v>
      </c>
      <c r="F250" s="266" t="s">
        <v>274</v>
      </c>
      <c r="G250" s="265" t="s">
        <v>82</v>
      </c>
      <c r="H250" s="369">
        <v>535</v>
      </c>
      <c r="I250" s="369">
        <f>IF(Table1[[#This Row],[TYPE]]="Income",Table1[[#This Row],[AMOUNT (₹)]],-Table1[[#This Row],[AMOUNT (₹)]])</f>
        <v>-535</v>
      </c>
      <c r="J250" s="265"/>
      <c r="K250" s="348"/>
      <c r="L250" s="265">
        <f t="shared" si="7"/>
        <v>2023</v>
      </c>
      <c r="M250" s="259">
        <f ca="1">IF(L250="","",COUNTIF($L$9:INDIRECT("K"&amp;ROW()),L250))</f>
        <v>118</v>
      </c>
    </row>
    <row r="251" spans="3:13" ht="18" hidden="1" customHeight="1" outlineLevel="1" x14ac:dyDescent="0.2">
      <c r="C251" s="252">
        <v>45365</v>
      </c>
      <c r="D251" s="248" t="s">
        <v>443</v>
      </c>
      <c r="E251" s="263">
        <f t="shared" si="6"/>
        <v>2024</v>
      </c>
      <c r="F251" s="266" t="s">
        <v>274</v>
      </c>
      <c r="G251" s="265" t="s">
        <v>82</v>
      </c>
      <c r="H251" s="369">
        <v>2500</v>
      </c>
      <c r="I251" s="369">
        <f>IF(Table1[[#This Row],[TYPE]]="Income",Table1[[#This Row],[AMOUNT (₹)]],-Table1[[#This Row],[AMOUNT (₹)]])</f>
        <v>-2500</v>
      </c>
      <c r="J251" s="265"/>
      <c r="K251" s="348"/>
      <c r="L251" s="265">
        <f t="shared" si="7"/>
        <v>2023</v>
      </c>
      <c r="M251" s="259">
        <f ca="1">IF(L251="","",COUNTIF($L$9:INDIRECT("K"&amp;ROW()),L251))</f>
        <v>119</v>
      </c>
    </row>
    <row r="252" spans="3:13" ht="18" hidden="1" customHeight="1" outlineLevel="1" x14ac:dyDescent="0.2">
      <c r="C252" s="252">
        <v>45365</v>
      </c>
      <c r="D252" s="248" t="s">
        <v>444</v>
      </c>
      <c r="E252" s="263">
        <f t="shared" si="6"/>
        <v>2024</v>
      </c>
      <c r="F252" s="266" t="s">
        <v>274</v>
      </c>
      <c r="G252" s="265" t="s">
        <v>82</v>
      </c>
      <c r="H252" s="369">
        <v>2500</v>
      </c>
      <c r="I252" s="369">
        <f>IF(Table1[[#This Row],[TYPE]]="Income",Table1[[#This Row],[AMOUNT (₹)]],-Table1[[#This Row],[AMOUNT (₹)]])</f>
        <v>-2500</v>
      </c>
      <c r="J252" s="265"/>
      <c r="K252" s="348"/>
      <c r="L252" s="265">
        <f t="shared" si="7"/>
        <v>2023</v>
      </c>
      <c r="M252" s="259">
        <f ca="1">IF(L252="","",COUNTIF($L$9:INDIRECT("K"&amp;ROW()),L252))</f>
        <v>120</v>
      </c>
    </row>
    <row r="253" spans="3:13" ht="18" hidden="1" customHeight="1" outlineLevel="1" x14ac:dyDescent="0.2">
      <c r="C253" s="252">
        <v>45366</v>
      </c>
      <c r="D253" s="248" t="s">
        <v>445</v>
      </c>
      <c r="E253" s="263">
        <f t="shared" si="6"/>
        <v>2024</v>
      </c>
      <c r="F253" s="266" t="s">
        <v>277</v>
      </c>
      <c r="G253" s="265" t="s">
        <v>111</v>
      </c>
      <c r="H253" s="369">
        <v>8500</v>
      </c>
      <c r="I253" s="369">
        <f>IF(Table1[[#This Row],[TYPE]]="Income",Table1[[#This Row],[AMOUNT (₹)]],-Table1[[#This Row],[AMOUNT (₹)]])</f>
        <v>8500</v>
      </c>
      <c r="J253" s="265"/>
      <c r="K253" s="348"/>
      <c r="L253" s="265">
        <f t="shared" si="7"/>
        <v>2023</v>
      </c>
      <c r="M253" s="259">
        <f ca="1">IF(L253="","",COUNTIF($L$9:INDIRECT("K"&amp;ROW()),L253))</f>
        <v>121</v>
      </c>
    </row>
    <row r="254" spans="3:13" ht="18" hidden="1" customHeight="1" outlineLevel="1" x14ac:dyDescent="0.2">
      <c r="C254" s="252">
        <v>45367</v>
      </c>
      <c r="D254" s="274">
        <v>45352</v>
      </c>
      <c r="E254" s="263">
        <f t="shared" si="6"/>
        <v>2024</v>
      </c>
      <c r="F254" s="267" t="s">
        <v>274</v>
      </c>
      <c r="G254" s="253" t="s">
        <v>88</v>
      </c>
      <c r="H254" s="268">
        <v>2000</v>
      </c>
      <c r="I254" s="268">
        <f>IF(Table1[[#This Row],[TYPE]]="Income",Table1[[#This Row],[AMOUNT (₹)]],-Table1[[#This Row],[AMOUNT (₹)]])</f>
        <v>-2000</v>
      </c>
      <c r="J254" s="265"/>
      <c r="K254" s="348"/>
      <c r="L254" s="265">
        <f t="shared" si="7"/>
        <v>2023</v>
      </c>
      <c r="M254" s="259">
        <f ca="1">IF(L254="","",COUNTIF($L$9:INDIRECT("K"&amp;ROW()),L254))</f>
        <v>122</v>
      </c>
    </row>
    <row r="255" spans="3:13" ht="18" hidden="1" customHeight="1" outlineLevel="1" x14ac:dyDescent="0.2">
      <c r="C255" s="252">
        <v>45379</v>
      </c>
      <c r="D255" s="274">
        <v>45383</v>
      </c>
      <c r="E255" s="263">
        <f t="shared" si="6"/>
        <v>2024</v>
      </c>
      <c r="F255" s="267" t="s">
        <v>274</v>
      </c>
      <c r="G255" s="253" t="s">
        <v>88</v>
      </c>
      <c r="H255" s="268">
        <v>4000</v>
      </c>
      <c r="I255" s="268">
        <f>IF(Table1[[#This Row],[TYPE]]="Income",Table1[[#This Row],[AMOUNT (₹)]],-Table1[[#This Row],[AMOUNT (₹)]])</f>
        <v>-4000</v>
      </c>
      <c r="J255" s="265"/>
      <c r="K255" s="348"/>
      <c r="L255" s="265">
        <f t="shared" si="7"/>
        <v>2023</v>
      </c>
      <c r="M255" s="259">
        <f ca="1">IF(L255="","",COUNTIF($L$9:INDIRECT("K"&amp;ROW()),L255))</f>
        <v>123</v>
      </c>
    </row>
    <row r="256" spans="3:13" ht="18" hidden="1" customHeight="1" outlineLevel="1" x14ac:dyDescent="0.2">
      <c r="C256" s="252">
        <v>45379</v>
      </c>
      <c r="D256" s="248" t="s">
        <v>316</v>
      </c>
      <c r="E256" s="263">
        <f t="shared" si="6"/>
        <v>2024</v>
      </c>
      <c r="F256" s="266" t="s">
        <v>277</v>
      </c>
      <c r="G256" s="265" t="s">
        <v>111</v>
      </c>
      <c r="H256" s="369">
        <v>46000</v>
      </c>
      <c r="I256" s="369">
        <f>IF(Table1[[#This Row],[TYPE]]="Income",Table1[[#This Row],[AMOUNT (₹)]],-Table1[[#This Row],[AMOUNT (₹)]])</f>
        <v>46000</v>
      </c>
      <c r="J256" s="265"/>
      <c r="K256" s="348"/>
      <c r="L256" s="265">
        <f t="shared" si="7"/>
        <v>2023</v>
      </c>
      <c r="M256" s="259">
        <f ca="1">IF(L256="","",COUNTIF($L$9:INDIRECT("K"&amp;ROW()),L256))</f>
        <v>124</v>
      </c>
    </row>
    <row r="257" spans="3:13" ht="18" hidden="1" customHeight="1" outlineLevel="1" x14ac:dyDescent="0.2">
      <c r="C257" s="252">
        <v>45382</v>
      </c>
      <c r="D257" s="248" t="s">
        <v>446</v>
      </c>
      <c r="E257" s="263">
        <f t="shared" si="6"/>
        <v>2024</v>
      </c>
      <c r="F257" s="266" t="s">
        <v>274</v>
      </c>
      <c r="G257" s="265" t="s">
        <v>82</v>
      </c>
      <c r="H257" s="369">
        <v>13260</v>
      </c>
      <c r="I257" s="369">
        <f>IF(Table1[[#This Row],[TYPE]]="Income",Table1[[#This Row],[AMOUNT (₹)]],-Table1[[#This Row],[AMOUNT (₹)]])</f>
        <v>-13260</v>
      </c>
      <c r="J257" s="265"/>
      <c r="K257" s="348"/>
      <c r="L257" s="265">
        <f t="shared" si="7"/>
        <v>2023</v>
      </c>
      <c r="M257" s="259">
        <f ca="1">IF(L257="","",COUNTIF($L$9:INDIRECT("K"&amp;ROW()),L257))</f>
        <v>125</v>
      </c>
    </row>
    <row r="258" spans="3:13" ht="18" hidden="1" customHeight="1" outlineLevel="1" x14ac:dyDescent="0.2">
      <c r="C258" s="252">
        <v>45383</v>
      </c>
      <c r="D258" s="248" t="s">
        <v>447</v>
      </c>
      <c r="E258" s="263">
        <f t="shared" si="6"/>
        <v>2024</v>
      </c>
      <c r="F258" s="266" t="s">
        <v>274</v>
      </c>
      <c r="G258" s="265" t="s">
        <v>76</v>
      </c>
      <c r="H258" s="369">
        <v>8000</v>
      </c>
      <c r="I258" s="369">
        <f>IF(Table1[[#This Row],[TYPE]]="Income",Table1[[#This Row],[AMOUNT (₹)]],-Table1[[#This Row],[AMOUNT (₹)]])</f>
        <v>-8000</v>
      </c>
      <c r="J258" s="265"/>
      <c r="K258" s="348"/>
      <c r="L258" s="265">
        <f t="shared" si="7"/>
        <v>2024</v>
      </c>
      <c r="M258" s="259">
        <f ca="1">IF(L258="","",COUNTIF($L$9:INDIRECT("K"&amp;ROW()),L258))</f>
        <v>1</v>
      </c>
    </row>
    <row r="259" spans="3:13" ht="18" hidden="1" customHeight="1" outlineLevel="1" x14ac:dyDescent="0.2">
      <c r="C259" s="252">
        <v>45383</v>
      </c>
      <c r="D259" s="248" t="s">
        <v>448</v>
      </c>
      <c r="E259" s="263">
        <f t="shared" si="6"/>
        <v>2024</v>
      </c>
      <c r="F259" s="266" t="s">
        <v>274</v>
      </c>
      <c r="G259" s="265" t="s">
        <v>76</v>
      </c>
      <c r="H259" s="369">
        <v>1033</v>
      </c>
      <c r="I259" s="369">
        <f>IF(Table1[[#This Row],[TYPE]]="Income",Table1[[#This Row],[AMOUNT (₹)]],-Table1[[#This Row],[AMOUNT (₹)]])</f>
        <v>-1033</v>
      </c>
      <c r="J259" s="265"/>
      <c r="K259" s="348"/>
      <c r="L259" s="265">
        <f t="shared" si="7"/>
        <v>2024</v>
      </c>
      <c r="M259" s="259">
        <f ca="1">IF(L259="","",COUNTIF($L$9:INDIRECT("K"&amp;ROW()),L259))</f>
        <v>2</v>
      </c>
    </row>
    <row r="260" spans="3:13" ht="18" hidden="1" customHeight="1" outlineLevel="1" x14ac:dyDescent="0.2">
      <c r="C260" s="252">
        <v>45388</v>
      </c>
      <c r="D260" s="248" t="s">
        <v>449</v>
      </c>
      <c r="E260" s="263">
        <f t="shared" si="6"/>
        <v>2024</v>
      </c>
      <c r="F260" s="266" t="s">
        <v>274</v>
      </c>
      <c r="G260" s="265" t="s">
        <v>84</v>
      </c>
      <c r="H260" s="369">
        <v>17000</v>
      </c>
      <c r="I260" s="369">
        <f>IF(Table1[[#This Row],[TYPE]]="Income",Table1[[#This Row],[AMOUNT (₹)]],-Table1[[#This Row],[AMOUNT (₹)]])</f>
        <v>-17000</v>
      </c>
      <c r="J260" s="265"/>
      <c r="K260" s="348"/>
      <c r="L260" s="265">
        <f t="shared" si="7"/>
        <v>2024</v>
      </c>
      <c r="M260" s="259">
        <f ca="1">IF(L260="","",COUNTIF($L$9:INDIRECT("K"&amp;ROW()),L260))</f>
        <v>3</v>
      </c>
    </row>
    <row r="261" spans="3:13" ht="18" hidden="1" customHeight="1" outlineLevel="1" x14ac:dyDescent="0.2">
      <c r="C261" s="252">
        <v>45388</v>
      </c>
      <c r="D261" s="248" t="s">
        <v>450</v>
      </c>
      <c r="E261" s="263">
        <f t="shared" si="6"/>
        <v>2024</v>
      </c>
      <c r="F261" s="266" t="s">
        <v>274</v>
      </c>
      <c r="G261" s="265" t="s">
        <v>84</v>
      </c>
      <c r="H261" s="369">
        <v>2000</v>
      </c>
      <c r="I261" s="369">
        <f>IF(Table1[[#This Row],[TYPE]]="Income",Table1[[#This Row],[AMOUNT (₹)]],-Table1[[#This Row],[AMOUNT (₹)]])</f>
        <v>-2000</v>
      </c>
      <c r="J261" s="265"/>
      <c r="K261" s="348"/>
      <c r="L261" s="265">
        <f t="shared" si="7"/>
        <v>2024</v>
      </c>
      <c r="M261" s="259">
        <f ca="1">IF(L261="","",COUNTIF($L$9:INDIRECT("K"&amp;ROW()),L261))</f>
        <v>4</v>
      </c>
    </row>
    <row r="262" spans="3:13" ht="18" hidden="1" customHeight="1" outlineLevel="1" x14ac:dyDescent="0.2">
      <c r="C262" s="252">
        <v>45391</v>
      </c>
      <c r="D262" s="248" t="s">
        <v>38</v>
      </c>
      <c r="E262" s="263">
        <f t="shared" si="6"/>
        <v>2024</v>
      </c>
      <c r="F262" s="266" t="s">
        <v>274</v>
      </c>
      <c r="G262" s="265" t="s">
        <v>88</v>
      </c>
      <c r="H262" s="369">
        <v>3000</v>
      </c>
      <c r="I262" s="369">
        <f>IF(Table1[[#This Row],[TYPE]]="Income",Table1[[#This Row],[AMOUNT (₹)]],-Table1[[#This Row],[AMOUNT (₹)]])</f>
        <v>-3000</v>
      </c>
      <c r="J262" s="265"/>
      <c r="K262" s="348"/>
      <c r="L262" s="265">
        <f t="shared" si="7"/>
        <v>2024</v>
      </c>
      <c r="M262" s="259">
        <f ca="1">IF(L262="","",COUNTIF($L$9:INDIRECT("K"&amp;ROW()),L262))</f>
        <v>5</v>
      </c>
    </row>
    <row r="263" spans="3:13" ht="18" hidden="1" customHeight="1" outlineLevel="1" x14ac:dyDescent="0.2">
      <c r="C263" s="252">
        <v>45392</v>
      </c>
      <c r="D263" s="248" t="s">
        <v>262</v>
      </c>
      <c r="E263" s="263">
        <f t="shared" si="6"/>
        <v>2024</v>
      </c>
      <c r="F263" s="266" t="s">
        <v>30</v>
      </c>
      <c r="G263" s="265" t="s">
        <v>98</v>
      </c>
      <c r="H263" s="369">
        <v>1376</v>
      </c>
      <c r="I263" s="369">
        <f>IF(Table1[[#This Row],[TYPE]]="Income",Table1[[#This Row],[AMOUNT (₹)]],-Table1[[#This Row],[AMOUNT (₹)]])</f>
        <v>-1376</v>
      </c>
      <c r="J263" s="265"/>
      <c r="K263" s="348"/>
      <c r="L263" s="265">
        <f t="shared" si="7"/>
        <v>2024</v>
      </c>
      <c r="M263" s="259">
        <f ca="1">IF(L263="","",COUNTIF($L$9:INDIRECT("K"&amp;ROW()),L263))</f>
        <v>6</v>
      </c>
    </row>
    <row r="264" spans="3:13" ht="18" hidden="1" customHeight="1" outlineLevel="1" x14ac:dyDescent="0.2">
      <c r="C264" s="252">
        <v>45397</v>
      </c>
      <c r="D264" s="248" t="s">
        <v>451</v>
      </c>
      <c r="E264" s="263">
        <f t="shared" si="6"/>
        <v>2024</v>
      </c>
      <c r="F264" s="266" t="s">
        <v>274</v>
      </c>
      <c r="G264" s="265" t="s">
        <v>82</v>
      </c>
      <c r="H264" s="369">
        <v>350</v>
      </c>
      <c r="I264" s="369">
        <f>IF(Table1[[#This Row],[TYPE]]="Income",Table1[[#This Row],[AMOUNT (₹)]],-Table1[[#This Row],[AMOUNT (₹)]])</f>
        <v>-350</v>
      </c>
      <c r="J264" s="265"/>
      <c r="K264" s="348"/>
      <c r="L264" s="265">
        <f t="shared" si="7"/>
        <v>2024</v>
      </c>
      <c r="M264" s="259">
        <f ca="1">IF(L264="","",COUNTIF($L$9:INDIRECT("K"&amp;ROW()),L264))</f>
        <v>7</v>
      </c>
    </row>
    <row r="265" spans="3:13" ht="18" hidden="1" customHeight="1" outlineLevel="1" x14ac:dyDescent="0.2">
      <c r="C265" s="252">
        <v>45397</v>
      </c>
      <c r="D265" s="248" t="s">
        <v>452</v>
      </c>
      <c r="E265" s="263">
        <f t="shared" ref="E265:E328" si="8">IFERROR(YEAR(C265),"")</f>
        <v>2024</v>
      </c>
      <c r="F265" s="266" t="s">
        <v>277</v>
      </c>
      <c r="G265" s="265" t="s">
        <v>84</v>
      </c>
      <c r="H265" s="369">
        <v>51500</v>
      </c>
      <c r="I265" s="369">
        <f>IF(Table1[[#This Row],[TYPE]]="Income",Table1[[#This Row],[AMOUNT (₹)]],-Table1[[#This Row],[AMOUNT (₹)]])</f>
        <v>51500</v>
      </c>
      <c r="J265" s="265"/>
      <c r="K265" s="348"/>
      <c r="L265" s="265">
        <f t="shared" ref="L265:L328" si="9">IFERROR(IF(MONTH(C265)&lt;=3,YEAR(C265)-1,YEAR(C265)),"")</f>
        <v>2024</v>
      </c>
      <c r="M265" s="259">
        <f ca="1">IF(L265="","",COUNTIF($L$9:INDIRECT("K"&amp;ROW()),L265))</f>
        <v>8</v>
      </c>
    </row>
    <row r="266" spans="3:13" ht="18" hidden="1" customHeight="1" outlineLevel="1" x14ac:dyDescent="0.2">
      <c r="C266" s="252">
        <v>45403</v>
      </c>
      <c r="D266" s="248" t="s">
        <v>453</v>
      </c>
      <c r="E266" s="263">
        <f t="shared" si="8"/>
        <v>2024</v>
      </c>
      <c r="F266" s="266" t="s">
        <v>274</v>
      </c>
      <c r="G266" s="265" t="s">
        <v>80</v>
      </c>
      <c r="H266" s="369">
        <v>7767</v>
      </c>
      <c r="I266" s="369">
        <f>IF(Table1[[#This Row],[TYPE]]="Income",Table1[[#This Row],[AMOUNT (₹)]],-Table1[[#This Row],[AMOUNT (₹)]])</f>
        <v>-7767</v>
      </c>
      <c r="J266" s="265"/>
      <c r="K266" s="348"/>
      <c r="L266" s="265">
        <f t="shared" si="9"/>
        <v>2024</v>
      </c>
      <c r="M266" s="259">
        <f ca="1">IF(L266="","",COUNTIF($L$9:INDIRECT("K"&amp;ROW()),L266))</f>
        <v>9</v>
      </c>
    </row>
    <row r="267" spans="3:13" ht="18" hidden="1" customHeight="1" outlineLevel="1" x14ac:dyDescent="0.2">
      <c r="C267" s="252">
        <v>45403</v>
      </c>
      <c r="D267" s="248" t="s">
        <v>454</v>
      </c>
      <c r="E267" s="263">
        <f t="shared" si="8"/>
        <v>2024</v>
      </c>
      <c r="F267" s="266" t="s">
        <v>274</v>
      </c>
      <c r="G267" s="265" t="s">
        <v>92</v>
      </c>
      <c r="H267" s="369">
        <v>5681</v>
      </c>
      <c r="I267" s="369">
        <f>IF(Table1[[#This Row],[TYPE]]="Income",Table1[[#This Row],[AMOUNT (₹)]],-Table1[[#This Row],[AMOUNT (₹)]])</f>
        <v>-5681</v>
      </c>
      <c r="J267" s="265"/>
      <c r="K267" s="348"/>
      <c r="L267" s="265">
        <f t="shared" si="9"/>
        <v>2024</v>
      </c>
      <c r="M267" s="259">
        <f ca="1">IF(L267="","",COUNTIF($L$9:INDIRECT("K"&amp;ROW()),L267))</f>
        <v>10</v>
      </c>
    </row>
    <row r="268" spans="3:13" ht="18" hidden="1" customHeight="1" outlineLevel="1" x14ac:dyDescent="0.2">
      <c r="C268" s="252">
        <v>45404</v>
      </c>
      <c r="D268" s="248" t="s">
        <v>370</v>
      </c>
      <c r="E268" s="263">
        <f t="shared" si="8"/>
        <v>2024</v>
      </c>
      <c r="F268" s="266" t="s">
        <v>274</v>
      </c>
      <c r="G268" s="265" t="s">
        <v>82</v>
      </c>
      <c r="H268" s="369">
        <v>371</v>
      </c>
      <c r="I268" s="369">
        <f>IF(Table1[[#This Row],[TYPE]]="Income",Table1[[#This Row],[AMOUNT (₹)]],-Table1[[#This Row],[AMOUNT (₹)]])</f>
        <v>-371</v>
      </c>
      <c r="J268" s="265"/>
      <c r="K268" s="348"/>
      <c r="L268" s="265">
        <f t="shared" si="9"/>
        <v>2024</v>
      </c>
      <c r="M268" s="259">
        <f ca="1">IF(L268="","",COUNTIF($L$9:INDIRECT("K"&amp;ROW()),L268))</f>
        <v>11</v>
      </c>
    </row>
    <row r="269" spans="3:13" ht="18" hidden="1" customHeight="1" outlineLevel="1" x14ac:dyDescent="0.2">
      <c r="C269" s="252">
        <v>45412</v>
      </c>
      <c r="D269" s="248" t="s">
        <v>94</v>
      </c>
      <c r="E269" s="263">
        <f t="shared" si="8"/>
        <v>2024</v>
      </c>
      <c r="F269" s="266" t="s">
        <v>274</v>
      </c>
      <c r="G269" s="265" t="s">
        <v>94</v>
      </c>
      <c r="H269" s="369">
        <v>1350</v>
      </c>
      <c r="I269" s="369">
        <f>IF(Table1[[#This Row],[TYPE]]="Income",Table1[[#This Row],[AMOUNT (₹)]],-Table1[[#This Row],[AMOUNT (₹)]])</f>
        <v>-1350</v>
      </c>
      <c r="J269" s="265"/>
      <c r="K269" s="348"/>
      <c r="L269" s="265">
        <f t="shared" si="9"/>
        <v>2024</v>
      </c>
      <c r="M269" s="259">
        <f ca="1">IF(L269="","",COUNTIF($L$9:INDIRECT("K"&amp;ROW()),L269))</f>
        <v>12</v>
      </c>
    </row>
    <row r="270" spans="3:13" ht="18" hidden="1" customHeight="1" outlineLevel="1" x14ac:dyDescent="0.2">
      <c r="C270" s="252">
        <v>45412</v>
      </c>
      <c r="D270" s="248" t="s">
        <v>320</v>
      </c>
      <c r="E270" s="263">
        <f t="shared" si="8"/>
        <v>2024</v>
      </c>
      <c r="F270" s="266" t="s">
        <v>277</v>
      </c>
      <c r="G270" s="265" t="s">
        <v>111</v>
      </c>
      <c r="H270" s="369">
        <v>46000</v>
      </c>
      <c r="I270" s="369">
        <f>IF(Table1[[#This Row],[TYPE]]="Income",Table1[[#This Row],[AMOUNT (₹)]],-Table1[[#This Row],[AMOUNT (₹)]])</f>
        <v>46000</v>
      </c>
      <c r="J270" s="265"/>
      <c r="K270" s="348"/>
      <c r="L270" s="265">
        <f t="shared" si="9"/>
        <v>2024</v>
      </c>
      <c r="M270" s="259">
        <f ca="1">IF(L270="","",COUNTIF($L$9:INDIRECT("K"&amp;ROW()),L270))</f>
        <v>13</v>
      </c>
    </row>
    <row r="271" spans="3:13" ht="18" hidden="1" customHeight="1" outlineLevel="1" x14ac:dyDescent="0.2">
      <c r="C271" s="252">
        <v>45413</v>
      </c>
      <c r="D271" s="248" t="s">
        <v>425</v>
      </c>
      <c r="E271" s="263">
        <f t="shared" si="8"/>
        <v>2024</v>
      </c>
      <c r="F271" s="266" t="s">
        <v>274</v>
      </c>
      <c r="G271" s="265" t="s">
        <v>76</v>
      </c>
      <c r="H271" s="369">
        <v>6000</v>
      </c>
      <c r="I271" s="369">
        <f>IF(Table1[[#This Row],[TYPE]]="Income",Table1[[#This Row],[AMOUNT (₹)]],-Table1[[#This Row],[AMOUNT (₹)]])</f>
        <v>-6000</v>
      </c>
      <c r="J271" s="265"/>
      <c r="K271" s="348"/>
      <c r="L271" s="265">
        <f t="shared" si="9"/>
        <v>2024</v>
      </c>
      <c r="M271" s="259">
        <f ca="1">IF(L271="","",COUNTIF($L$9:INDIRECT("K"&amp;ROW()),L271))</f>
        <v>14</v>
      </c>
    </row>
    <row r="272" spans="3:13" ht="18" hidden="1" customHeight="1" outlineLevel="1" x14ac:dyDescent="0.2">
      <c r="C272" s="252">
        <v>45413</v>
      </c>
      <c r="D272" s="248" t="s">
        <v>455</v>
      </c>
      <c r="E272" s="263">
        <f t="shared" si="8"/>
        <v>2024</v>
      </c>
      <c r="F272" s="266" t="s">
        <v>274</v>
      </c>
      <c r="G272" s="265" t="s">
        <v>88</v>
      </c>
      <c r="H272" s="369">
        <v>7500</v>
      </c>
      <c r="I272" s="369">
        <f>IF(Table1[[#This Row],[TYPE]]="Income",Table1[[#This Row],[AMOUNT (₹)]],-Table1[[#This Row],[AMOUNT (₹)]])</f>
        <v>-7500</v>
      </c>
      <c r="J272" s="265"/>
      <c r="K272" s="348"/>
      <c r="L272" s="265">
        <f t="shared" si="9"/>
        <v>2024</v>
      </c>
      <c r="M272" s="259">
        <f ca="1">IF(L272="","",COUNTIF($L$9:INDIRECT("K"&amp;ROW()),L272))</f>
        <v>15</v>
      </c>
    </row>
    <row r="273" spans="3:13" ht="18" hidden="1" customHeight="1" outlineLevel="1" x14ac:dyDescent="0.2">
      <c r="C273" s="252">
        <v>45422</v>
      </c>
      <c r="D273" s="248" t="s">
        <v>455</v>
      </c>
      <c r="E273" s="263">
        <f t="shared" si="8"/>
        <v>2024</v>
      </c>
      <c r="F273" s="266" t="s">
        <v>30</v>
      </c>
      <c r="G273" s="265" t="s">
        <v>98</v>
      </c>
      <c r="H273" s="369">
        <v>1376</v>
      </c>
      <c r="I273" s="369">
        <f>IF(Table1[[#This Row],[TYPE]]="Income",Table1[[#This Row],[AMOUNT (₹)]],-Table1[[#This Row],[AMOUNT (₹)]])</f>
        <v>-1376</v>
      </c>
      <c r="J273" s="265"/>
      <c r="K273" s="348"/>
      <c r="L273" s="265">
        <f t="shared" si="9"/>
        <v>2024</v>
      </c>
      <c r="M273" s="259">
        <f ca="1">IF(L273="","",COUNTIF($L$9:INDIRECT("K"&amp;ROW()),L273))</f>
        <v>16</v>
      </c>
    </row>
    <row r="274" spans="3:13" ht="18" hidden="1" customHeight="1" outlineLevel="1" x14ac:dyDescent="0.2">
      <c r="C274" s="252">
        <v>45428</v>
      </c>
      <c r="D274" s="248" t="s">
        <v>39</v>
      </c>
      <c r="E274" s="263">
        <f t="shared" si="8"/>
        <v>2024</v>
      </c>
      <c r="F274" s="266" t="s">
        <v>274</v>
      </c>
      <c r="G274" s="265" t="s">
        <v>84</v>
      </c>
      <c r="H274" s="369">
        <v>1500</v>
      </c>
      <c r="I274" s="369">
        <f>IF(Table1[[#This Row],[TYPE]]="Income",Table1[[#This Row],[AMOUNT (₹)]],-Table1[[#This Row],[AMOUNT (₹)]])</f>
        <v>-1500</v>
      </c>
      <c r="J274" s="265"/>
      <c r="K274" s="348"/>
      <c r="L274" s="265">
        <f t="shared" si="9"/>
        <v>2024</v>
      </c>
      <c r="M274" s="259">
        <f ca="1">IF(L274="","",COUNTIF($L$9:INDIRECT("K"&amp;ROW()),L274))</f>
        <v>17</v>
      </c>
    </row>
    <row r="275" spans="3:13" ht="18" hidden="1" customHeight="1" outlineLevel="1" x14ac:dyDescent="0.2">
      <c r="C275" s="252">
        <v>45438</v>
      </c>
      <c r="D275" s="248" t="s">
        <v>374</v>
      </c>
      <c r="E275" s="263">
        <f t="shared" si="8"/>
        <v>2024</v>
      </c>
      <c r="F275" s="266" t="s">
        <v>274</v>
      </c>
      <c r="G275" s="265" t="s">
        <v>80</v>
      </c>
      <c r="H275" s="369">
        <v>7517.6</v>
      </c>
      <c r="I275" s="369">
        <f>IF(Table1[[#This Row],[TYPE]]="Income",Table1[[#This Row],[AMOUNT (₹)]],-Table1[[#This Row],[AMOUNT (₹)]])</f>
        <v>-7517.6</v>
      </c>
      <c r="J275" s="265"/>
      <c r="K275" s="348"/>
      <c r="L275" s="265">
        <f t="shared" si="9"/>
        <v>2024</v>
      </c>
      <c r="M275" s="259">
        <f ca="1">IF(L275="","",COUNTIF($L$9:INDIRECT("K"&amp;ROW()),L275))</f>
        <v>18</v>
      </c>
    </row>
    <row r="276" spans="3:13" ht="18" hidden="1" customHeight="1" outlineLevel="1" x14ac:dyDescent="0.2">
      <c r="C276" s="252">
        <v>45442</v>
      </c>
      <c r="D276" s="248" t="s">
        <v>456</v>
      </c>
      <c r="E276" s="263">
        <f t="shared" si="8"/>
        <v>2024</v>
      </c>
      <c r="F276" s="266" t="s">
        <v>274</v>
      </c>
      <c r="G276" s="265" t="s">
        <v>82</v>
      </c>
      <c r="H276" s="369">
        <v>10257</v>
      </c>
      <c r="I276" s="369">
        <f>IF(Table1[[#This Row],[TYPE]]="Income",Table1[[#This Row],[AMOUNT (₹)]],-Table1[[#This Row],[AMOUNT (₹)]])</f>
        <v>-10257</v>
      </c>
      <c r="J276" s="265"/>
      <c r="K276" s="348"/>
      <c r="L276" s="265">
        <f t="shared" si="9"/>
        <v>2024</v>
      </c>
      <c r="M276" s="259">
        <f ca="1">IF(L276="","",COUNTIF($L$9:INDIRECT("K"&amp;ROW()),L276))</f>
        <v>19</v>
      </c>
    </row>
    <row r="277" spans="3:13" ht="18" hidden="1" customHeight="1" outlineLevel="1" x14ac:dyDescent="0.2">
      <c r="C277" s="252">
        <v>45443</v>
      </c>
      <c r="D277" s="248" t="s">
        <v>327</v>
      </c>
      <c r="E277" s="263">
        <f t="shared" si="8"/>
        <v>2024</v>
      </c>
      <c r="F277" s="266" t="s">
        <v>277</v>
      </c>
      <c r="G277" s="265" t="s">
        <v>111</v>
      </c>
      <c r="H277" s="369">
        <v>46000</v>
      </c>
      <c r="I277" s="369">
        <f>IF(Table1[[#This Row],[TYPE]]="Income",Table1[[#This Row],[AMOUNT (₹)]],-Table1[[#This Row],[AMOUNT (₹)]])</f>
        <v>46000</v>
      </c>
      <c r="J277" s="265"/>
      <c r="K277" s="348"/>
      <c r="L277" s="265">
        <f t="shared" si="9"/>
        <v>2024</v>
      </c>
      <c r="M277" s="259">
        <f ca="1">IF(L277="","",COUNTIF($L$9:INDIRECT("K"&amp;ROW()),L277))</f>
        <v>20</v>
      </c>
    </row>
    <row r="278" spans="3:13" ht="18" hidden="1" customHeight="1" outlineLevel="1" x14ac:dyDescent="0.2">
      <c r="C278" s="252">
        <v>45448</v>
      </c>
      <c r="D278" s="248" t="s">
        <v>96</v>
      </c>
      <c r="E278" s="263">
        <f t="shared" si="8"/>
        <v>2024</v>
      </c>
      <c r="F278" s="266" t="s">
        <v>277</v>
      </c>
      <c r="G278" s="265" t="s">
        <v>84</v>
      </c>
      <c r="H278" s="369">
        <v>39000</v>
      </c>
      <c r="I278" s="369">
        <f>IF(Table1[[#This Row],[TYPE]]="Income",Table1[[#This Row],[AMOUNT (₹)]],-Table1[[#This Row],[AMOUNT (₹)]])</f>
        <v>39000</v>
      </c>
      <c r="J278" s="265"/>
      <c r="K278" s="348"/>
      <c r="L278" s="265">
        <f t="shared" si="9"/>
        <v>2024</v>
      </c>
      <c r="M278" s="259">
        <f ca="1">IF(L278="","",COUNTIF($L$9:INDIRECT("K"&amp;ROW()),L278))</f>
        <v>21</v>
      </c>
    </row>
    <row r="279" spans="3:13" ht="18" hidden="1" customHeight="1" outlineLevel="1" x14ac:dyDescent="0.2">
      <c r="C279" s="252">
        <v>45449</v>
      </c>
      <c r="D279" s="248" t="s">
        <v>457</v>
      </c>
      <c r="E279" s="263">
        <f t="shared" si="8"/>
        <v>2024</v>
      </c>
      <c r="F279" s="266" t="s">
        <v>274</v>
      </c>
      <c r="G279" s="265" t="s">
        <v>92</v>
      </c>
      <c r="H279" s="369">
        <v>53500</v>
      </c>
      <c r="I279" s="369">
        <f>IF(Table1[[#This Row],[TYPE]]="Income",Table1[[#This Row],[AMOUNT (₹)]],-Table1[[#This Row],[AMOUNT (₹)]])</f>
        <v>-53500</v>
      </c>
      <c r="J279" s="265"/>
      <c r="K279" s="348"/>
      <c r="L279" s="265">
        <f t="shared" si="9"/>
        <v>2024</v>
      </c>
      <c r="M279" s="259">
        <f ca="1">IF(L279="","",COUNTIF($L$9:INDIRECT("K"&amp;ROW()),L279))</f>
        <v>22</v>
      </c>
    </row>
    <row r="280" spans="3:13" ht="18" hidden="1" customHeight="1" outlineLevel="1" x14ac:dyDescent="0.2">
      <c r="C280" s="252">
        <v>45450</v>
      </c>
      <c r="D280" s="248" t="s">
        <v>40</v>
      </c>
      <c r="E280" s="263">
        <f t="shared" si="8"/>
        <v>2024</v>
      </c>
      <c r="F280" s="266" t="s">
        <v>274</v>
      </c>
      <c r="G280" s="265" t="s">
        <v>88</v>
      </c>
      <c r="H280" s="369">
        <v>5000</v>
      </c>
      <c r="I280" s="369">
        <f>IF(Table1[[#This Row],[TYPE]]="Income",Table1[[#This Row],[AMOUNT (₹)]],-Table1[[#This Row],[AMOUNT (₹)]])</f>
        <v>-5000</v>
      </c>
      <c r="J280" s="265"/>
      <c r="K280" s="348"/>
      <c r="L280" s="265">
        <f t="shared" si="9"/>
        <v>2024</v>
      </c>
      <c r="M280" s="259">
        <f ca="1">IF(L280="","",COUNTIF($L$9:INDIRECT("K"&amp;ROW()),L280))</f>
        <v>23</v>
      </c>
    </row>
    <row r="281" spans="3:13" ht="18" hidden="1" customHeight="1" outlineLevel="1" x14ac:dyDescent="0.2">
      <c r="C281" s="252">
        <v>45453</v>
      </c>
      <c r="D281" s="248" t="s">
        <v>40</v>
      </c>
      <c r="E281" s="263">
        <f t="shared" si="8"/>
        <v>2024</v>
      </c>
      <c r="F281" s="266" t="s">
        <v>30</v>
      </c>
      <c r="G281" s="265" t="s">
        <v>98</v>
      </c>
      <c r="H281" s="369">
        <v>1376</v>
      </c>
      <c r="I281" s="369">
        <f>IF(Table1[[#This Row],[TYPE]]="Income",Table1[[#This Row],[AMOUNT (₹)]],-Table1[[#This Row],[AMOUNT (₹)]])</f>
        <v>-1376</v>
      </c>
      <c r="J281" s="265"/>
      <c r="K281" s="348"/>
      <c r="L281" s="265">
        <f t="shared" si="9"/>
        <v>2024</v>
      </c>
      <c r="M281" s="259">
        <f ca="1">IF(L281="","",COUNTIF($L$9:INDIRECT("K"&amp;ROW()),L281))</f>
        <v>24</v>
      </c>
    </row>
    <row r="282" spans="3:13" ht="18" hidden="1" customHeight="1" outlineLevel="1" x14ac:dyDescent="0.2">
      <c r="C282" s="252">
        <v>45457</v>
      </c>
      <c r="D282" s="248" t="s">
        <v>458</v>
      </c>
      <c r="E282" s="263">
        <f t="shared" si="8"/>
        <v>2024</v>
      </c>
      <c r="F282" s="266" t="s">
        <v>274</v>
      </c>
      <c r="G282" s="265" t="s">
        <v>76</v>
      </c>
      <c r="H282" s="369">
        <v>2521.31</v>
      </c>
      <c r="I282" s="369">
        <f>IF(Table1[[#This Row],[TYPE]]="Income",Table1[[#This Row],[AMOUNT (₹)]],-Table1[[#This Row],[AMOUNT (₹)]])</f>
        <v>-2521.31</v>
      </c>
      <c r="J282" s="265"/>
      <c r="K282" s="348"/>
      <c r="L282" s="265">
        <f t="shared" si="9"/>
        <v>2024</v>
      </c>
      <c r="M282" s="259">
        <f ca="1">IF(L282="","",COUNTIF($L$9:INDIRECT("K"&amp;ROW()),L282))</f>
        <v>25</v>
      </c>
    </row>
    <row r="283" spans="3:13" ht="18" hidden="1" customHeight="1" outlineLevel="1" x14ac:dyDescent="0.2">
      <c r="C283" s="252">
        <v>45458</v>
      </c>
      <c r="D283" s="248" t="s">
        <v>459</v>
      </c>
      <c r="E283" s="263">
        <f t="shared" si="8"/>
        <v>2024</v>
      </c>
      <c r="F283" s="266" t="s">
        <v>274</v>
      </c>
      <c r="G283" s="265" t="s">
        <v>92</v>
      </c>
      <c r="H283" s="369">
        <v>1000</v>
      </c>
      <c r="I283" s="369">
        <f>IF(Table1[[#This Row],[TYPE]]="Income",Table1[[#This Row],[AMOUNT (₹)]],-Table1[[#This Row],[AMOUNT (₹)]])</f>
        <v>-1000</v>
      </c>
      <c r="J283" s="265"/>
      <c r="K283" s="348"/>
      <c r="L283" s="265">
        <f t="shared" si="9"/>
        <v>2024</v>
      </c>
      <c r="M283" s="259">
        <f ca="1">IF(L283="","",COUNTIF($L$9:INDIRECT("K"&amp;ROW()),L283))</f>
        <v>26</v>
      </c>
    </row>
    <row r="284" spans="3:13" ht="18" hidden="1" customHeight="1" outlineLevel="1" x14ac:dyDescent="0.2">
      <c r="C284" s="252">
        <v>45462</v>
      </c>
      <c r="D284" s="248" t="s">
        <v>460</v>
      </c>
      <c r="E284" s="263">
        <f t="shared" si="8"/>
        <v>2024</v>
      </c>
      <c r="F284" s="266" t="s">
        <v>274</v>
      </c>
      <c r="G284" s="265" t="s">
        <v>84</v>
      </c>
      <c r="H284" s="369">
        <v>3500</v>
      </c>
      <c r="I284" s="369">
        <f>IF(Table1[[#This Row],[TYPE]]="Income",Table1[[#This Row],[AMOUNT (₹)]],-Table1[[#This Row],[AMOUNT (₹)]])</f>
        <v>-3500</v>
      </c>
      <c r="J284" s="265"/>
      <c r="K284" s="348"/>
      <c r="L284" s="265">
        <f t="shared" si="9"/>
        <v>2024</v>
      </c>
      <c r="M284" s="259">
        <f ca="1">IF(L284="","",COUNTIF($L$9:INDIRECT("K"&amp;ROW()),L284))</f>
        <v>27</v>
      </c>
    </row>
    <row r="285" spans="3:13" ht="18" hidden="1" customHeight="1" outlineLevel="1" x14ac:dyDescent="0.2">
      <c r="C285" s="252">
        <v>45464</v>
      </c>
      <c r="D285" s="248" t="s">
        <v>461</v>
      </c>
      <c r="E285" s="263">
        <f t="shared" si="8"/>
        <v>2024</v>
      </c>
      <c r="F285" s="266" t="s">
        <v>274</v>
      </c>
      <c r="G285" s="265" t="s">
        <v>84</v>
      </c>
      <c r="H285" s="369">
        <v>3500</v>
      </c>
      <c r="I285" s="369">
        <f>IF(Table1[[#This Row],[TYPE]]="Income",Table1[[#This Row],[AMOUNT (₹)]],-Table1[[#This Row],[AMOUNT (₹)]])</f>
        <v>-3500</v>
      </c>
      <c r="J285" s="265"/>
      <c r="K285" s="348"/>
      <c r="L285" s="265">
        <f t="shared" si="9"/>
        <v>2024</v>
      </c>
      <c r="M285" s="259">
        <f ca="1">IF(L285="","",COUNTIF($L$9:INDIRECT("K"&amp;ROW()),L285))</f>
        <v>28</v>
      </c>
    </row>
    <row r="286" spans="3:13" ht="18" hidden="1" customHeight="1" outlineLevel="1" x14ac:dyDescent="0.2">
      <c r="C286" s="252">
        <v>45468</v>
      </c>
      <c r="D286" s="248" t="s">
        <v>462</v>
      </c>
      <c r="E286" s="263">
        <f t="shared" si="8"/>
        <v>2024</v>
      </c>
      <c r="F286" s="266" t="s">
        <v>274</v>
      </c>
      <c r="G286" s="265" t="s">
        <v>90</v>
      </c>
      <c r="H286" s="369">
        <v>1239</v>
      </c>
      <c r="I286" s="369">
        <f>IF(Table1[[#This Row],[TYPE]]="Income",Table1[[#This Row],[AMOUNT (₹)]],-Table1[[#This Row],[AMOUNT (₹)]])</f>
        <v>-1239</v>
      </c>
      <c r="J286" s="265"/>
      <c r="K286" s="348"/>
      <c r="L286" s="265">
        <f t="shared" si="9"/>
        <v>2024</v>
      </c>
      <c r="M286" s="259">
        <f ca="1">IF(L286="","",COUNTIF($L$9:INDIRECT("K"&amp;ROW()),L286))</f>
        <v>29</v>
      </c>
    </row>
    <row r="287" spans="3:13" ht="18" hidden="1" customHeight="1" outlineLevel="1" x14ac:dyDescent="0.2">
      <c r="C287" s="252">
        <v>45469</v>
      </c>
      <c r="D287" s="248" t="s">
        <v>379</v>
      </c>
      <c r="E287" s="263">
        <f t="shared" si="8"/>
        <v>2024</v>
      </c>
      <c r="F287" s="266" t="s">
        <v>274</v>
      </c>
      <c r="G287" s="265" t="s">
        <v>80</v>
      </c>
      <c r="H287" s="369">
        <v>7502.39</v>
      </c>
      <c r="I287" s="369">
        <f>IF(Table1[[#This Row],[TYPE]]="Income",Table1[[#This Row],[AMOUNT (₹)]],-Table1[[#This Row],[AMOUNT (₹)]])</f>
        <v>-7502.39</v>
      </c>
      <c r="J287" s="265"/>
      <c r="K287" s="348"/>
      <c r="L287" s="265">
        <f t="shared" si="9"/>
        <v>2024</v>
      </c>
      <c r="M287" s="259">
        <f ca="1">IF(L287="","",COUNTIF($L$9:INDIRECT("K"&amp;ROW()),L287))</f>
        <v>30</v>
      </c>
    </row>
    <row r="288" spans="3:13" ht="18" hidden="1" customHeight="1" outlineLevel="1" x14ac:dyDescent="0.2">
      <c r="C288" s="252">
        <v>45473</v>
      </c>
      <c r="D288" s="248" t="s">
        <v>463</v>
      </c>
      <c r="E288" s="263">
        <f t="shared" si="8"/>
        <v>2024</v>
      </c>
      <c r="F288" s="266" t="s">
        <v>274</v>
      </c>
      <c r="G288" s="265" t="s">
        <v>82</v>
      </c>
      <c r="H288" s="369">
        <v>13000</v>
      </c>
      <c r="I288" s="369">
        <f>IF(Table1[[#This Row],[TYPE]]="Income",Table1[[#This Row],[AMOUNT (₹)]],-Table1[[#This Row],[AMOUNT (₹)]])</f>
        <v>-13000</v>
      </c>
      <c r="J288" s="265"/>
      <c r="K288" s="348"/>
      <c r="L288" s="265">
        <f t="shared" si="9"/>
        <v>2024</v>
      </c>
      <c r="M288" s="259">
        <f ca="1">IF(L288="","",COUNTIF($L$9:INDIRECT("K"&amp;ROW()),L288))</f>
        <v>31</v>
      </c>
    </row>
    <row r="289" spans="3:13" ht="18" hidden="1" customHeight="1" outlineLevel="1" x14ac:dyDescent="0.2">
      <c r="C289" s="252">
        <v>45473</v>
      </c>
      <c r="D289" s="248" t="s">
        <v>330</v>
      </c>
      <c r="E289" s="263">
        <f t="shared" si="8"/>
        <v>2024</v>
      </c>
      <c r="F289" s="266" t="s">
        <v>277</v>
      </c>
      <c r="G289" s="265" t="s">
        <v>111</v>
      </c>
      <c r="H289" s="369">
        <v>46000</v>
      </c>
      <c r="I289" s="369">
        <f>IF(Table1[[#This Row],[TYPE]]="Income",Table1[[#This Row],[AMOUNT (₹)]],-Table1[[#This Row],[AMOUNT (₹)]])</f>
        <v>46000</v>
      </c>
      <c r="J289" s="265"/>
      <c r="K289" s="348"/>
      <c r="L289" s="265">
        <f t="shared" si="9"/>
        <v>2024</v>
      </c>
      <c r="M289" s="259">
        <f ca="1">IF(L289="","",COUNTIF($L$9:INDIRECT("K"&amp;ROW()),L289))</f>
        <v>32</v>
      </c>
    </row>
    <row r="290" spans="3:13" ht="18" hidden="1" customHeight="1" outlineLevel="1" x14ac:dyDescent="0.2">
      <c r="C290" s="252">
        <v>45474</v>
      </c>
      <c r="D290" s="272">
        <v>45474</v>
      </c>
      <c r="E290" s="263">
        <f t="shared" si="8"/>
        <v>2024</v>
      </c>
      <c r="F290" s="266" t="s">
        <v>274</v>
      </c>
      <c r="G290" s="265" t="s">
        <v>88</v>
      </c>
      <c r="H290" s="369">
        <v>4000</v>
      </c>
      <c r="I290" s="369">
        <f>IF(Table1[[#This Row],[TYPE]]="Income",Table1[[#This Row],[AMOUNT (₹)]],-Table1[[#This Row],[AMOUNT (₹)]])</f>
        <v>-4000</v>
      </c>
      <c r="J290" s="265"/>
      <c r="K290" s="348"/>
      <c r="L290" s="265">
        <f t="shared" si="9"/>
        <v>2024</v>
      </c>
      <c r="M290" s="259">
        <f ca="1">IF(L290="","",COUNTIF($L$9:INDIRECT("K"&amp;ROW()),L290))</f>
        <v>33</v>
      </c>
    </row>
    <row r="291" spans="3:13" ht="18" hidden="1" customHeight="1" outlineLevel="1" x14ac:dyDescent="0.2">
      <c r="C291" s="252">
        <v>45474</v>
      </c>
      <c r="D291" s="248" t="s">
        <v>386</v>
      </c>
      <c r="E291" s="263">
        <f t="shared" si="8"/>
        <v>2024</v>
      </c>
      <c r="F291" s="266" t="s">
        <v>274</v>
      </c>
      <c r="G291" s="265" t="s">
        <v>92</v>
      </c>
      <c r="H291" s="369">
        <v>1327</v>
      </c>
      <c r="I291" s="369">
        <f>IF(Table1[[#This Row],[TYPE]]="Income",Table1[[#This Row],[AMOUNT (₹)]],-Table1[[#This Row],[AMOUNT (₹)]])</f>
        <v>-1327</v>
      </c>
      <c r="J291" s="265"/>
      <c r="K291" s="348"/>
      <c r="L291" s="265">
        <f t="shared" si="9"/>
        <v>2024</v>
      </c>
      <c r="M291" s="259">
        <f ca="1">IF(L291="","",COUNTIF($L$9:INDIRECT("K"&amp;ROW()),L291))</f>
        <v>34</v>
      </c>
    </row>
    <row r="292" spans="3:13" ht="18" hidden="1" customHeight="1" outlineLevel="1" x14ac:dyDescent="0.2">
      <c r="C292" s="252">
        <v>45477</v>
      </c>
      <c r="D292" s="248" t="s">
        <v>464</v>
      </c>
      <c r="E292" s="263">
        <f t="shared" si="8"/>
        <v>2024</v>
      </c>
      <c r="F292" s="266" t="s">
        <v>274</v>
      </c>
      <c r="G292" s="265" t="s">
        <v>76</v>
      </c>
      <c r="H292" s="369">
        <v>9443</v>
      </c>
      <c r="I292" s="369">
        <f>IF(Table1[[#This Row],[TYPE]]="Income",Table1[[#This Row],[AMOUNT (₹)]],-Table1[[#This Row],[AMOUNT (₹)]])</f>
        <v>-9443</v>
      </c>
      <c r="J292" s="265"/>
      <c r="K292" s="348"/>
      <c r="L292" s="265">
        <f t="shared" si="9"/>
        <v>2024</v>
      </c>
      <c r="M292" s="259">
        <f ca="1">IF(L292="","",COUNTIF($L$9:INDIRECT("K"&amp;ROW()),L292))</f>
        <v>35</v>
      </c>
    </row>
    <row r="293" spans="3:13" ht="18" hidden="1" customHeight="1" outlineLevel="1" x14ac:dyDescent="0.2">
      <c r="C293" s="252">
        <v>45477</v>
      </c>
      <c r="D293" s="248" t="s">
        <v>465</v>
      </c>
      <c r="E293" s="263">
        <f t="shared" si="8"/>
        <v>2024</v>
      </c>
      <c r="F293" s="266" t="s">
        <v>274</v>
      </c>
      <c r="G293" s="265" t="s">
        <v>84</v>
      </c>
      <c r="H293" s="369">
        <v>17000</v>
      </c>
      <c r="I293" s="369">
        <f>IF(Table1[[#This Row],[TYPE]]="Income",Table1[[#This Row],[AMOUNT (₹)]],-Table1[[#This Row],[AMOUNT (₹)]])</f>
        <v>-17000</v>
      </c>
      <c r="J293" s="265"/>
      <c r="K293" s="348"/>
      <c r="L293" s="265">
        <f t="shared" si="9"/>
        <v>2024</v>
      </c>
      <c r="M293" s="259">
        <f ca="1">IF(L293="","",COUNTIF($L$9:INDIRECT("K"&amp;ROW()),L293))</f>
        <v>36</v>
      </c>
    </row>
    <row r="294" spans="3:13" ht="18" hidden="1" customHeight="1" outlineLevel="1" x14ac:dyDescent="0.2">
      <c r="C294" s="252">
        <v>45483</v>
      </c>
      <c r="D294" s="248" t="s">
        <v>41</v>
      </c>
      <c r="E294" s="263">
        <f t="shared" si="8"/>
        <v>2024</v>
      </c>
      <c r="F294" s="266" t="s">
        <v>30</v>
      </c>
      <c r="G294" s="265" t="s">
        <v>98</v>
      </c>
      <c r="H294" s="369">
        <v>1376</v>
      </c>
      <c r="I294" s="369">
        <f>IF(Table1[[#This Row],[TYPE]]="Income",Table1[[#This Row],[AMOUNT (₹)]],-Table1[[#This Row],[AMOUNT (₹)]])</f>
        <v>-1376</v>
      </c>
      <c r="J294" s="265"/>
      <c r="K294" s="348"/>
      <c r="L294" s="265">
        <f t="shared" si="9"/>
        <v>2024</v>
      </c>
      <c r="M294" s="259">
        <f ca="1">IF(L294="","",COUNTIF($L$9:INDIRECT("K"&amp;ROW()),L294))</f>
        <v>37</v>
      </c>
    </row>
    <row r="295" spans="3:13" ht="18" hidden="1" customHeight="1" outlineLevel="1" x14ac:dyDescent="0.2">
      <c r="C295" s="252">
        <v>45490</v>
      </c>
      <c r="D295" s="248" t="s">
        <v>466</v>
      </c>
      <c r="E295" s="263">
        <f t="shared" si="8"/>
        <v>2024</v>
      </c>
      <c r="F295" s="266" t="s">
        <v>274</v>
      </c>
      <c r="G295" s="265" t="s">
        <v>84</v>
      </c>
      <c r="H295" s="369">
        <v>1500</v>
      </c>
      <c r="I295" s="369">
        <f>IF(Table1[[#This Row],[TYPE]]="Income",Table1[[#This Row],[AMOUNT (₹)]],-Table1[[#This Row],[AMOUNT (₹)]])</f>
        <v>-1500</v>
      </c>
      <c r="J295" s="265"/>
      <c r="K295" s="348"/>
      <c r="L295" s="265">
        <f t="shared" si="9"/>
        <v>2024</v>
      </c>
      <c r="M295" s="259">
        <f ca="1">IF(L295="","",COUNTIF($L$9:INDIRECT("K"&amp;ROW()),L295))</f>
        <v>38</v>
      </c>
    </row>
    <row r="296" spans="3:13" ht="18" hidden="1" customHeight="1" outlineLevel="1" x14ac:dyDescent="0.2">
      <c r="C296" s="252">
        <v>45495</v>
      </c>
      <c r="D296" s="248" t="s">
        <v>467</v>
      </c>
      <c r="E296" s="263">
        <f t="shared" si="8"/>
        <v>2024</v>
      </c>
      <c r="F296" s="266" t="s">
        <v>274</v>
      </c>
      <c r="G296" s="265" t="s">
        <v>88</v>
      </c>
      <c r="H296" s="369">
        <v>1398.6</v>
      </c>
      <c r="I296" s="369">
        <f>IF(Table1[[#This Row],[TYPE]]="Income",Table1[[#This Row],[AMOUNT (₹)]],-Table1[[#This Row],[AMOUNT (₹)]])</f>
        <v>-1398.6</v>
      </c>
      <c r="J296" s="265"/>
      <c r="K296" s="348"/>
      <c r="L296" s="265">
        <f t="shared" si="9"/>
        <v>2024</v>
      </c>
      <c r="M296" s="259">
        <f ca="1">IF(L296="","",COUNTIF($L$9:INDIRECT("K"&amp;ROW()),L296))</f>
        <v>39</v>
      </c>
    </row>
    <row r="297" spans="3:13" ht="18" hidden="1" customHeight="1" outlineLevel="1" x14ac:dyDescent="0.2">
      <c r="C297" s="252">
        <v>45499</v>
      </c>
      <c r="D297" s="248" t="s">
        <v>382</v>
      </c>
      <c r="E297" s="263">
        <f t="shared" si="8"/>
        <v>2024</v>
      </c>
      <c r="F297" s="266" t="s">
        <v>274</v>
      </c>
      <c r="G297" s="265" t="s">
        <v>80</v>
      </c>
      <c r="H297" s="369">
        <v>7486.97</v>
      </c>
      <c r="I297" s="369">
        <f>IF(Table1[[#This Row],[TYPE]]="Income",Table1[[#This Row],[AMOUNT (₹)]],-Table1[[#This Row],[AMOUNT (₹)]])</f>
        <v>-7486.97</v>
      </c>
      <c r="J297" s="265"/>
      <c r="K297" s="348"/>
      <c r="L297" s="265">
        <f t="shared" si="9"/>
        <v>2024</v>
      </c>
      <c r="M297" s="259">
        <f ca="1">IF(L297="","",COUNTIF($L$9:INDIRECT("K"&amp;ROW()),L297))</f>
        <v>40</v>
      </c>
    </row>
    <row r="298" spans="3:13" ht="18" hidden="1" customHeight="1" outlineLevel="1" x14ac:dyDescent="0.2">
      <c r="C298" s="252">
        <v>45502</v>
      </c>
      <c r="D298" s="248" t="s">
        <v>468</v>
      </c>
      <c r="E298" s="263">
        <f t="shared" si="8"/>
        <v>2024</v>
      </c>
      <c r="F298" s="266" t="s">
        <v>274</v>
      </c>
      <c r="G298" s="265" t="s">
        <v>76</v>
      </c>
      <c r="H298" s="369">
        <v>2350</v>
      </c>
      <c r="I298" s="369">
        <f>IF(Table1[[#This Row],[TYPE]]="Income",Table1[[#This Row],[AMOUNT (₹)]],-Table1[[#This Row],[AMOUNT (₹)]])</f>
        <v>-2350</v>
      </c>
      <c r="J298" s="265"/>
      <c r="K298" s="348"/>
      <c r="L298" s="265">
        <f t="shared" si="9"/>
        <v>2024</v>
      </c>
      <c r="M298" s="259">
        <f ca="1">IF(L298="","",COUNTIF($L$9:INDIRECT("K"&amp;ROW()),L298))</f>
        <v>41</v>
      </c>
    </row>
    <row r="299" spans="3:13" ht="18" hidden="1" customHeight="1" outlineLevel="1" x14ac:dyDescent="0.2">
      <c r="C299" s="252">
        <v>45504</v>
      </c>
      <c r="D299" s="248" t="s">
        <v>334</v>
      </c>
      <c r="E299" s="263">
        <f t="shared" si="8"/>
        <v>2024</v>
      </c>
      <c r="F299" s="266" t="s">
        <v>277</v>
      </c>
      <c r="G299" s="265" t="s">
        <v>111</v>
      </c>
      <c r="H299" s="369">
        <v>46000</v>
      </c>
      <c r="I299" s="369">
        <f>IF(Table1[[#This Row],[TYPE]]="Income",Table1[[#This Row],[AMOUNT (₹)]],-Table1[[#This Row],[AMOUNT (₹)]])</f>
        <v>46000</v>
      </c>
      <c r="J299" s="265"/>
      <c r="K299" s="348"/>
      <c r="L299" s="265">
        <f t="shared" si="9"/>
        <v>2024</v>
      </c>
      <c r="M299" s="259">
        <f ca="1">IF(L299="","",COUNTIF($L$9:INDIRECT("K"&amp;ROW()),L299))</f>
        <v>42</v>
      </c>
    </row>
    <row r="300" spans="3:13" ht="18" hidden="1" customHeight="1" outlineLevel="1" x14ac:dyDescent="0.2">
      <c r="C300" s="252">
        <v>45507</v>
      </c>
      <c r="D300" s="248" t="s">
        <v>469</v>
      </c>
      <c r="E300" s="263">
        <f t="shared" si="8"/>
        <v>2024</v>
      </c>
      <c r="F300" s="266" t="s">
        <v>274</v>
      </c>
      <c r="G300" s="265" t="s">
        <v>76</v>
      </c>
      <c r="H300" s="369">
        <v>9700</v>
      </c>
      <c r="I300" s="369">
        <f>IF(Table1[[#This Row],[TYPE]]="Income",Table1[[#This Row],[AMOUNT (₹)]],-Table1[[#This Row],[AMOUNT (₹)]])</f>
        <v>-9700</v>
      </c>
      <c r="J300" s="265"/>
      <c r="K300" s="348"/>
      <c r="L300" s="265">
        <f t="shared" si="9"/>
        <v>2024</v>
      </c>
      <c r="M300" s="259">
        <f ca="1">IF(L300="","",COUNTIF($L$9:INDIRECT("K"&amp;ROW()),L300))</f>
        <v>43</v>
      </c>
    </row>
    <row r="301" spans="3:13" ht="18" hidden="1" customHeight="1" outlineLevel="1" x14ac:dyDescent="0.2">
      <c r="C301" s="252">
        <v>45508</v>
      </c>
      <c r="D301" s="248" t="s">
        <v>470</v>
      </c>
      <c r="E301" s="263">
        <f t="shared" si="8"/>
        <v>2024</v>
      </c>
      <c r="F301" s="266" t="s">
        <v>274</v>
      </c>
      <c r="G301" s="265" t="s">
        <v>82</v>
      </c>
      <c r="H301" s="369">
        <v>4571</v>
      </c>
      <c r="I301" s="369">
        <f>IF(Table1[[#This Row],[TYPE]]="Income",Table1[[#This Row],[AMOUNT (₹)]],-Table1[[#This Row],[AMOUNT (₹)]])</f>
        <v>-4571</v>
      </c>
      <c r="J301" s="265"/>
      <c r="K301" s="348"/>
      <c r="L301" s="265">
        <f t="shared" si="9"/>
        <v>2024</v>
      </c>
      <c r="M301" s="259">
        <f ca="1">IF(L301="","",COUNTIF($L$9:INDIRECT("K"&amp;ROW()),L301))</f>
        <v>44</v>
      </c>
    </row>
    <row r="302" spans="3:13" ht="18" hidden="1" customHeight="1" outlineLevel="1" x14ac:dyDescent="0.2">
      <c r="C302" s="252">
        <v>45508</v>
      </c>
      <c r="D302" s="248" t="s">
        <v>471</v>
      </c>
      <c r="E302" s="263">
        <f t="shared" si="8"/>
        <v>2024</v>
      </c>
      <c r="F302" s="266" t="s">
        <v>274</v>
      </c>
      <c r="G302" s="265" t="s">
        <v>82</v>
      </c>
      <c r="H302" s="369">
        <v>645</v>
      </c>
      <c r="I302" s="369">
        <f>IF(Table1[[#This Row],[TYPE]]="Income",Table1[[#This Row],[AMOUNT (₹)]],-Table1[[#This Row],[AMOUNT (₹)]])</f>
        <v>-645</v>
      </c>
      <c r="J302" s="265"/>
      <c r="K302" s="348"/>
      <c r="L302" s="265">
        <f t="shared" si="9"/>
        <v>2024</v>
      </c>
      <c r="M302" s="259">
        <f ca="1">IF(L302="","",COUNTIF($L$9:INDIRECT("K"&amp;ROW()),L302))</f>
        <v>45</v>
      </c>
    </row>
    <row r="303" spans="3:13" ht="18" hidden="1" customHeight="1" outlineLevel="1" x14ac:dyDescent="0.2">
      <c r="C303" s="252">
        <v>45508</v>
      </c>
      <c r="D303" s="248" t="s">
        <v>472</v>
      </c>
      <c r="E303" s="263">
        <f t="shared" si="8"/>
        <v>2024</v>
      </c>
      <c r="F303" s="266" t="s">
        <v>274</v>
      </c>
      <c r="G303" s="265" t="s">
        <v>92</v>
      </c>
      <c r="H303" s="369">
        <v>1169</v>
      </c>
      <c r="I303" s="369">
        <f>IF(Table1[[#This Row],[TYPE]]="Income",Table1[[#This Row],[AMOUNT (₹)]],-Table1[[#This Row],[AMOUNT (₹)]])</f>
        <v>-1169</v>
      </c>
      <c r="J303" s="265"/>
      <c r="K303" s="348"/>
      <c r="L303" s="265">
        <f t="shared" si="9"/>
        <v>2024</v>
      </c>
      <c r="M303" s="259">
        <f ca="1">IF(L303="","",COUNTIF($L$9:INDIRECT("K"&amp;ROW()),L303))</f>
        <v>46</v>
      </c>
    </row>
    <row r="304" spans="3:13" ht="18" hidden="1" customHeight="1" outlineLevel="1" x14ac:dyDescent="0.2">
      <c r="C304" s="252">
        <v>45509</v>
      </c>
      <c r="D304" s="248" t="s">
        <v>473</v>
      </c>
      <c r="E304" s="263">
        <f t="shared" si="8"/>
        <v>2024</v>
      </c>
      <c r="F304" s="266" t="s">
        <v>274</v>
      </c>
      <c r="G304" s="265" t="s">
        <v>88</v>
      </c>
      <c r="H304" s="369">
        <v>3350</v>
      </c>
      <c r="I304" s="369">
        <f>IF(Table1[[#This Row],[TYPE]]="Income",Table1[[#This Row],[AMOUNT (₹)]],-Table1[[#This Row],[AMOUNT (₹)]])</f>
        <v>-3350</v>
      </c>
      <c r="J304" s="265"/>
      <c r="K304" s="348"/>
      <c r="L304" s="265">
        <f t="shared" si="9"/>
        <v>2024</v>
      </c>
      <c r="M304" s="259">
        <f ca="1">IF(L304="","",COUNTIF($L$9:INDIRECT("K"&amp;ROW()),L304))</f>
        <v>47</v>
      </c>
    </row>
    <row r="305" spans="3:13" ht="18" hidden="1" customHeight="1" outlineLevel="1" x14ac:dyDescent="0.2">
      <c r="C305" s="252">
        <v>45514</v>
      </c>
      <c r="D305" s="248" t="s">
        <v>269</v>
      </c>
      <c r="E305" s="263">
        <f t="shared" si="8"/>
        <v>2024</v>
      </c>
      <c r="F305" s="266" t="s">
        <v>30</v>
      </c>
      <c r="G305" s="265" t="s">
        <v>98</v>
      </c>
      <c r="H305" s="369">
        <v>1376</v>
      </c>
      <c r="I305" s="369">
        <f>IF(Table1[[#This Row],[TYPE]]="Income",Table1[[#This Row],[AMOUNT (₹)]],-Table1[[#This Row],[AMOUNT (₹)]])</f>
        <v>-1376</v>
      </c>
      <c r="J305" s="265"/>
      <c r="K305" s="348"/>
      <c r="L305" s="265">
        <f t="shared" si="9"/>
        <v>2024</v>
      </c>
      <c r="M305" s="259">
        <f ca="1">IF(L305="","",COUNTIF($L$9:INDIRECT("K"&amp;ROW()),L305))</f>
        <v>48</v>
      </c>
    </row>
    <row r="306" spans="3:13" ht="18" hidden="1" customHeight="1" outlineLevel="1" x14ac:dyDescent="0.2">
      <c r="C306" s="252">
        <v>45515</v>
      </c>
      <c r="D306" s="248" t="s">
        <v>474</v>
      </c>
      <c r="E306" s="263">
        <f t="shared" si="8"/>
        <v>2024</v>
      </c>
      <c r="F306" s="266" t="s">
        <v>274</v>
      </c>
      <c r="G306" s="265" t="s">
        <v>84</v>
      </c>
      <c r="H306" s="369">
        <v>8500</v>
      </c>
      <c r="I306" s="369">
        <f>IF(Table1[[#This Row],[TYPE]]="Income",Table1[[#This Row],[AMOUNT (₹)]],-Table1[[#This Row],[AMOUNT (₹)]])</f>
        <v>-8500</v>
      </c>
      <c r="J306" s="265"/>
      <c r="K306" s="348"/>
      <c r="L306" s="265">
        <f t="shared" si="9"/>
        <v>2024</v>
      </c>
      <c r="M306" s="259">
        <f ca="1">IF(L306="","",COUNTIF($L$9:INDIRECT("K"&amp;ROW()),L306))</f>
        <v>49</v>
      </c>
    </row>
    <row r="307" spans="3:13" ht="18" hidden="1" customHeight="1" outlineLevel="1" x14ac:dyDescent="0.2">
      <c r="C307" s="252">
        <v>45515</v>
      </c>
      <c r="D307" s="248" t="s">
        <v>475</v>
      </c>
      <c r="E307" s="263">
        <f t="shared" si="8"/>
        <v>2024</v>
      </c>
      <c r="F307" s="266" t="s">
        <v>274</v>
      </c>
      <c r="G307" s="265" t="s">
        <v>84</v>
      </c>
      <c r="H307" s="369">
        <v>2500</v>
      </c>
      <c r="I307" s="369">
        <f>IF(Table1[[#This Row],[TYPE]]="Income",Table1[[#This Row],[AMOUNT (₹)]],-Table1[[#This Row],[AMOUNT (₹)]])</f>
        <v>-2500</v>
      </c>
      <c r="J307" s="265"/>
      <c r="K307" s="348"/>
      <c r="L307" s="265">
        <f t="shared" si="9"/>
        <v>2024</v>
      </c>
      <c r="M307" s="259">
        <f ca="1">IF(L307="","",COUNTIF($L$9:INDIRECT("K"&amp;ROW()),L307))</f>
        <v>50</v>
      </c>
    </row>
    <row r="308" spans="3:13" ht="18" hidden="1" customHeight="1" outlineLevel="1" x14ac:dyDescent="0.2">
      <c r="C308" s="252">
        <v>45515</v>
      </c>
      <c r="D308" s="248" t="s">
        <v>476</v>
      </c>
      <c r="E308" s="263">
        <f t="shared" si="8"/>
        <v>2024</v>
      </c>
      <c r="F308" s="266" t="s">
        <v>274</v>
      </c>
      <c r="G308" s="265" t="s">
        <v>84</v>
      </c>
      <c r="H308" s="369">
        <v>2500</v>
      </c>
      <c r="I308" s="369">
        <f>IF(Table1[[#This Row],[TYPE]]="Income",Table1[[#This Row],[AMOUNT (₹)]],-Table1[[#This Row],[AMOUNT (₹)]])</f>
        <v>-2500</v>
      </c>
      <c r="J308" s="265"/>
      <c r="K308" s="348"/>
      <c r="L308" s="265">
        <f t="shared" si="9"/>
        <v>2024</v>
      </c>
      <c r="M308" s="259">
        <f ca="1">IF(L308="","",COUNTIF($L$9:INDIRECT("K"&amp;ROW()),L308))</f>
        <v>51</v>
      </c>
    </row>
    <row r="309" spans="3:13" ht="18" hidden="1" customHeight="1" outlineLevel="1" x14ac:dyDescent="0.2">
      <c r="C309" s="252">
        <v>45515</v>
      </c>
      <c r="D309" s="248" t="s">
        <v>477</v>
      </c>
      <c r="E309" s="263">
        <f t="shared" si="8"/>
        <v>2024</v>
      </c>
      <c r="F309" s="266" t="s">
        <v>274</v>
      </c>
      <c r="G309" s="265" t="s">
        <v>84</v>
      </c>
      <c r="H309" s="369">
        <v>51500</v>
      </c>
      <c r="I309" s="369">
        <f>IF(Table1[[#This Row],[TYPE]]="Income",Table1[[#This Row],[AMOUNT (₹)]],-Table1[[#This Row],[AMOUNT (₹)]])</f>
        <v>-51500</v>
      </c>
      <c r="J309" s="265"/>
      <c r="K309" s="348"/>
      <c r="L309" s="265">
        <f t="shared" si="9"/>
        <v>2024</v>
      </c>
      <c r="M309" s="259">
        <f ca="1">IF(L309="","",COUNTIF($L$9:INDIRECT("K"&amp;ROW()),L309))</f>
        <v>52</v>
      </c>
    </row>
    <row r="310" spans="3:13" ht="18" hidden="1" customHeight="1" outlineLevel="1" x14ac:dyDescent="0.2">
      <c r="C310" s="252">
        <v>45524</v>
      </c>
      <c r="D310" s="248" t="s">
        <v>478</v>
      </c>
      <c r="E310" s="263">
        <f t="shared" si="8"/>
        <v>2024</v>
      </c>
      <c r="F310" s="266" t="s">
        <v>274</v>
      </c>
      <c r="G310" s="265" t="s">
        <v>76</v>
      </c>
      <c r="H310" s="369">
        <v>800</v>
      </c>
      <c r="I310" s="369">
        <f>IF(Table1[[#This Row],[TYPE]]="Income",Table1[[#This Row],[AMOUNT (₹)]],-Table1[[#This Row],[AMOUNT (₹)]])</f>
        <v>-800</v>
      </c>
      <c r="J310" s="265"/>
      <c r="K310" s="348"/>
      <c r="L310" s="265">
        <f t="shared" si="9"/>
        <v>2024</v>
      </c>
      <c r="M310" s="259">
        <f ca="1">IF(L310="","",COUNTIF($L$9:INDIRECT("K"&amp;ROW()),L310))</f>
        <v>53</v>
      </c>
    </row>
    <row r="311" spans="3:13" ht="18" hidden="1" customHeight="1" outlineLevel="1" x14ac:dyDescent="0.2">
      <c r="C311" s="252">
        <v>45530</v>
      </c>
      <c r="D311" s="248" t="s">
        <v>389</v>
      </c>
      <c r="E311" s="263">
        <f t="shared" si="8"/>
        <v>2024</v>
      </c>
      <c r="F311" s="266" t="s">
        <v>274</v>
      </c>
      <c r="G311" s="265" t="s">
        <v>80</v>
      </c>
      <c r="H311" s="369">
        <v>7471.34</v>
      </c>
      <c r="I311" s="369">
        <f>IF(Table1[[#This Row],[TYPE]]="Income",Table1[[#This Row],[AMOUNT (₹)]],-Table1[[#This Row],[AMOUNT (₹)]])</f>
        <v>-7471.34</v>
      </c>
      <c r="J311" s="265"/>
      <c r="K311" s="348"/>
      <c r="L311" s="265">
        <f t="shared" si="9"/>
        <v>2024</v>
      </c>
      <c r="M311" s="259">
        <f ca="1">IF(L311="","",COUNTIF($L$9:INDIRECT("K"&amp;ROW()),L311))</f>
        <v>54</v>
      </c>
    </row>
    <row r="312" spans="3:13" ht="18" hidden="1" customHeight="1" outlineLevel="1" x14ac:dyDescent="0.2">
      <c r="C312" s="252">
        <v>45534</v>
      </c>
      <c r="D312" s="248" t="s">
        <v>338</v>
      </c>
      <c r="E312" s="263">
        <f t="shared" si="8"/>
        <v>2024</v>
      </c>
      <c r="F312" s="266" t="s">
        <v>277</v>
      </c>
      <c r="G312" s="265" t="s">
        <v>111</v>
      </c>
      <c r="H312" s="369">
        <v>48000</v>
      </c>
      <c r="I312" s="369">
        <f>IF(Table1[[#This Row],[TYPE]]="Income",Table1[[#This Row],[AMOUNT (₹)]],-Table1[[#This Row],[AMOUNT (₹)]])</f>
        <v>48000</v>
      </c>
      <c r="J312" s="265"/>
      <c r="K312" s="348"/>
      <c r="L312" s="265">
        <f t="shared" si="9"/>
        <v>2024</v>
      </c>
      <c r="M312" s="259">
        <f ca="1">IF(L312="","",COUNTIF($L$9:INDIRECT("K"&amp;ROW()),L312))</f>
        <v>55</v>
      </c>
    </row>
    <row r="313" spans="3:13" ht="18" hidden="1" customHeight="1" outlineLevel="1" x14ac:dyDescent="0.2">
      <c r="C313" s="252">
        <v>45537</v>
      </c>
      <c r="D313" s="248" t="s">
        <v>452</v>
      </c>
      <c r="E313" s="263">
        <f t="shared" si="8"/>
        <v>2024</v>
      </c>
      <c r="F313" s="266" t="s">
        <v>277</v>
      </c>
      <c r="G313" s="265" t="s">
        <v>84</v>
      </c>
      <c r="H313" s="369">
        <v>54000</v>
      </c>
      <c r="I313" s="369">
        <f>IF(Table1[[#This Row],[TYPE]]="Income",Table1[[#This Row],[AMOUNT (₹)]],-Table1[[#This Row],[AMOUNT (₹)]])</f>
        <v>54000</v>
      </c>
      <c r="J313" s="265"/>
      <c r="K313" s="348"/>
      <c r="L313" s="265">
        <f t="shared" si="9"/>
        <v>2024</v>
      </c>
      <c r="M313" s="259">
        <f ca="1">IF(L313="","",COUNTIF($L$9:INDIRECT("K"&amp;ROW()),L313))</f>
        <v>56</v>
      </c>
    </row>
    <row r="314" spans="3:13" ht="18" hidden="1" customHeight="1" outlineLevel="1" x14ac:dyDescent="0.2">
      <c r="C314" s="252">
        <v>45539</v>
      </c>
      <c r="D314" s="248" t="s">
        <v>479</v>
      </c>
      <c r="E314" s="263">
        <f t="shared" si="8"/>
        <v>2024</v>
      </c>
      <c r="F314" s="266" t="s">
        <v>274</v>
      </c>
      <c r="G314" s="265" t="s">
        <v>88</v>
      </c>
      <c r="H314" s="369">
        <v>5500</v>
      </c>
      <c r="I314" s="369">
        <f>IF(Table1[[#This Row],[TYPE]]="Income",Table1[[#This Row],[AMOUNT (₹)]],-Table1[[#This Row],[AMOUNT (₹)]])</f>
        <v>-5500</v>
      </c>
      <c r="J314" s="265"/>
      <c r="K314" s="348"/>
      <c r="L314" s="265">
        <f t="shared" si="9"/>
        <v>2024</v>
      </c>
      <c r="M314" s="259">
        <f ca="1">IF(L314="","",COUNTIF($L$9:INDIRECT("K"&amp;ROW()),L314))</f>
        <v>57</v>
      </c>
    </row>
    <row r="315" spans="3:13" ht="18" hidden="1" customHeight="1" outlineLevel="1" x14ac:dyDescent="0.2">
      <c r="C315" s="252">
        <v>45539</v>
      </c>
      <c r="D315" s="248" t="s">
        <v>480</v>
      </c>
      <c r="E315" s="263">
        <f t="shared" si="8"/>
        <v>2024</v>
      </c>
      <c r="F315" s="266" t="s">
        <v>274</v>
      </c>
      <c r="G315" s="265" t="s">
        <v>84</v>
      </c>
      <c r="H315" s="369">
        <v>11000</v>
      </c>
      <c r="I315" s="369">
        <f>IF(Table1[[#This Row],[TYPE]]="Income",Table1[[#This Row],[AMOUNT (₹)]],-Table1[[#This Row],[AMOUNT (₹)]])</f>
        <v>-11000</v>
      </c>
      <c r="J315" s="265"/>
      <c r="K315" s="348"/>
      <c r="L315" s="265">
        <f t="shared" si="9"/>
        <v>2024</v>
      </c>
      <c r="M315" s="259">
        <f ca="1">IF(L315="","",COUNTIF($L$9:INDIRECT("K"&amp;ROW()),L315))</f>
        <v>58</v>
      </c>
    </row>
    <row r="316" spans="3:13" ht="18" hidden="1" customHeight="1" outlineLevel="1" x14ac:dyDescent="0.2">
      <c r="C316" s="252">
        <v>45545</v>
      </c>
      <c r="D316" s="248" t="s">
        <v>270</v>
      </c>
      <c r="E316" s="263">
        <f t="shared" si="8"/>
        <v>2024</v>
      </c>
      <c r="F316" s="266" t="s">
        <v>30</v>
      </c>
      <c r="G316" s="265" t="s">
        <v>98</v>
      </c>
      <c r="H316" s="369">
        <v>1376</v>
      </c>
      <c r="I316" s="369">
        <f>IF(Table1[[#This Row],[TYPE]]="Income",Table1[[#This Row],[AMOUNT (₹)]],-Table1[[#This Row],[AMOUNT (₹)]])</f>
        <v>-1376</v>
      </c>
      <c r="J316" s="265"/>
      <c r="K316" s="348"/>
      <c r="L316" s="265">
        <f t="shared" si="9"/>
        <v>2024</v>
      </c>
      <c r="M316" s="259">
        <f ca="1">IF(L316="","",COUNTIF($L$9:INDIRECT("K"&amp;ROW()),L316))</f>
        <v>59</v>
      </c>
    </row>
    <row r="317" spans="3:13" ht="18" hidden="1" customHeight="1" outlineLevel="1" x14ac:dyDescent="0.2">
      <c r="C317" s="252">
        <v>45547</v>
      </c>
      <c r="D317" s="248" t="s">
        <v>481</v>
      </c>
      <c r="E317" s="263">
        <f t="shared" si="8"/>
        <v>2024</v>
      </c>
      <c r="F317" s="266" t="s">
        <v>274</v>
      </c>
      <c r="G317" s="265" t="s">
        <v>92</v>
      </c>
      <c r="H317" s="369">
        <v>1500</v>
      </c>
      <c r="I317" s="369">
        <f>IF(Table1[[#This Row],[TYPE]]="Income",Table1[[#This Row],[AMOUNT (₹)]],-Table1[[#This Row],[AMOUNT (₹)]])</f>
        <v>-1500</v>
      </c>
      <c r="J317" s="265"/>
      <c r="K317" s="348"/>
      <c r="L317" s="265">
        <f t="shared" si="9"/>
        <v>2024</v>
      </c>
      <c r="M317" s="259">
        <f ca="1">IF(L317="","",COUNTIF($L$9:INDIRECT("K"&amp;ROW()),L317))</f>
        <v>60</v>
      </c>
    </row>
    <row r="318" spans="3:13" ht="18" hidden="1" customHeight="1" outlineLevel="1" x14ac:dyDescent="0.2">
      <c r="C318" s="252">
        <v>45547</v>
      </c>
      <c r="D318" s="248" t="s">
        <v>452</v>
      </c>
      <c r="E318" s="263">
        <f t="shared" si="8"/>
        <v>2024</v>
      </c>
      <c r="F318" s="266" t="s">
        <v>277</v>
      </c>
      <c r="G318" s="265" t="s">
        <v>84</v>
      </c>
      <c r="H318" s="369">
        <v>5000</v>
      </c>
      <c r="I318" s="369">
        <f>IF(Table1[[#This Row],[TYPE]]="Income",Table1[[#This Row],[AMOUNT (₹)]],-Table1[[#This Row],[AMOUNT (₹)]])</f>
        <v>5000</v>
      </c>
      <c r="J318" s="265"/>
      <c r="K318" s="348"/>
      <c r="L318" s="265">
        <f t="shared" si="9"/>
        <v>2024</v>
      </c>
      <c r="M318" s="259">
        <f ca="1">IF(L318="","",COUNTIF($L$9:INDIRECT("K"&amp;ROW()),L318))</f>
        <v>61</v>
      </c>
    </row>
    <row r="319" spans="3:13" ht="18" hidden="1" customHeight="1" outlineLevel="1" x14ac:dyDescent="0.2">
      <c r="C319" s="252">
        <v>45550</v>
      </c>
      <c r="D319" s="248" t="s">
        <v>370</v>
      </c>
      <c r="E319" s="263">
        <f t="shared" si="8"/>
        <v>2024</v>
      </c>
      <c r="F319" s="266" t="s">
        <v>274</v>
      </c>
      <c r="G319" s="265" t="s">
        <v>82</v>
      </c>
      <c r="H319" s="369">
        <v>2444</v>
      </c>
      <c r="I319" s="369">
        <f>IF(Table1[[#This Row],[TYPE]]="Income",Table1[[#This Row],[AMOUNT (₹)]],-Table1[[#This Row],[AMOUNT (₹)]])</f>
        <v>-2444</v>
      </c>
      <c r="J319" s="265"/>
      <c r="K319" s="348"/>
      <c r="L319" s="265">
        <f t="shared" si="9"/>
        <v>2024</v>
      </c>
      <c r="M319" s="259">
        <f ca="1">IF(L319="","",COUNTIF($L$9:INDIRECT("K"&amp;ROW()),L319))</f>
        <v>62</v>
      </c>
    </row>
    <row r="320" spans="3:13" ht="18" hidden="1" customHeight="1" outlineLevel="1" x14ac:dyDescent="0.2">
      <c r="C320" s="252">
        <v>45550</v>
      </c>
      <c r="D320" s="248" t="s">
        <v>482</v>
      </c>
      <c r="E320" s="263">
        <f t="shared" si="8"/>
        <v>2024</v>
      </c>
      <c r="F320" s="266" t="s">
        <v>274</v>
      </c>
      <c r="G320" s="265" t="s">
        <v>82</v>
      </c>
      <c r="H320" s="369">
        <v>2290</v>
      </c>
      <c r="I320" s="369">
        <f>IF(Table1[[#This Row],[TYPE]]="Income",Table1[[#This Row],[AMOUNT (₹)]],-Table1[[#This Row],[AMOUNT (₹)]])</f>
        <v>-2290</v>
      </c>
      <c r="J320" s="265"/>
      <c r="K320" s="348"/>
      <c r="L320" s="265">
        <f t="shared" si="9"/>
        <v>2024</v>
      </c>
      <c r="M320" s="259">
        <f ca="1">IF(L320="","",COUNTIF($L$9:INDIRECT("K"&amp;ROW()),L320))</f>
        <v>63</v>
      </c>
    </row>
    <row r="321" spans="3:13" ht="18" hidden="1" customHeight="1" outlineLevel="1" x14ac:dyDescent="0.2">
      <c r="C321" s="252">
        <v>45554</v>
      </c>
      <c r="D321" s="248" t="s">
        <v>483</v>
      </c>
      <c r="E321" s="263">
        <f t="shared" si="8"/>
        <v>2024</v>
      </c>
      <c r="F321" s="266" t="s">
        <v>274</v>
      </c>
      <c r="G321" s="265" t="s">
        <v>90</v>
      </c>
      <c r="H321" s="369">
        <v>1338.6</v>
      </c>
      <c r="I321" s="369">
        <f>IF(Table1[[#This Row],[TYPE]]="Income",Table1[[#This Row],[AMOUNT (₹)]],-Table1[[#This Row],[AMOUNT (₹)]])</f>
        <v>-1338.6</v>
      </c>
      <c r="J321" s="265"/>
      <c r="K321" s="348"/>
      <c r="L321" s="265">
        <f t="shared" si="9"/>
        <v>2024</v>
      </c>
      <c r="M321" s="259">
        <f ca="1">IF(L321="","",COUNTIF($L$9:INDIRECT("K"&amp;ROW()),L321))</f>
        <v>64</v>
      </c>
    </row>
    <row r="322" spans="3:13" ht="18" hidden="1" customHeight="1" outlineLevel="1" x14ac:dyDescent="0.2">
      <c r="C322" s="252">
        <v>45561</v>
      </c>
      <c r="D322" s="248" t="s">
        <v>399</v>
      </c>
      <c r="E322" s="263">
        <f t="shared" si="8"/>
        <v>2024</v>
      </c>
      <c r="F322" s="266" t="s">
        <v>274</v>
      </c>
      <c r="G322" s="265" t="s">
        <v>80</v>
      </c>
      <c r="H322" s="369">
        <v>7455.51</v>
      </c>
      <c r="I322" s="369">
        <f>IF(Table1[[#This Row],[TYPE]]="Income",Table1[[#This Row],[AMOUNT (₹)]],-Table1[[#This Row],[AMOUNT (₹)]])</f>
        <v>-7455.51</v>
      </c>
      <c r="J322" s="265"/>
      <c r="K322" s="348"/>
      <c r="L322" s="265">
        <f t="shared" si="9"/>
        <v>2024</v>
      </c>
      <c r="M322" s="259">
        <f ca="1">IF(L322="","",COUNTIF($L$9:INDIRECT("K"&amp;ROW()),L322))</f>
        <v>65</v>
      </c>
    </row>
    <row r="323" spans="3:13" ht="18" hidden="1" customHeight="1" outlineLevel="1" x14ac:dyDescent="0.2">
      <c r="C323" s="252">
        <v>45564</v>
      </c>
      <c r="D323" s="248" t="s">
        <v>484</v>
      </c>
      <c r="E323" s="263">
        <f t="shared" si="8"/>
        <v>2024</v>
      </c>
      <c r="F323" s="266" t="s">
        <v>274</v>
      </c>
      <c r="G323" s="265" t="s">
        <v>76</v>
      </c>
      <c r="H323" s="369">
        <v>800</v>
      </c>
      <c r="I323" s="369">
        <f>IF(Table1[[#This Row],[TYPE]]="Income",Table1[[#This Row],[AMOUNT (₹)]],-Table1[[#This Row],[AMOUNT (₹)]])</f>
        <v>-800</v>
      </c>
      <c r="J323" s="265"/>
      <c r="K323" s="348"/>
      <c r="L323" s="265">
        <f t="shared" si="9"/>
        <v>2024</v>
      </c>
      <c r="M323" s="259">
        <f ca="1">IF(L323="","",COUNTIF($L$9:INDIRECT("K"&amp;ROW()),L323))</f>
        <v>66</v>
      </c>
    </row>
    <row r="324" spans="3:13" ht="18" hidden="1" customHeight="1" outlineLevel="1" x14ac:dyDescent="0.2">
      <c r="C324" s="252">
        <v>45564</v>
      </c>
      <c r="D324" s="248" t="s">
        <v>485</v>
      </c>
      <c r="E324" s="263">
        <f t="shared" si="8"/>
        <v>2024</v>
      </c>
      <c r="F324" s="266" t="s">
        <v>274</v>
      </c>
      <c r="G324" s="265" t="s">
        <v>82</v>
      </c>
      <c r="H324" s="369">
        <v>2150</v>
      </c>
      <c r="I324" s="369">
        <f>IF(Table1[[#This Row],[TYPE]]="Income",Table1[[#This Row],[AMOUNT (₹)]],-Table1[[#This Row],[AMOUNT (₹)]])</f>
        <v>-2150</v>
      </c>
      <c r="J324" s="265"/>
      <c r="K324" s="348"/>
      <c r="L324" s="265">
        <f t="shared" si="9"/>
        <v>2024</v>
      </c>
      <c r="M324" s="259">
        <f ca="1">IF(L324="","",COUNTIF($L$9:INDIRECT("K"&amp;ROW()),L324))</f>
        <v>67</v>
      </c>
    </row>
    <row r="325" spans="3:13" ht="18" hidden="1" customHeight="1" outlineLevel="1" x14ac:dyDescent="0.2">
      <c r="C325" s="252">
        <v>45564</v>
      </c>
      <c r="D325" s="248" t="s">
        <v>486</v>
      </c>
      <c r="E325" s="263">
        <f t="shared" si="8"/>
        <v>2024</v>
      </c>
      <c r="F325" s="266" t="s">
        <v>274</v>
      </c>
      <c r="G325" s="265" t="s">
        <v>82</v>
      </c>
      <c r="H325" s="369">
        <v>1100</v>
      </c>
      <c r="I325" s="369">
        <f>IF(Table1[[#This Row],[TYPE]]="Income",Table1[[#This Row],[AMOUNT (₹)]],-Table1[[#This Row],[AMOUNT (₹)]])</f>
        <v>-1100</v>
      </c>
      <c r="J325" s="265"/>
      <c r="K325" s="348"/>
      <c r="L325" s="265">
        <f t="shared" si="9"/>
        <v>2024</v>
      </c>
      <c r="M325" s="259">
        <f ca="1">IF(L325="","",COUNTIF($L$9:INDIRECT("K"&amp;ROW()),L325))</f>
        <v>68</v>
      </c>
    </row>
    <row r="326" spans="3:13" ht="18" hidden="1" customHeight="1" outlineLevel="1" x14ac:dyDescent="0.2">
      <c r="C326" s="252">
        <v>45564</v>
      </c>
      <c r="D326" s="248" t="s">
        <v>487</v>
      </c>
      <c r="E326" s="263">
        <f t="shared" si="8"/>
        <v>2024</v>
      </c>
      <c r="F326" s="266" t="s">
        <v>274</v>
      </c>
      <c r="G326" s="265" t="s">
        <v>82</v>
      </c>
      <c r="H326" s="369">
        <v>1600</v>
      </c>
      <c r="I326" s="369">
        <f>IF(Table1[[#This Row],[TYPE]]="Income",Table1[[#This Row],[AMOUNT (₹)]],-Table1[[#This Row],[AMOUNT (₹)]])</f>
        <v>-1600</v>
      </c>
      <c r="J326" s="265"/>
      <c r="K326" s="348"/>
      <c r="L326" s="265">
        <f t="shared" si="9"/>
        <v>2024</v>
      </c>
      <c r="M326" s="259">
        <f ca="1">IF(L326="","",COUNTIF($L$9:INDIRECT("K"&amp;ROW()),L326))</f>
        <v>69</v>
      </c>
    </row>
    <row r="327" spans="3:13" ht="18" hidden="1" customHeight="1" outlineLevel="1" x14ac:dyDescent="0.2">
      <c r="C327" s="252">
        <v>45564</v>
      </c>
      <c r="D327" s="248" t="s">
        <v>488</v>
      </c>
      <c r="E327" s="263">
        <f t="shared" si="8"/>
        <v>2024</v>
      </c>
      <c r="F327" s="266" t="s">
        <v>274</v>
      </c>
      <c r="G327" s="265" t="s">
        <v>92</v>
      </c>
      <c r="H327" s="369">
        <v>1150</v>
      </c>
      <c r="I327" s="369">
        <f>IF(Table1[[#This Row],[TYPE]]="Income",Table1[[#This Row],[AMOUNT (₹)]],-Table1[[#This Row],[AMOUNT (₹)]])</f>
        <v>-1150</v>
      </c>
      <c r="J327" s="265"/>
      <c r="K327" s="348"/>
      <c r="L327" s="265">
        <f t="shared" si="9"/>
        <v>2024</v>
      </c>
      <c r="M327" s="259">
        <f ca="1">IF(L327="","",COUNTIF($L$9:INDIRECT("K"&amp;ROW()),L327))</f>
        <v>70</v>
      </c>
    </row>
    <row r="328" spans="3:13" ht="18" hidden="1" customHeight="1" outlineLevel="1" x14ac:dyDescent="0.2">
      <c r="C328" s="252">
        <v>45564</v>
      </c>
      <c r="D328" s="248" t="s">
        <v>489</v>
      </c>
      <c r="E328" s="263">
        <f t="shared" si="8"/>
        <v>2024</v>
      </c>
      <c r="F328" s="266" t="s">
        <v>274</v>
      </c>
      <c r="G328" s="265" t="s">
        <v>92</v>
      </c>
      <c r="H328" s="369">
        <v>2301</v>
      </c>
      <c r="I328" s="369">
        <f>IF(Table1[[#This Row],[TYPE]]="Income",Table1[[#This Row],[AMOUNT (₹)]],-Table1[[#This Row],[AMOUNT (₹)]])</f>
        <v>-2301</v>
      </c>
      <c r="J328" s="265"/>
      <c r="K328" s="348"/>
      <c r="L328" s="265">
        <f t="shared" si="9"/>
        <v>2024</v>
      </c>
      <c r="M328" s="259">
        <f ca="1">IF(L328="","",COUNTIF($L$9:INDIRECT("K"&amp;ROW()),L328))</f>
        <v>71</v>
      </c>
    </row>
    <row r="329" spans="3:13" ht="18" hidden="1" customHeight="1" outlineLevel="1" x14ac:dyDescent="0.2">
      <c r="C329" s="252">
        <v>45565</v>
      </c>
      <c r="D329" s="248" t="s">
        <v>490</v>
      </c>
      <c r="E329" s="263">
        <f t="shared" ref="E329:E392" si="10">IFERROR(YEAR(C329),"")</f>
        <v>2024</v>
      </c>
      <c r="F329" s="266" t="s">
        <v>274</v>
      </c>
      <c r="G329" s="265" t="s">
        <v>76</v>
      </c>
      <c r="H329" s="369">
        <v>9212</v>
      </c>
      <c r="I329" s="369">
        <f>IF(Table1[[#This Row],[TYPE]]="Income",Table1[[#This Row],[AMOUNT (₹)]],-Table1[[#This Row],[AMOUNT (₹)]])</f>
        <v>-9212</v>
      </c>
      <c r="J329" s="265"/>
      <c r="K329" s="348"/>
      <c r="L329" s="265">
        <f t="shared" ref="L329:L392" si="11">IFERROR(IF(MONTH(C329)&lt;=3,YEAR(C329)-1,YEAR(C329)),"")</f>
        <v>2024</v>
      </c>
      <c r="M329" s="259">
        <f ca="1">IF(L329="","",COUNTIF($L$9:INDIRECT("K"&amp;ROW()),L329))</f>
        <v>72</v>
      </c>
    </row>
    <row r="330" spans="3:13" ht="18" hidden="1" customHeight="1" outlineLevel="1" x14ac:dyDescent="0.2">
      <c r="C330" s="252">
        <v>45565</v>
      </c>
      <c r="D330" s="248" t="s">
        <v>342</v>
      </c>
      <c r="E330" s="263">
        <f t="shared" si="10"/>
        <v>2024</v>
      </c>
      <c r="F330" s="266" t="s">
        <v>277</v>
      </c>
      <c r="G330" s="265" t="s">
        <v>111</v>
      </c>
      <c r="H330" s="369">
        <v>48000</v>
      </c>
      <c r="I330" s="369">
        <f>IF(Table1[[#This Row],[TYPE]]="Income",Table1[[#This Row],[AMOUNT (₹)]],-Table1[[#This Row],[AMOUNT (₹)]])</f>
        <v>48000</v>
      </c>
      <c r="J330" s="265"/>
      <c r="K330" s="348"/>
      <c r="L330" s="265">
        <f t="shared" si="11"/>
        <v>2024</v>
      </c>
      <c r="M330" s="259">
        <f ca="1">IF(L330="","",COUNTIF($L$9:INDIRECT("K"&amp;ROW()),L330))</f>
        <v>73</v>
      </c>
    </row>
    <row r="331" spans="3:13" ht="18" hidden="1" customHeight="1" outlineLevel="1" x14ac:dyDescent="0.2">
      <c r="C331" s="252">
        <v>45566</v>
      </c>
      <c r="D331" s="248" t="s">
        <v>491</v>
      </c>
      <c r="E331" s="263">
        <f t="shared" si="10"/>
        <v>2024</v>
      </c>
      <c r="F331" s="266" t="s">
        <v>274</v>
      </c>
      <c r="G331" s="265" t="s">
        <v>84</v>
      </c>
      <c r="H331" s="369">
        <v>12000</v>
      </c>
      <c r="I331" s="369">
        <f>IF(Table1[[#This Row],[TYPE]]="Income",Table1[[#This Row],[AMOUNT (₹)]],-Table1[[#This Row],[AMOUNT (₹)]])</f>
        <v>-12000</v>
      </c>
      <c r="J331" s="265"/>
      <c r="K331" s="348"/>
      <c r="L331" s="265">
        <f t="shared" si="11"/>
        <v>2024</v>
      </c>
      <c r="M331" s="259">
        <f ca="1">IF(L331="","",COUNTIF($L$9:INDIRECT("K"&amp;ROW()),L331))</f>
        <v>74</v>
      </c>
    </row>
    <row r="332" spans="3:13" ht="18" hidden="1" customHeight="1" outlineLevel="1" x14ac:dyDescent="0.2">
      <c r="C332" s="252">
        <v>45568</v>
      </c>
      <c r="D332" s="248" t="s">
        <v>94</v>
      </c>
      <c r="E332" s="263">
        <f t="shared" si="10"/>
        <v>2024</v>
      </c>
      <c r="F332" s="266" t="s">
        <v>274</v>
      </c>
      <c r="G332" s="265" t="s">
        <v>82</v>
      </c>
      <c r="H332" s="369">
        <v>249</v>
      </c>
      <c r="I332" s="369">
        <f>IF(Table1[[#This Row],[TYPE]]="Income",Table1[[#This Row],[AMOUNT (₹)]],-Table1[[#This Row],[AMOUNT (₹)]])</f>
        <v>-249</v>
      </c>
      <c r="J332" s="265"/>
      <c r="K332" s="348"/>
      <c r="L332" s="265">
        <f t="shared" si="11"/>
        <v>2024</v>
      </c>
      <c r="M332" s="259">
        <f ca="1">IF(L332="","",COUNTIF($L$9:INDIRECT("K"&amp;ROW()),L332))</f>
        <v>75</v>
      </c>
    </row>
    <row r="333" spans="3:13" ht="18" hidden="1" customHeight="1" outlineLevel="1" x14ac:dyDescent="0.2">
      <c r="C333" s="252">
        <v>45568</v>
      </c>
      <c r="D333" s="248" t="s">
        <v>492</v>
      </c>
      <c r="E333" s="263">
        <f t="shared" si="10"/>
        <v>2024</v>
      </c>
      <c r="F333" s="266" t="s">
        <v>274</v>
      </c>
      <c r="G333" s="265" t="s">
        <v>88</v>
      </c>
      <c r="H333" s="369">
        <v>5000</v>
      </c>
      <c r="I333" s="369">
        <f>IF(Table1[[#This Row],[TYPE]]="Income",Table1[[#This Row],[AMOUNT (₹)]],-Table1[[#This Row],[AMOUNT (₹)]])</f>
        <v>-5000</v>
      </c>
      <c r="J333" s="265"/>
      <c r="K333" s="348"/>
      <c r="L333" s="265">
        <f t="shared" si="11"/>
        <v>2024</v>
      </c>
      <c r="M333" s="259">
        <f ca="1">IF(L333="","",COUNTIF($L$9:INDIRECT("K"&amp;ROW()),L333))</f>
        <v>76</v>
      </c>
    </row>
    <row r="334" spans="3:13" ht="18" hidden="1" customHeight="1" outlineLevel="1" x14ac:dyDescent="0.2">
      <c r="C334" s="252">
        <v>45573</v>
      </c>
      <c r="D334" s="248" t="s">
        <v>493</v>
      </c>
      <c r="E334" s="263">
        <f t="shared" si="10"/>
        <v>2024</v>
      </c>
      <c r="F334" s="266" t="s">
        <v>274</v>
      </c>
      <c r="G334" s="265" t="s">
        <v>88</v>
      </c>
      <c r="H334" s="369">
        <v>2800</v>
      </c>
      <c r="I334" s="369">
        <f>IF(Table1[[#This Row],[TYPE]]="Income",Table1[[#This Row],[AMOUNT (₹)]],-Table1[[#This Row],[AMOUNT (₹)]])</f>
        <v>-2800</v>
      </c>
      <c r="J334" s="265"/>
      <c r="K334" s="348"/>
      <c r="L334" s="265">
        <f t="shared" si="11"/>
        <v>2024</v>
      </c>
      <c r="M334" s="259">
        <f ca="1">IF(L334="","",COUNTIF($L$9:INDIRECT("K"&amp;ROW()),L334))</f>
        <v>77</v>
      </c>
    </row>
    <row r="335" spans="3:13" ht="18" hidden="1" customHeight="1" outlineLevel="1" x14ac:dyDescent="0.2">
      <c r="C335" s="252">
        <v>45575</v>
      </c>
      <c r="D335" s="248" t="s">
        <v>494</v>
      </c>
      <c r="E335" s="263">
        <f t="shared" si="10"/>
        <v>2024</v>
      </c>
      <c r="F335" s="266" t="s">
        <v>274</v>
      </c>
      <c r="G335" s="265" t="s">
        <v>90</v>
      </c>
      <c r="H335" s="369">
        <v>1398.6</v>
      </c>
      <c r="I335" s="369">
        <f>IF(Table1[[#This Row],[TYPE]]="Income",Table1[[#This Row],[AMOUNT (₹)]],-Table1[[#This Row],[AMOUNT (₹)]])</f>
        <v>-1398.6</v>
      </c>
      <c r="J335" s="265"/>
      <c r="K335" s="348"/>
      <c r="L335" s="265">
        <f t="shared" si="11"/>
        <v>2024</v>
      </c>
      <c r="M335" s="259">
        <f ca="1">IF(L335="","",COUNTIF($L$9:INDIRECT("K"&amp;ROW()),L335))</f>
        <v>78</v>
      </c>
    </row>
    <row r="336" spans="3:13" ht="18" hidden="1" customHeight="1" outlineLevel="1" x14ac:dyDescent="0.2">
      <c r="C336" s="252">
        <v>45575</v>
      </c>
      <c r="D336" s="248" t="s">
        <v>495</v>
      </c>
      <c r="E336" s="263">
        <f t="shared" si="10"/>
        <v>2024</v>
      </c>
      <c r="F336" s="266" t="s">
        <v>30</v>
      </c>
      <c r="G336" s="265" t="s">
        <v>98</v>
      </c>
      <c r="H336" s="369">
        <v>1376</v>
      </c>
      <c r="I336" s="369">
        <f>IF(Table1[[#This Row],[TYPE]]="Income",Table1[[#This Row],[AMOUNT (₹)]],-Table1[[#This Row],[AMOUNT (₹)]])</f>
        <v>-1376</v>
      </c>
      <c r="J336" s="265"/>
      <c r="K336" s="348"/>
      <c r="L336" s="265">
        <f t="shared" si="11"/>
        <v>2024</v>
      </c>
      <c r="M336" s="259">
        <f ca="1">IF(L336="","",COUNTIF($L$9:INDIRECT("K"&amp;ROW()),L336))</f>
        <v>79</v>
      </c>
    </row>
    <row r="337" spans="3:13" ht="18" hidden="1" customHeight="1" outlineLevel="1" x14ac:dyDescent="0.2">
      <c r="C337" s="252">
        <v>45584</v>
      </c>
      <c r="D337" s="248" t="s">
        <v>496</v>
      </c>
      <c r="E337" s="263">
        <f t="shared" si="10"/>
        <v>2024</v>
      </c>
      <c r="F337" s="266" t="s">
        <v>274</v>
      </c>
      <c r="G337" s="265" t="s">
        <v>90</v>
      </c>
      <c r="H337" s="369">
        <v>1100</v>
      </c>
      <c r="I337" s="369">
        <f>IF(Table1[[#This Row],[TYPE]]="Income",Table1[[#This Row],[AMOUNT (₹)]],-Table1[[#This Row],[AMOUNT (₹)]])</f>
        <v>-1100</v>
      </c>
      <c r="J337" s="265"/>
      <c r="K337" s="348"/>
      <c r="L337" s="265">
        <f t="shared" si="11"/>
        <v>2024</v>
      </c>
      <c r="M337" s="259">
        <f ca="1">IF(L337="","",COUNTIF($L$9:INDIRECT("K"&amp;ROW()),L337))</f>
        <v>80</v>
      </c>
    </row>
    <row r="338" spans="3:13" ht="18" hidden="1" customHeight="1" outlineLevel="1" x14ac:dyDescent="0.2">
      <c r="C338" s="252">
        <v>45593</v>
      </c>
      <c r="D338" s="248" t="s">
        <v>497</v>
      </c>
      <c r="E338" s="263">
        <f t="shared" si="10"/>
        <v>2024</v>
      </c>
      <c r="F338" s="266" t="s">
        <v>277</v>
      </c>
      <c r="G338" s="265" t="s">
        <v>90</v>
      </c>
      <c r="H338" s="369">
        <v>2110</v>
      </c>
      <c r="I338" s="369">
        <f>IF(Table1[[#This Row],[TYPE]]="Income",Table1[[#This Row],[AMOUNT (₹)]],-Table1[[#This Row],[AMOUNT (₹)]])</f>
        <v>2110</v>
      </c>
      <c r="J338" s="265"/>
      <c r="K338" s="348"/>
      <c r="L338" s="265">
        <f t="shared" si="11"/>
        <v>2024</v>
      </c>
      <c r="M338" s="259">
        <f ca="1">IF(L338="","",COUNTIF($L$9:INDIRECT("K"&amp;ROW()),L338))</f>
        <v>81</v>
      </c>
    </row>
    <row r="339" spans="3:13" ht="18" hidden="1" customHeight="1" outlineLevel="1" x14ac:dyDescent="0.2">
      <c r="C339" s="252">
        <v>45595</v>
      </c>
      <c r="D339" s="248" t="s">
        <v>498</v>
      </c>
      <c r="E339" s="263">
        <f t="shared" si="10"/>
        <v>2024</v>
      </c>
      <c r="F339" s="266" t="s">
        <v>274</v>
      </c>
      <c r="G339" s="265" t="s">
        <v>76</v>
      </c>
      <c r="H339" s="369">
        <v>10500</v>
      </c>
      <c r="I339" s="369">
        <f>IF(Table1[[#This Row],[TYPE]]="Income",Table1[[#This Row],[AMOUNT (₹)]],-Table1[[#This Row],[AMOUNT (₹)]])</f>
        <v>-10500</v>
      </c>
      <c r="J339" s="265"/>
      <c r="K339" s="348"/>
      <c r="L339" s="265">
        <f t="shared" si="11"/>
        <v>2024</v>
      </c>
      <c r="M339" s="259">
        <f ca="1">IF(L339="","",COUNTIF($L$9:INDIRECT("K"&amp;ROW()),L339))</f>
        <v>82</v>
      </c>
    </row>
    <row r="340" spans="3:13" ht="18" hidden="1" customHeight="1" outlineLevel="1" x14ac:dyDescent="0.2">
      <c r="C340" s="252">
        <v>45596</v>
      </c>
      <c r="D340" s="248" t="s">
        <v>349</v>
      </c>
      <c r="E340" s="263">
        <f t="shared" si="10"/>
        <v>2024</v>
      </c>
      <c r="F340" s="266" t="s">
        <v>277</v>
      </c>
      <c r="G340" s="265" t="s">
        <v>111</v>
      </c>
      <c r="H340" s="369">
        <v>48000</v>
      </c>
      <c r="I340" s="369">
        <f>IF(Table1[[#This Row],[TYPE]]="Income",Table1[[#This Row],[AMOUNT (₹)]],-Table1[[#This Row],[AMOUNT (₹)]])</f>
        <v>48000</v>
      </c>
      <c r="J340" s="265"/>
      <c r="K340" s="348"/>
      <c r="L340" s="265">
        <f t="shared" si="11"/>
        <v>2024</v>
      </c>
      <c r="M340" s="259">
        <f ca="1">IF(L340="","",COUNTIF($L$9:INDIRECT("K"&amp;ROW()),L340))</f>
        <v>83</v>
      </c>
    </row>
    <row r="341" spans="3:13" ht="18" hidden="1" customHeight="1" outlineLevel="1" x14ac:dyDescent="0.2">
      <c r="C341" s="252">
        <v>45598</v>
      </c>
      <c r="D341" s="248" t="s">
        <v>499</v>
      </c>
      <c r="E341" s="263">
        <f t="shared" si="10"/>
        <v>2024</v>
      </c>
      <c r="F341" s="266" t="s">
        <v>274</v>
      </c>
      <c r="G341" s="265" t="s">
        <v>82</v>
      </c>
      <c r="H341" s="369">
        <v>8400</v>
      </c>
      <c r="I341" s="369">
        <f>IF(Table1[[#This Row],[TYPE]]="Income",Table1[[#This Row],[AMOUNT (₹)]],-Table1[[#This Row],[AMOUNT (₹)]])</f>
        <v>-8400</v>
      </c>
      <c r="J341" s="265"/>
      <c r="K341" s="348"/>
      <c r="L341" s="265">
        <f t="shared" si="11"/>
        <v>2024</v>
      </c>
      <c r="M341" s="259">
        <f ca="1">IF(L341="","",COUNTIF($L$9:INDIRECT("K"&amp;ROW()),L341))</f>
        <v>84</v>
      </c>
    </row>
    <row r="342" spans="3:13" ht="18" hidden="1" customHeight="1" outlineLevel="1" x14ac:dyDescent="0.2">
      <c r="C342" s="252">
        <v>45598</v>
      </c>
      <c r="D342" s="248" t="s">
        <v>500</v>
      </c>
      <c r="E342" s="263">
        <f t="shared" si="10"/>
        <v>2024</v>
      </c>
      <c r="F342" s="266" t="s">
        <v>274</v>
      </c>
      <c r="G342" s="265" t="s">
        <v>88</v>
      </c>
      <c r="H342" s="369">
        <v>16600</v>
      </c>
      <c r="I342" s="369">
        <f>IF(Table1[[#This Row],[TYPE]]="Income",Table1[[#This Row],[AMOUNT (₹)]],-Table1[[#This Row],[AMOUNT (₹)]])</f>
        <v>-16600</v>
      </c>
      <c r="J342" s="265"/>
      <c r="K342" s="348"/>
      <c r="L342" s="265">
        <f t="shared" si="11"/>
        <v>2024</v>
      </c>
      <c r="M342" s="259">
        <f ca="1">IF(L342="","",COUNTIF($L$9:INDIRECT("K"&amp;ROW()),L342))</f>
        <v>85</v>
      </c>
    </row>
    <row r="343" spans="3:13" ht="18" hidden="1" customHeight="1" outlineLevel="1" x14ac:dyDescent="0.2">
      <c r="C343" s="252">
        <v>45599</v>
      </c>
      <c r="D343" s="248" t="s">
        <v>501</v>
      </c>
      <c r="E343" s="263">
        <f t="shared" si="10"/>
        <v>2024</v>
      </c>
      <c r="F343" s="266" t="s">
        <v>274</v>
      </c>
      <c r="G343" s="265" t="s">
        <v>88</v>
      </c>
      <c r="H343" s="369">
        <v>4080</v>
      </c>
      <c r="I343" s="369">
        <f>IF(Table1[[#This Row],[TYPE]]="Income",Table1[[#This Row],[AMOUNT (₹)]],-Table1[[#This Row],[AMOUNT (₹)]])</f>
        <v>-4080</v>
      </c>
      <c r="J343" s="265"/>
      <c r="K343" s="348"/>
      <c r="L343" s="265">
        <f t="shared" si="11"/>
        <v>2024</v>
      </c>
      <c r="M343" s="259">
        <f ca="1">IF(L343="","",COUNTIF($L$9:INDIRECT("K"&amp;ROW()),L343))</f>
        <v>86</v>
      </c>
    </row>
    <row r="344" spans="3:13" ht="18" hidden="1" customHeight="1" outlineLevel="1" x14ac:dyDescent="0.2">
      <c r="C344" s="252">
        <v>45600</v>
      </c>
      <c r="D344" s="248" t="s">
        <v>292</v>
      </c>
      <c r="E344" s="263">
        <f t="shared" si="10"/>
        <v>2024</v>
      </c>
      <c r="F344" s="266" t="s">
        <v>274</v>
      </c>
      <c r="G344" s="265" t="s">
        <v>92</v>
      </c>
      <c r="H344" s="369">
        <v>1200</v>
      </c>
      <c r="I344" s="369">
        <f>IF(Table1[[#This Row],[TYPE]]="Income",Table1[[#This Row],[AMOUNT (₹)]],-Table1[[#This Row],[AMOUNT (₹)]])</f>
        <v>-1200</v>
      </c>
      <c r="J344" s="265"/>
      <c r="K344" s="348"/>
      <c r="L344" s="265">
        <f t="shared" si="11"/>
        <v>2024</v>
      </c>
      <c r="M344" s="259">
        <f ca="1">IF(L344="","",COUNTIF($L$9:INDIRECT("K"&amp;ROW()),L344))</f>
        <v>87</v>
      </c>
    </row>
    <row r="345" spans="3:13" ht="18" hidden="1" customHeight="1" outlineLevel="1" x14ac:dyDescent="0.2">
      <c r="C345" s="252">
        <v>45606</v>
      </c>
      <c r="D345" s="248" t="s">
        <v>252</v>
      </c>
      <c r="E345" s="263">
        <f t="shared" si="10"/>
        <v>2024</v>
      </c>
      <c r="F345" s="266" t="s">
        <v>30</v>
      </c>
      <c r="G345" s="265" t="s">
        <v>98</v>
      </c>
      <c r="H345" s="369">
        <v>1376</v>
      </c>
      <c r="I345" s="369">
        <f>IF(Table1[[#This Row],[TYPE]]="Income",Table1[[#This Row],[AMOUNT (₹)]],-Table1[[#This Row],[AMOUNT (₹)]])</f>
        <v>-1376</v>
      </c>
      <c r="J345" s="265"/>
      <c r="K345" s="348"/>
      <c r="L345" s="265">
        <f t="shared" si="11"/>
        <v>2024</v>
      </c>
      <c r="M345" s="259">
        <f ca="1">IF(L345="","",COUNTIF($L$9:INDIRECT("K"&amp;ROW()),L345))</f>
        <v>88</v>
      </c>
    </row>
    <row r="346" spans="3:13" ht="18" hidden="1" customHeight="1" outlineLevel="1" x14ac:dyDescent="0.2">
      <c r="C346" s="252">
        <v>45611</v>
      </c>
      <c r="D346" s="248" t="s">
        <v>409</v>
      </c>
      <c r="E346" s="263">
        <f t="shared" si="10"/>
        <v>2024</v>
      </c>
      <c r="F346" s="266" t="s">
        <v>274</v>
      </c>
      <c r="G346" s="265" t="s">
        <v>80</v>
      </c>
      <c r="H346" s="369">
        <v>7439.46</v>
      </c>
      <c r="I346" s="369">
        <f>IF(Table1[[#This Row],[TYPE]]="Income",Table1[[#This Row],[AMOUNT (₹)]],-Table1[[#This Row],[AMOUNT (₹)]])</f>
        <v>-7439.46</v>
      </c>
      <c r="J346" s="265"/>
      <c r="K346" s="348"/>
      <c r="L346" s="265">
        <f t="shared" si="11"/>
        <v>2024</v>
      </c>
      <c r="M346" s="259">
        <f ca="1">IF(L346="","",COUNTIF($L$9:INDIRECT("K"&amp;ROW()),L346))</f>
        <v>89</v>
      </c>
    </row>
    <row r="347" spans="3:13" ht="18" hidden="1" customHeight="1" outlineLevel="1" x14ac:dyDescent="0.2">
      <c r="C347" s="252">
        <v>45611</v>
      </c>
      <c r="D347" s="248" t="s">
        <v>94</v>
      </c>
      <c r="E347" s="263">
        <f t="shared" si="10"/>
        <v>2024</v>
      </c>
      <c r="F347" s="266" t="s">
        <v>274</v>
      </c>
      <c r="G347" s="265" t="s">
        <v>94</v>
      </c>
      <c r="H347" s="369">
        <v>1110</v>
      </c>
      <c r="I347" s="369">
        <f>IF(Table1[[#This Row],[TYPE]]="Income",Table1[[#This Row],[AMOUNT (₹)]],-Table1[[#This Row],[AMOUNT (₹)]])</f>
        <v>-1110</v>
      </c>
      <c r="J347" s="265"/>
      <c r="K347" s="348"/>
      <c r="L347" s="265">
        <f t="shared" si="11"/>
        <v>2024</v>
      </c>
      <c r="M347" s="259">
        <f ca="1">IF(L347="","",COUNTIF($L$9:INDIRECT("K"&amp;ROW()),L347))</f>
        <v>90</v>
      </c>
    </row>
    <row r="348" spans="3:13" ht="18" hidden="1" customHeight="1" outlineLevel="1" x14ac:dyDescent="0.2">
      <c r="C348" s="252">
        <v>45616</v>
      </c>
      <c r="D348" s="248" t="s">
        <v>502</v>
      </c>
      <c r="E348" s="263">
        <f t="shared" si="10"/>
        <v>2024</v>
      </c>
      <c r="F348" s="266" t="s">
        <v>274</v>
      </c>
      <c r="G348" s="265" t="s">
        <v>84</v>
      </c>
      <c r="H348" s="369">
        <v>12000</v>
      </c>
      <c r="I348" s="369">
        <f>IF(Table1[[#This Row],[TYPE]]="Income",Table1[[#This Row],[AMOUNT (₹)]],-Table1[[#This Row],[AMOUNT (₹)]])</f>
        <v>-12000</v>
      </c>
      <c r="J348" s="265"/>
      <c r="K348" s="348"/>
      <c r="L348" s="265">
        <f t="shared" si="11"/>
        <v>2024</v>
      </c>
      <c r="M348" s="259">
        <f ca="1">IF(L348="","",COUNTIF($L$9:INDIRECT("K"&amp;ROW()),L348))</f>
        <v>91</v>
      </c>
    </row>
    <row r="349" spans="3:13" ht="18" hidden="1" customHeight="1" outlineLevel="1" x14ac:dyDescent="0.2">
      <c r="C349" s="252">
        <v>45626</v>
      </c>
      <c r="D349" s="248" t="s">
        <v>252</v>
      </c>
      <c r="E349" s="263">
        <f t="shared" si="10"/>
        <v>2024</v>
      </c>
      <c r="F349" s="266" t="s">
        <v>274</v>
      </c>
      <c r="G349" s="265" t="s">
        <v>76</v>
      </c>
      <c r="H349" s="369">
        <v>11500</v>
      </c>
      <c r="I349" s="369">
        <f>IF(Table1[[#This Row],[TYPE]]="Income",Table1[[#This Row],[AMOUNT (₹)]],-Table1[[#This Row],[AMOUNT (₹)]])</f>
        <v>-11500</v>
      </c>
      <c r="J349" s="265"/>
      <c r="K349" s="348"/>
      <c r="L349" s="265">
        <f t="shared" si="11"/>
        <v>2024</v>
      </c>
      <c r="M349" s="259">
        <f ca="1">IF(L349="","",COUNTIF($L$9:INDIRECT("K"&amp;ROW()),L349))</f>
        <v>92</v>
      </c>
    </row>
    <row r="350" spans="3:13" ht="18" hidden="1" customHeight="1" outlineLevel="1" x14ac:dyDescent="0.2">
      <c r="C350" s="252">
        <v>45626</v>
      </c>
      <c r="D350" s="248" t="s">
        <v>294</v>
      </c>
      <c r="E350" s="263">
        <f t="shared" si="10"/>
        <v>2024</v>
      </c>
      <c r="F350" s="266" t="s">
        <v>277</v>
      </c>
      <c r="G350" s="265" t="s">
        <v>111</v>
      </c>
      <c r="H350" s="369">
        <v>48000</v>
      </c>
      <c r="I350" s="369">
        <f>IF(Table1[[#This Row],[TYPE]]="Income",Table1[[#This Row],[AMOUNT (₹)]],-Table1[[#This Row],[AMOUNT (₹)]])</f>
        <v>48000</v>
      </c>
      <c r="J350" s="265"/>
      <c r="K350" s="348"/>
      <c r="L350" s="265">
        <f t="shared" si="11"/>
        <v>2024</v>
      </c>
      <c r="M350" s="259">
        <f ca="1">IF(L350="","",COUNTIF($L$9:INDIRECT("K"&amp;ROW()),L350))</f>
        <v>93</v>
      </c>
    </row>
    <row r="351" spans="3:13" ht="18" hidden="1" customHeight="1" outlineLevel="1" x14ac:dyDescent="0.2">
      <c r="C351" s="252">
        <v>45628</v>
      </c>
      <c r="D351" s="248" t="s">
        <v>503</v>
      </c>
      <c r="E351" s="263">
        <f t="shared" si="10"/>
        <v>2024</v>
      </c>
      <c r="F351" s="266" t="s">
        <v>274</v>
      </c>
      <c r="G351" s="265" t="s">
        <v>88</v>
      </c>
      <c r="H351" s="369">
        <v>5000</v>
      </c>
      <c r="I351" s="369">
        <f>IF(Table1[[#This Row],[TYPE]]="Income",Table1[[#This Row],[AMOUNT (₹)]],-Table1[[#This Row],[AMOUNT (₹)]])</f>
        <v>-5000</v>
      </c>
      <c r="J351" s="265"/>
      <c r="K351" s="348"/>
      <c r="L351" s="265">
        <f t="shared" si="11"/>
        <v>2024</v>
      </c>
      <c r="M351" s="259">
        <f ca="1">IF(L351="","",COUNTIF($L$9:INDIRECT("K"&amp;ROW()),L351))</f>
        <v>94</v>
      </c>
    </row>
    <row r="352" spans="3:13" ht="18" hidden="1" customHeight="1" outlineLevel="1" x14ac:dyDescent="0.2">
      <c r="C352" s="252">
        <v>45629</v>
      </c>
      <c r="D352" s="248" t="s">
        <v>504</v>
      </c>
      <c r="E352" s="263">
        <f t="shared" si="10"/>
        <v>2024</v>
      </c>
      <c r="F352" s="266" t="s">
        <v>274</v>
      </c>
      <c r="G352" s="265" t="s">
        <v>76</v>
      </c>
      <c r="H352" s="369">
        <v>1570</v>
      </c>
      <c r="I352" s="369">
        <f>IF(Table1[[#This Row],[TYPE]]="Income",Table1[[#This Row],[AMOUNT (₹)]],-Table1[[#This Row],[AMOUNT (₹)]])</f>
        <v>-1570</v>
      </c>
      <c r="J352" s="265"/>
      <c r="K352" s="348"/>
      <c r="L352" s="265">
        <f t="shared" si="11"/>
        <v>2024</v>
      </c>
      <c r="M352" s="259">
        <f ca="1">IF(L352="","",COUNTIF($L$9:INDIRECT("K"&amp;ROW()),L352))</f>
        <v>95</v>
      </c>
    </row>
    <row r="353" spans="3:13" ht="18" hidden="1" customHeight="1" outlineLevel="1" x14ac:dyDescent="0.2">
      <c r="C353" s="252">
        <v>45630</v>
      </c>
      <c r="D353" s="248" t="s">
        <v>505</v>
      </c>
      <c r="E353" s="263">
        <f t="shared" si="10"/>
        <v>2024</v>
      </c>
      <c r="F353" s="266" t="s">
        <v>274</v>
      </c>
      <c r="G353" s="265" t="s">
        <v>82</v>
      </c>
      <c r="H353" s="369">
        <v>2123.6</v>
      </c>
      <c r="I353" s="369">
        <f>IF(Table1[[#This Row],[TYPE]]="Income",Table1[[#This Row],[AMOUNT (₹)]],-Table1[[#This Row],[AMOUNT (₹)]])</f>
        <v>-2123.6</v>
      </c>
      <c r="J353" s="265"/>
      <c r="K353" s="348"/>
      <c r="L353" s="265">
        <f t="shared" si="11"/>
        <v>2024</v>
      </c>
      <c r="M353" s="259">
        <f ca="1">IF(L353="","",COUNTIF($L$9:INDIRECT("K"&amp;ROW()),L353))</f>
        <v>96</v>
      </c>
    </row>
    <row r="354" spans="3:13" ht="18" hidden="1" customHeight="1" outlineLevel="1" x14ac:dyDescent="0.2">
      <c r="C354" s="252">
        <v>45630</v>
      </c>
      <c r="D354" s="248" t="s">
        <v>506</v>
      </c>
      <c r="E354" s="263">
        <f t="shared" si="10"/>
        <v>2024</v>
      </c>
      <c r="F354" s="266" t="s">
        <v>274</v>
      </c>
      <c r="G354" s="265" t="s">
        <v>82</v>
      </c>
      <c r="H354" s="369">
        <v>2550</v>
      </c>
      <c r="I354" s="369">
        <f>IF(Table1[[#This Row],[TYPE]]="Income",Table1[[#This Row],[AMOUNT (₹)]],-Table1[[#This Row],[AMOUNT (₹)]])</f>
        <v>-2550</v>
      </c>
      <c r="J354" s="265"/>
      <c r="K354" s="348"/>
      <c r="L354" s="265">
        <f t="shared" si="11"/>
        <v>2024</v>
      </c>
      <c r="M354" s="259">
        <f ca="1">IF(L354="","",COUNTIF($L$9:INDIRECT("K"&amp;ROW()),L354))</f>
        <v>97</v>
      </c>
    </row>
    <row r="355" spans="3:13" ht="18" hidden="1" customHeight="1" outlineLevel="1" x14ac:dyDescent="0.2">
      <c r="C355" s="252">
        <v>45631</v>
      </c>
      <c r="D355" s="248" t="s">
        <v>507</v>
      </c>
      <c r="E355" s="263">
        <f t="shared" si="10"/>
        <v>2024</v>
      </c>
      <c r="F355" s="266" t="s">
        <v>274</v>
      </c>
      <c r="G355" s="265" t="s">
        <v>84</v>
      </c>
      <c r="H355" s="369">
        <v>12000</v>
      </c>
      <c r="I355" s="369">
        <f>IF(Table1[[#This Row],[TYPE]]="Income",Table1[[#This Row],[AMOUNT (₹)]],-Table1[[#This Row],[AMOUNT (₹)]])</f>
        <v>-12000</v>
      </c>
      <c r="J355" s="265"/>
      <c r="K355" s="348"/>
      <c r="L355" s="265">
        <f t="shared" si="11"/>
        <v>2024</v>
      </c>
      <c r="M355" s="259">
        <f ca="1">IF(L355="","",COUNTIF($L$9:INDIRECT("K"&amp;ROW()),L355))</f>
        <v>98</v>
      </c>
    </row>
    <row r="356" spans="3:13" ht="18" hidden="1" customHeight="1" outlineLevel="1" x14ac:dyDescent="0.2">
      <c r="C356" s="252">
        <v>45633</v>
      </c>
      <c r="D356" s="248" t="s">
        <v>508</v>
      </c>
      <c r="E356" s="263">
        <f t="shared" si="10"/>
        <v>2024</v>
      </c>
      <c r="F356" s="266" t="s">
        <v>274</v>
      </c>
      <c r="G356" s="265" t="s">
        <v>90</v>
      </c>
      <c r="H356" s="369">
        <v>2536.6</v>
      </c>
      <c r="I356" s="369">
        <f>IF(Table1[[#This Row],[TYPE]]="Income",Table1[[#This Row],[AMOUNT (₹)]],-Table1[[#This Row],[AMOUNT (₹)]])</f>
        <v>-2536.6</v>
      </c>
      <c r="J356" s="265"/>
      <c r="K356" s="348"/>
      <c r="L356" s="265">
        <f t="shared" si="11"/>
        <v>2024</v>
      </c>
      <c r="M356" s="259">
        <f ca="1">IF(L356="","",COUNTIF($L$9:INDIRECT("K"&amp;ROW()),L356))</f>
        <v>99</v>
      </c>
    </row>
    <row r="357" spans="3:13" ht="18" hidden="1" customHeight="1" outlineLevel="1" x14ac:dyDescent="0.2">
      <c r="C357" s="252">
        <v>45635</v>
      </c>
      <c r="D357" s="248" t="s">
        <v>509</v>
      </c>
      <c r="E357" s="263">
        <f t="shared" si="10"/>
        <v>2024</v>
      </c>
      <c r="F357" s="266" t="s">
        <v>274</v>
      </c>
      <c r="G357" s="265" t="s">
        <v>90</v>
      </c>
      <c r="H357" s="369">
        <v>1365</v>
      </c>
      <c r="I357" s="369">
        <f>IF(Table1[[#This Row],[TYPE]]="Income",Table1[[#This Row],[AMOUNT (₹)]],-Table1[[#This Row],[AMOUNT (₹)]])</f>
        <v>-1365</v>
      </c>
      <c r="J357" s="265"/>
      <c r="K357" s="348"/>
      <c r="L357" s="265">
        <f t="shared" si="11"/>
        <v>2024</v>
      </c>
      <c r="M357" s="259">
        <f ca="1">IF(L357="","",COUNTIF($L$9:INDIRECT("K"&amp;ROW()),L357))</f>
        <v>100</v>
      </c>
    </row>
    <row r="358" spans="3:13" ht="18" hidden="1" customHeight="1" outlineLevel="1" x14ac:dyDescent="0.2">
      <c r="C358" s="252">
        <v>45636</v>
      </c>
      <c r="D358" s="248" t="s">
        <v>510</v>
      </c>
      <c r="E358" s="263">
        <f t="shared" si="10"/>
        <v>2024</v>
      </c>
      <c r="F358" s="266" t="s">
        <v>274</v>
      </c>
      <c r="G358" s="265" t="s">
        <v>90</v>
      </c>
      <c r="H358" s="369">
        <v>2538.6</v>
      </c>
      <c r="I358" s="369">
        <f>IF(Table1[[#This Row],[TYPE]]="Income",Table1[[#This Row],[AMOUNT (₹)]],-Table1[[#This Row],[AMOUNT (₹)]])</f>
        <v>-2538.6</v>
      </c>
      <c r="J358" s="265"/>
      <c r="K358" s="348"/>
      <c r="L358" s="265">
        <f t="shared" si="11"/>
        <v>2024</v>
      </c>
      <c r="M358" s="259">
        <f ca="1">IF(L358="","",COUNTIF($L$9:INDIRECT("K"&amp;ROW()),L358))</f>
        <v>101</v>
      </c>
    </row>
    <row r="359" spans="3:13" ht="18" hidden="1" customHeight="1" outlineLevel="1" x14ac:dyDescent="0.2">
      <c r="C359" s="252">
        <v>45636</v>
      </c>
      <c r="D359" s="248" t="s">
        <v>254</v>
      </c>
      <c r="E359" s="263">
        <f t="shared" si="10"/>
        <v>2024</v>
      </c>
      <c r="F359" s="266" t="s">
        <v>30</v>
      </c>
      <c r="G359" s="265" t="s">
        <v>98</v>
      </c>
      <c r="H359" s="369">
        <v>1376</v>
      </c>
      <c r="I359" s="369">
        <f>IF(Table1[[#This Row],[TYPE]]="Income",Table1[[#This Row],[AMOUNT (₹)]],-Table1[[#This Row],[AMOUNT (₹)]])</f>
        <v>-1376</v>
      </c>
      <c r="J359" s="265"/>
      <c r="K359" s="348"/>
      <c r="L359" s="265">
        <f t="shared" si="11"/>
        <v>2024</v>
      </c>
      <c r="M359" s="259">
        <f ca="1">IF(L359="","",COUNTIF($L$9:INDIRECT("K"&amp;ROW()),L359))</f>
        <v>102</v>
      </c>
    </row>
    <row r="360" spans="3:13" ht="18" hidden="1" customHeight="1" outlineLevel="1" x14ac:dyDescent="0.2">
      <c r="C360" s="252">
        <v>45639</v>
      </c>
      <c r="D360" s="248" t="s">
        <v>511</v>
      </c>
      <c r="E360" s="263">
        <f t="shared" si="10"/>
        <v>2024</v>
      </c>
      <c r="F360" s="266" t="s">
        <v>274</v>
      </c>
      <c r="G360" s="265" t="s">
        <v>82</v>
      </c>
      <c r="H360" s="369">
        <v>2800</v>
      </c>
      <c r="I360" s="369">
        <f>IF(Table1[[#This Row],[TYPE]]="Income",Table1[[#This Row],[AMOUNT (₹)]],-Table1[[#This Row],[AMOUNT (₹)]])</f>
        <v>-2800</v>
      </c>
      <c r="J360" s="265"/>
      <c r="K360" s="348"/>
      <c r="L360" s="265">
        <f t="shared" si="11"/>
        <v>2024</v>
      </c>
      <c r="M360" s="259">
        <f ca="1">IF(L360="","",COUNTIF($L$9:INDIRECT("K"&amp;ROW()),L360))</f>
        <v>103</v>
      </c>
    </row>
    <row r="361" spans="3:13" ht="18" hidden="1" customHeight="1" outlineLevel="1" x14ac:dyDescent="0.2">
      <c r="C361" s="252">
        <v>45641</v>
      </c>
      <c r="D361" s="248" t="s">
        <v>415</v>
      </c>
      <c r="E361" s="263">
        <f t="shared" si="10"/>
        <v>2024</v>
      </c>
      <c r="F361" s="266" t="s">
        <v>274</v>
      </c>
      <c r="G361" s="265" t="s">
        <v>80</v>
      </c>
      <c r="H361" s="369">
        <v>7423.21</v>
      </c>
      <c r="I361" s="369">
        <f>IF(Table1[[#This Row],[TYPE]]="Income",Table1[[#This Row],[AMOUNT (₹)]],-Table1[[#This Row],[AMOUNT (₹)]])</f>
        <v>-7423.21</v>
      </c>
      <c r="J361" s="265"/>
      <c r="K361" s="348"/>
      <c r="L361" s="265">
        <f t="shared" si="11"/>
        <v>2024</v>
      </c>
      <c r="M361" s="259">
        <f ca="1">IF(L361="","",COUNTIF($L$9:INDIRECT("K"&amp;ROW()),L361))</f>
        <v>104</v>
      </c>
    </row>
    <row r="362" spans="3:13" ht="18" hidden="1" customHeight="1" outlineLevel="1" x14ac:dyDescent="0.2">
      <c r="C362" s="252">
        <v>45642</v>
      </c>
      <c r="D362" s="248" t="s">
        <v>94</v>
      </c>
      <c r="E362" s="263">
        <f t="shared" si="10"/>
        <v>2024</v>
      </c>
      <c r="F362" s="266" t="s">
        <v>274</v>
      </c>
      <c r="G362" s="265" t="s">
        <v>92</v>
      </c>
      <c r="H362" s="369">
        <v>3600</v>
      </c>
      <c r="I362" s="369">
        <f>IF(Table1[[#This Row],[TYPE]]="Income",Table1[[#This Row],[AMOUNT (₹)]],-Table1[[#This Row],[AMOUNT (₹)]])</f>
        <v>-3600</v>
      </c>
      <c r="J362" s="265"/>
      <c r="K362" s="348"/>
      <c r="L362" s="265">
        <f t="shared" si="11"/>
        <v>2024</v>
      </c>
      <c r="M362" s="259">
        <f ca="1">IF(L362="","",COUNTIF($L$9:INDIRECT("K"&amp;ROW()),L362))</f>
        <v>105</v>
      </c>
    </row>
    <row r="363" spans="3:13" ht="18" hidden="1" customHeight="1" outlineLevel="1" x14ac:dyDescent="0.2">
      <c r="C363" s="252">
        <v>45651</v>
      </c>
      <c r="D363" s="248" t="s">
        <v>412</v>
      </c>
      <c r="E363" s="263">
        <f t="shared" si="10"/>
        <v>2024</v>
      </c>
      <c r="F363" s="266" t="s">
        <v>274</v>
      </c>
      <c r="G363" s="265" t="s">
        <v>82</v>
      </c>
      <c r="H363" s="369">
        <v>800</v>
      </c>
      <c r="I363" s="369">
        <f>IF(Table1[[#This Row],[TYPE]]="Income",Table1[[#This Row],[AMOUNT (₹)]],-Table1[[#This Row],[AMOUNT (₹)]])</f>
        <v>-800</v>
      </c>
      <c r="J363" s="265"/>
      <c r="K363" s="348"/>
      <c r="L363" s="265">
        <f t="shared" si="11"/>
        <v>2024</v>
      </c>
      <c r="M363" s="259">
        <f ca="1">IF(L363="","",COUNTIF($L$9:INDIRECT("K"&amp;ROW()),L363))</f>
        <v>106</v>
      </c>
    </row>
    <row r="364" spans="3:13" ht="18" hidden="1" customHeight="1" outlineLevel="1" x14ac:dyDescent="0.2">
      <c r="C364" s="252">
        <v>45652</v>
      </c>
      <c r="D364" s="248" t="s">
        <v>376</v>
      </c>
      <c r="E364" s="263">
        <f t="shared" si="10"/>
        <v>2024</v>
      </c>
      <c r="F364" s="266" t="s">
        <v>274</v>
      </c>
      <c r="G364" s="265" t="s">
        <v>82</v>
      </c>
      <c r="H364" s="369">
        <v>1252</v>
      </c>
      <c r="I364" s="369">
        <f>IF(Table1[[#This Row],[TYPE]]="Income",Table1[[#This Row],[AMOUNT (₹)]],-Table1[[#This Row],[AMOUNT (₹)]])</f>
        <v>-1252</v>
      </c>
      <c r="J364" s="265"/>
      <c r="K364" s="348"/>
      <c r="L364" s="265">
        <f t="shared" si="11"/>
        <v>2024</v>
      </c>
      <c r="M364" s="259">
        <f ca="1">IF(L364="","",COUNTIF($L$9:INDIRECT("K"&amp;ROW()),L364))</f>
        <v>107</v>
      </c>
    </row>
    <row r="365" spans="3:13" ht="18" hidden="1" customHeight="1" outlineLevel="1" x14ac:dyDescent="0.2">
      <c r="C365" s="252">
        <v>45653</v>
      </c>
      <c r="D365" s="248" t="s">
        <v>94</v>
      </c>
      <c r="E365" s="263">
        <f t="shared" si="10"/>
        <v>2024</v>
      </c>
      <c r="F365" s="266" t="s">
        <v>274</v>
      </c>
      <c r="G365" s="265" t="s">
        <v>94</v>
      </c>
      <c r="H365" s="369">
        <v>500</v>
      </c>
      <c r="I365" s="369">
        <f>IF(Table1[[#This Row],[TYPE]]="Income",Table1[[#This Row],[AMOUNT (₹)]],-Table1[[#This Row],[AMOUNT (₹)]])</f>
        <v>-500</v>
      </c>
      <c r="J365" s="265"/>
      <c r="K365" s="348"/>
      <c r="L365" s="265">
        <f t="shared" si="11"/>
        <v>2024</v>
      </c>
      <c r="M365" s="259">
        <f ca="1">IF(L365="","",COUNTIF($L$9:INDIRECT("K"&amp;ROW()),L365))</f>
        <v>108</v>
      </c>
    </row>
    <row r="366" spans="3:13" ht="18" hidden="1" customHeight="1" outlineLevel="1" x14ac:dyDescent="0.2">
      <c r="C366" s="252">
        <v>45654</v>
      </c>
      <c r="D366" s="248" t="s">
        <v>254</v>
      </c>
      <c r="E366" s="263">
        <f t="shared" si="10"/>
        <v>2024</v>
      </c>
      <c r="F366" s="266" t="s">
        <v>274</v>
      </c>
      <c r="G366" s="265" t="s">
        <v>76</v>
      </c>
      <c r="H366" s="369">
        <v>11000</v>
      </c>
      <c r="I366" s="369">
        <f>IF(Table1[[#This Row],[TYPE]]="Income",Table1[[#This Row],[AMOUNT (₹)]],-Table1[[#This Row],[AMOUNT (₹)]])</f>
        <v>-11000</v>
      </c>
      <c r="J366" s="265"/>
      <c r="K366" s="348"/>
      <c r="L366" s="265">
        <f t="shared" si="11"/>
        <v>2024</v>
      </c>
      <c r="M366" s="259">
        <f ca="1">IF(L366="","",COUNTIF($L$9:INDIRECT("K"&amp;ROW()),L366))</f>
        <v>109</v>
      </c>
    </row>
    <row r="367" spans="3:13" ht="18" hidden="1" customHeight="1" outlineLevel="1" x14ac:dyDescent="0.2">
      <c r="C367" s="252">
        <v>45657</v>
      </c>
      <c r="D367" s="248" t="s">
        <v>512</v>
      </c>
      <c r="E367" s="263">
        <f t="shared" si="10"/>
        <v>2024</v>
      </c>
      <c r="F367" s="266" t="s">
        <v>274</v>
      </c>
      <c r="G367" s="265" t="s">
        <v>92</v>
      </c>
      <c r="H367" s="369">
        <v>9000</v>
      </c>
      <c r="I367" s="369">
        <f>IF(Table1[[#This Row],[TYPE]]="Income",Table1[[#This Row],[AMOUNT (₹)]],-Table1[[#This Row],[AMOUNT (₹)]])</f>
        <v>-9000</v>
      </c>
      <c r="J367" s="265"/>
      <c r="K367" s="348"/>
      <c r="L367" s="265">
        <f t="shared" si="11"/>
        <v>2024</v>
      </c>
      <c r="M367" s="259">
        <f ca="1">IF(L367="","",COUNTIF($L$9:INDIRECT("K"&amp;ROW()),L367))</f>
        <v>110</v>
      </c>
    </row>
    <row r="368" spans="3:13" ht="18" hidden="1" customHeight="1" outlineLevel="1" x14ac:dyDescent="0.2">
      <c r="C368" s="252">
        <v>45657</v>
      </c>
      <c r="D368" s="248" t="s">
        <v>303</v>
      </c>
      <c r="E368" s="263">
        <f t="shared" si="10"/>
        <v>2024</v>
      </c>
      <c r="F368" s="266" t="s">
        <v>277</v>
      </c>
      <c r="G368" s="265" t="s">
        <v>111</v>
      </c>
      <c r="H368" s="369">
        <v>48000</v>
      </c>
      <c r="I368" s="369">
        <f>IF(Table1[[#This Row],[TYPE]]="Income",Table1[[#This Row],[AMOUNT (₹)]],-Table1[[#This Row],[AMOUNT (₹)]])</f>
        <v>48000</v>
      </c>
      <c r="J368" s="265"/>
      <c r="K368" s="348"/>
      <c r="L368" s="265">
        <f t="shared" si="11"/>
        <v>2024</v>
      </c>
      <c r="M368" s="259">
        <f ca="1">IF(L368="","",COUNTIF($L$9:INDIRECT("K"&amp;ROW()),L368))</f>
        <v>111</v>
      </c>
    </row>
    <row r="369" spans="3:13" ht="18" hidden="1" customHeight="1" outlineLevel="1" x14ac:dyDescent="0.2">
      <c r="C369" s="252">
        <v>45658</v>
      </c>
      <c r="D369" s="248" t="s">
        <v>513</v>
      </c>
      <c r="E369" s="263">
        <f t="shared" si="10"/>
        <v>2025</v>
      </c>
      <c r="F369" s="266" t="s">
        <v>274</v>
      </c>
      <c r="G369" s="265" t="s">
        <v>88</v>
      </c>
      <c r="H369" s="369">
        <v>5500</v>
      </c>
      <c r="I369" s="369">
        <f>IF(Table1[[#This Row],[TYPE]]="Income",Table1[[#This Row],[AMOUNT (₹)]],-Table1[[#This Row],[AMOUNT (₹)]])</f>
        <v>-5500</v>
      </c>
      <c r="J369" s="265"/>
      <c r="K369" s="348"/>
      <c r="L369" s="265">
        <f t="shared" si="11"/>
        <v>2024</v>
      </c>
      <c r="M369" s="259">
        <f ca="1">IF(L369="","",COUNTIF($L$9:INDIRECT("K"&amp;ROW()),L369))</f>
        <v>112</v>
      </c>
    </row>
    <row r="370" spans="3:13" ht="18" hidden="1" customHeight="1" outlineLevel="1" x14ac:dyDescent="0.2">
      <c r="C370" s="252">
        <v>45658</v>
      </c>
      <c r="D370" s="248" t="s">
        <v>514</v>
      </c>
      <c r="E370" s="263">
        <f t="shared" si="10"/>
        <v>2025</v>
      </c>
      <c r="F370" s="266" t="s">
        <v>274</v>
      </c>
      <c r="G370" s="265" t="s">
        <v>84</v>
      </c>
      <c r="H370" s="369">
        <v>54000</v>
      </c>
      <c r="I370" s="369">
        <f>IF(Table1[[#This Row],[TYPE]]="Income",Table1[[#This Row],[AMOUNT (₹)]],-Table1[[#This Row],[AMOUNT (₹)]])</f>
        <v>-54000</v>
      </c>
      <c r="J370" s="265"/>
      <c r="K370" s="348"/>
      <c r="L370" s="265">
        <f t="shared" si="11"/>
        <v>2024</v>
      </c>
      <c r="M370" s="259">
        <f ca="1">IF(L370="","",COUNTIF($L$9:INDIRECT("K"&amp;ROW()),L370))</f>
        <v>113</v>
      </c>
    </row>
    <row r="371" spans="3:13" ht="18" hidden="1" customHeight="1" outlineLevel="1" x14ac:dyDescent="0.2">
      <c r="C371" s="252">
        <v>45662</v>
      </c>
      <c r="D371" s="248" t="s">
        <v>515</v>
      </c>
      <c r="E371" s="263">
        <f t="shared" si="10"/>
        <v>2025</v>
      </c>
      <c r="F371" s="266" t="s">
        <v>274</v>
      </c>
      <c r="G371" s="265" t="s">
        <v>84</v>
      </c>
      <c r="H371" s="369">
        <v>11000</v>
      </c>
      <c r="I371" s="369">
        <f>IF(Table1[[#This Row],[TYPE]]="Income",Table1[[#This Row],[AMOUNT (₹)]],-Table1[[#This Row],[AMOUNT (₹)]])</f>
        <v>-11000</v>
      </c>
      <c r="J371" s="265"/>
      <c r="K371" s="348"/>
      <c r="L371" s="265">
        <f t="shared" si="11"/>
        <v>2024</v>
      </c>
      <c r="M371" s="259">
        <f ca="1">IF(L371="","",COUNTIF($L$9:INDIRECT("K"&amp;ROW()),L371))</f>
        <v>114</v>
      </c>
    </row>
    <row r="372" spans="3:13" ht="18" hidden="1" customHeight="1" outlineLevel="1" x14ac:dyDescent="0.2">
      <c r="C372" s="252">
        <v>45663</v>
      </c>
      <c r="D372" s="248" t="s">
        <v>516</v>
      </c>
      <c r="E372" s="263">
        <f t="shared" si="10"/>
        <v>2025</v>
      </c>
      <c r="F372" s="266" t="s">
        <v>274</v>
      </c>
      <c r="G372" s="265" t="s">
        <v>84</v>
      </c>
      <c r="H372" s="369">
        <v>11000</v>
      </c>
      <c r="I372" s="369">
        <f>IF(Table1[[#This Row],[TYPE]]="Income",Table1[[#This Row],[AMOUNT (₹)]],-Table1[[#This Row],[AMOUNT (₹)]])</f>
        <v>-11000</v>
      </c>
      <c r="J372" s="265"/>
      <c r="K372" s="348"/>
      <c r="L372" s="265">
        <f t="shared" si="11"/>
        <v>2024</v>
      </c>
      <c r="M372" s="259">
        <f ca="1">IF(L372="","",COUNTIF($L$9:INDIRECT("K"&amp;ROW()),L372))</f>
        <v>115</v>
      </c>
    </row>
    <row r="373" spans="3:13" ht="18" hidden="1" customHeight="1" outlineLevel="1" x14ac:dyDescent="0.2">
      <c r="C373" s="252">
        <v>45665</v>
      </c>
      <c r="D373" s="248" t="s">
        <v>517</v>
      </c>
      <c r="E373" s="263">
        <f t="shared" si="10"/>
        <v>2025</v>
      </c>
      <c r="F373" s="266" t="s">
        <v>274</v>
      </c>
      <c r="G373" s="265" t="s">
        <v>88</v>
      </c>
      <c r="H373" s="369">
        <v>2100</v>
      </c>
      <c r="I373" s="369">
        <f>IF(Table1[[#This Row],[TYPE]]="Income",Table1[[#This Row],[AMOUNT (₹)]],-Table1[[#This Row],[AMOUNT (₹)]])</f>
        <v>-2100</v>
      </c>
      <c r="J373" s="265"/>
      <c r="K373" s="348"/>
      <c r="L373" s="265">
        <f t="shared" si="11"/>
        <v>2024</v>
      </c>
      <c r="M373" s="259">
        <f ca="1">IF(L373="","",COUNTIF($L$9:INDIRECT("K"&amp;ROW()),L373))</f>
        <v>116</v>
      </c>
    </row>
    <row r="374" spans="3:13" ht="18" hidden="1" customHeight="1" outlineLevel="1" x14ac:dyDescent="0.2">
      <c r="C374" s="252">
        <v>45667</v>
      </c>
      <c r="D374" s="248" t="s">
        <v>256</v>
      </c>
      <c r="E374" s="263">
        <f t="shared" si="10"/>
        <v>2025</v>
      </c>
      <c r="F374" s="266" t="s">
        <v>30</v>
      </c>
      <c r="G374" s="265" t="s">
        <v>98</v>
      </c>
      <c r="H374" s="369">
        <v>1376</v>
      </c>
      <c r="I374" s="369">
        <f>IF(Table1[[#This Row],[TYPE]]="Income",Table1[[#This Row],[AMOUNT (₹)]],-Table1[[#This Row],[AMOUNT (₹)]])</f>
        <v>-1376</v>
      </c>
      <c r="J374" s="265"/>
      <c r="K374" s="348"/>
      <c r="L374" s="265">
        <f t="shared" si="11"/>
        <v>2024</v>
      </c>
      <c r="M374" s="259">
        <f ca="1">IF(L374="","",COUNTIF($L$9:INDIRECT("K"&amp;ROW()),L374))</f>
        <v>117</v>
      </c>
    </row>
    <row r="375" spans="3:13" ht="18" hidden="1" customHeight="1" outlineLevel="1" x14ac:dyDescent="0.2">
      <c r="C375" s="252">
        <v>45668</v>
      </c>
      <c r="D375" s="248" t="s">
        <v>518</v>
      </c>
      <c r="E375" s="263">
        <f t="shared" si="10"/>
        <v>2025</v>
      </c>
      <c r="F375" s="266" t="s">
        <v>274</v>
      </c>
      <c r="G375" s="265" t="s">
        <v>90</v>
      </c>
      <c r="H375" s="369">
        <v>1398.6</v>
      </c>
      <c r="I375" s="369">
        <f>IF(Table1[[#This Row],[TYPE]]="Income",Table1[[#This Row],[AMOUNT (₹)]],-Table1[[#This Row],[AMOUNT (₹)]])</f>
        <v>-1398.6</v>
      </c>
      <c r="J375" s="265"/>
      <c r="K375" s="348"/>
      <c r="L375" s="265">
        <f t="shared" si="11"/>
        <v>2024</v>
      </c>
      <c r="M375" s="259">
        <f ca="1">IF(L375="","",COUNTIF($L$9:INDIRECT("K"&amp;ROW()),L375))</f>
        <v>118</v>
      </c>
    </row>
    <row r="376" spans="3:13" ht="18" hidden="1" customHeight="1" outlineLevel="1" x14ac:dyDescent="0.2">
      <c r="C376" s="252">
        <v>45672</v>
      </c>
      <c r="D376" s="248" t="s">
        <v>519</v>
      </c>
      <c r="E376" s="263">
        <f t="shared" si="10"/>
        <v>2025</v>
      </c>
      <c r="F376" s="266" t="s">
        <v>274</v>
      </c>
      <c r="G376" s="265" t="s">
        <v>76</v>
      </c>
      <c r="H376" s="369">
        <v>2400</v>
      </c>
      <c r="I376" s="369">
        <f>IF(Table1[[#This Row],[TYPE]]="Income",Table1[[#This Row],[AMOUNT (₹)]],-Table1[[#This Row],[AMOUNT (₹)]])</f>
        <v>-2400</v>
      </c>
      <c r="J376" s="265"/>
      <c r="K376" s="348"/>
      <c r="L376" s="265">
        <f t="shared" si="11"/>
        <v>2024</v>
      </c>
      <c r="M376" s="259">
        <f ca="1">IF(L376="","",COUNTIF($L$9:INDIRECT("K"&amp;ROW()),L376))</f>
        <v>119</v>
      </c>
    </row>
    <row r="377" spans="3:13" ht="18" hidden="1" customHeight="1" outlineLevel="1" x14ac:dyDescent="0.2">
      <c r="C377" s="252">
        <v>45672</v>
      </c>
      <c r="D377" s="248" t="s">
        <v>420</v>
      </c>
      <c r="E377" s="263">
        <f t="shared" si="10"/>
        <v>2025</v>
      </c>
      <c r="F377" s="266" t="s">
        <v>274</v>
      </c>
      <c r="G377" s="265" t="s">
        <v>80</v>
      </c>
      <c r="H377" s="369">
        <v>7406.73</v>
      </c>
      <c r="I377" s="369">
        <f>IF(Table1[[#This Row],[TYPE]]="Income",Table1[[#This Row],[AMOUNT (₹)]],-Table1[[#This Row],[AMOUNT (₹)]])</f>
        <v>-7406.73</v>
      </c>
      <c r="J377" s="265"/>
      <c r="K377" s="348"/>
      <c r="L377" s="265">
        <f t="shared" si="11"/>
        <v>2024</v>
      </c>
      <c r="M377" s="259">
        <f ca="1">IF(L377="","",COUNTIF($L$9:INDIRECT("K"&amp;ROW()),L377))</f>
        <v>120</v>
      </c>
    </row>
    <row r="378" spans="3:13" ht="18" hidden="1" customHeight="1" outlineLevel="1" x14ac:dyDescent="0.2">
      <c r="C378" s="252">
        <v>45672</v>
      </c>
      <c r="D378" s="248" t="s">
        <v>520</v>
      </c>
      <c r="E378" s="263">
        <f t="shared" si="10"/>
        <v>2025</v>
      </c>
      <c r="F378" s="266" t="s">
        <v>277</v>
      </c>
      <c r="G378" s="265" t="s">
        <v>92</v>
      </c>
      <c r="H378" s="369">
        <v>25000</v>
      </c>
      <c r="I378" s="369">
        <f>IF(Table1[[#This Row],[TYPE]]="Income",Table1[[#This Row],[AMOUNT (₹)]],-Table1[[#This Row],[AMOUNT (₹)]])</f>
        <v>25000</v>
      </c>
      <c r="J378" s="265"/>
      <c r="K378" s="348"/>
      <c r="L378" s="265">
        <f t="shared" si="11"/>
        <v>2024</v>
      </c>
      <c r="M378" s="259">
        <f ca="1">IF(L378="","",COUNTIF($L$9:INDIRECT("K"&amp;ROW()),L378))</f>
        <v>121</v>
      </c>
    </row>
    <row r="379" spans="3:13" ht="18" hidden="1" customHeight="1" outlineLevel="1" x14ac:dyDescent="0.2">
      <c r="C379" s="252">
        <v>45674</v>
      </c>
      <c r="D379" s="248" t="s">
        <v>521</v>
      </c>
      <c r="E379" s="263">
        <f t="shared" si="10"/>
        <v>2025</v>
      </c>
      <c r="F379" s="266" t="s">
        <v>274</v>
      </c>
      <c r="G379" s="265" t="s">
        <v>76</v>
      </c>
      <c r="H379" s="369">
        <v>11725</v>
      </c>
      <c r="I379" s="369">
        <f>IF(Table1[[#This Row],[TYPE]]="Income",Table1[[#This Row],[AMOUNT (₹)]],-Table1[[#This Row],[AMOUNT (₹)]])</f>
        <v>-11725</v>
      </c>
      <c r="J379" s="265"/>
      <c r="K379" s="348"/>
      <c r="L379" s="265">
        <f t="shared" si="11"/>
        <v>2024</v>
      </c>
      <c r="M379" s="259">
        <f ca="1">IF(L379="","",COUNTIF($L$9:INDIRECT("K"&amp;ROW()),L379))</f>
        <v>122</v>
      </c>
    </row>
    <row r="380" spans="3:13" ht="18" hidden="1" customHeight="1" outlineLevel="1" x14ac:dyDescent="0.2">
      <c r="C380" s="252">
        <v>45675</v>
      </c>
      <c r="D380" s="248" t="s">
        <v>522</v>
      </c>
      <c r="E380" s="263">
        <f t="shared" si="10"/>
        <v>2025</v>
      </c>
      <c r="F380" s="266" t="s">
        <v>274</v>
      </c>
      <c r="G380" s="265" t="s">
        <v>90</v>
      </c>
      <c r="H380" s="369">
        <v>4148</v>
      </c>
      <c r="I380" s="369">
        <f>IF(Table1[[#This Row],[TYPE]]="Income",Table1[[#This Row],[AMOUNT (₹)]],-Table1[[#This Row],[AMOUNT (₹)]])</f>
        <v>-4148</v>
      </c>
      <c r="J380" s="265"/>
      <c r="K380" s="348"/>
      <c r="L380" s="265">
        <f t="shared" si="11"/>
        <v>2024</v>
      </c>
      <c r="M380" s="259">
        <f ca="1">IF(L380="","",COUNTIF($L$9:INDIRECT("K"&amp;ROW()),L380))</f>
        <v>123</v>
      </c>
    </row>
    <row r="381" spans="3:13" ht="18" hidden="1" customHeight="1" outlineLevel="1" x14ac:dyDescent="0.2">
      <c r="C381" s="252">
        <v>45683</v>
      </c>
      <c r="D381" s="248" t="s">
        <v>523</v>
      </c>
      <c r="E381" s="263">
        <f t="shared" si="10"/>
        <v>2025</v>
      </c>
      <c r="F381" s="266" t="s">
        <v>277</v>
      </c>
      <c r="G381" s="265" t="s">
        <v>82</v>
      </c>
      <c r="H381" s="369">
        <v>5000</v>
      </c>
      <c r="I381" s="369">
        <f>IF(Table1[[#This Row],[TYPE]]="Income",Table1[[#This Row],[AMOUNT (₹)]],-Table1[[#This Row],[AMOUNT (₹)]])</f>
        <v>5000</v>
      </c>
      <c r="J381" s="265"/>
      <c r="K381" s="348"/>
      <c r="L381" s="265">
        <f t="shared" si="11"/>
        <v>2024</v>
      </c>
      <c r="M381" s="259">
        <f ca="1">IF(L381="","",COUNTIF($L$9:INDIRECT("K"&amp;ROW()),L381))</f>
        <v>124</v>
      </c>
    </row>
    <row r="382" spans="3:13" ht="18" hidden="1" customHeight="1" outlineLevel="1" x14ac:dyDescent="0.2">
      <c r="C382" s="252">
        <v>45688</v>
      </c>
      <c r="D382" s="248" t="s">
        <v>524</v>
      </c>
      <c r="E382" s="263">
        <f t="shared" si="10"/>
        <v>2025</v>
      </c>
      <c r="F382" s="266" t="s">
        <v>274</v>
      </c>
      <c r="G382" s="265" t="s">
        <v>82</v>
      </c>
      <c r="H382" s="369">
        <v>6299</v>
      </c>
      <c r="I382" s="369">
        <f>IF(Table1[[#This Row],[TYPE]]="Income",Table1[[#This Row],[AMOUNT (₹)]],-Table1[[#This Row],[AMOUNT (₹)]])</f>
        <v>-6299</v>
      </c>
      <c r="J382" s="265"/>
      <c r="K382" s="348"/>
      <c r="L382" s="265">
        <f t="shared" si="11"/>
        <v>2024</v>
      </c>
      <c r="M382" s="259">
        <f ca="1">IF(L382="","",COUNTIF($L$9:INDIRECT("K"&amp;ROW()),L382))</f>
        <v>125</v>
      </c>
    </row>
    <row r="383" spans="3:13" ht="18" hidden="1" customHeight="1" outlineLevel="1" x14ac:dyDescent="0.2">
      <c r="C383" s="252">
        <v>45688</v>
      </c>
      <c r="D383" s="272">
        <v>45689</v>
      </c>
      <c r="E383" s="263">
        <f t="shared" si="10"/>
        <v>2025</v>
      </c>
      <c r="F383" s="266" t="s">
        <v>274</v>
      </c>
      <c r="G383" s="265" t="s">
        <v>88</v>
      </c>
      <c r="H383" s="369">
        <v>4000</v>
      </c>
      <c r="I383" s="369">
        <f>IF(Table1[[#This Row],[TYPE]]="Income",Table1[[#This Row],[AMOUNT (₹)]],-Table1[[#This Row],[AMOUNT (₹)]])</f>
        <v>-4000</v>
      </c>
      <c r="J383" s="265"/>
      <c r="K383" s="348"/>
      <c r="L383" s="265">
        <f t="shared" si="11"/>
        <v>2024</v>
      </c>
      <c r="M383" s="259">
        <f ca="1">IF(L383="","",COUNTIF($L$9:INDIRECT("K"&amp;ROW()),L383))</f>
        <v>126</v>
      </c>
    </row>
    <row r="384" spans="3:13" ht="18" hidden="1" customHeight="1" outlineLevel="1" x14ac:dyDescent="0.2">
      <c r="C384" s="252">
        <v>45688</v>
      </c>
      <c r="D384" s="248" t="s">
        <v>307</v>
      </c>
      <c r="E384" s="263">
        <f t="shared" si="10"/>
        <v>2025</v>
      </c>
      <c r="F384" s="266" t="s">
        <v>277</v>
      </c>
      <c r="G384" s="265" t="s">
        <v>111</v>
      </c>
      <c r="H384" s="369">
        <v>48000</v>
      </c>
      <c r="I384" s="369">
        <f>IF(Table1[[#This Row],[TYPE]]="Income",Table1[[#This Row],[AMOUNT (₹)]],-Table1[[#This Row],[AMOUNT (₹)]])</f>
        <v>48000</v>
      </c>
      <c r="J384" s="265"/>
      <c r="K384" s="348"/>
      <c r="L384" s="265">
        <f t="shared" si="11"/>
        <v>2024</v>
      </c>
      <c r="M384" s="259">
        <f ca="1">IF(L384="","",COUNTIF($L$9:INDIRECT("K"&amp;ROW()),L384))</f>
        <v>127</v>
      </c>
    </row>
    <row r="385" spans="3:13" ht="18" hidden="1" customHeight="1" outlineLevel="1" x14ac:dyDescent="0.2">
      <c r="C385" s="252">
        <v>45692</v>
      </c>
      <c r="D385" s="248" t="s">
        <v>427</v>
      </c>
      <c r="E385" s="263">
        <f t="shared" si="10"/>
        <v>2025</v>
      </c>
      <c r="F385" s="266" t="s">
        <v>274</v>
      </c>
      <c r="G385" s="265" t="s">
        <v>80</v>
      </c>
      <c r="H385" s="369">
        <v>7390.04</v>
      </c>
      <c r="I385" s="369">
        <f>IF(Table1[[#This Row],[TYPE]]="Income",Table1[[#This Row],[AMOUNT (₹)]],-Table1[[#This Row],[AMOUNT (₹)]])</f>
        <v>-7390.04</v>
      </c>
      <c r="J385" s="265"/>
      <c r="K385" s="348"/>
      <c r="L385" s="265">
        <f t="shared" si="11"/>
        <v>2024</v>
      </c>
      <c r="M385" s="259">
        <f ca="1">IF(L385="","",COUNTIF($L$9:INDIRECT("K"&amp;ROW()),L385))</f>
        <v>128</v>
      </c>
    </row>
    <row r="386" spans="3:13" ht="18" hidden="1" customHeight="1" outlineLevel="1" x14ac:dyDescent="0.2">
      <c r="C386" s="252">
        <v>45697</v>
      </c>
      <c r="D386" s="271" t="s">
        <v>525</v>
      </c>
      <c r="E386" s="263">
        <f t="shared" si="10"/>
        <v>2025</v>
      </c>
      <c r="F386" s="266" t="s">
        <v>274</v>
      </c>
      <c r="G386" s="265" t="s">
        <v>92</v>
      </c>
      <c r="H386" s="369">
        <f>Own!E2</f>
        <v>82594</v>
      </c>
      <c r="I386" s="369">
        <f>IF(Table1[[#This Row],[TYPE]]="Income",Table1[[#This Row],[AMOUNT (₹)]],-Table1[[#This Row],[AMOUNT (₹)]])</f>
        <v>-82594</v>
      </c>
      <c r="J386" s="265"/>
      <c r="K386" s="348"/>
      <c r="L386" s="265">
        <f t="shared" si="11"/>
        <v>2024</v>
      </c>
      <c r="M386" s="259">
        <f ca="1">IF(L386="","",COUNTIF($L$9:INDIRECT("K"&amp;ROW()),L386))</f>
        <v>129</v>
      </c>
    </row>
    <row r="387" spans="3:13" ht="18" hidden="1" customHeight="1" outlineLevel="1" x14ac:dyDescent="0.2">
      <c r="C387" s="252">
        <v>45697</v>
      </c>
      <c r="D387" s="271" t="s">
        <v>526</v>
      </c>
      <c r="E387" s="263">
        <f t="shared" si="10"/>
        <v>2025</v>
      </c>
      <c r="F387" s="266" t="s">
        <v>274</v>
      </c>
      <c r="G387" s="265" t="s">
        <v>92</v>
      </c>
      <c r="H387" s="369">
        <f>Own!D52</f>
        <v>22550</v>
      </c>
      <c r="I387" s="369">
        <f>IF(Table1[[#This Row],[TYPE]]="Income",Table1[[#This Row],[AMOUNT (₹)]],-Table1[[#This Row],[AMOUNT (₹)]])</f>
        <v>-22550</v>
      </c>
      <c r="J387" s="265"/>
      <c r="K387" s="348"/>
      <c r="L387" s="265">
        <f t="shared" si="11"/>
        <v>2024</v>
      </c>
      <c r="M387" s="259">
        <f ca="1">IF(L387="","",COUNTIF($L$9:INDIRECT("K"&amp;ROW()),L387))</f>
        <v>130</v>
      </c>
    </row>
    <row r="388" spans="3:13" ht="18" hidden="1" customHeight="1" outlineLevel="1" x14ac:dyDescent="0.2">
      <c r="C388" s="252">
        <v>45698</v>
      </c>
      <c r="D388" s="248" t="s">
        <v>258</v>
      </c>
      <c r="E388" s="263">
        <f t="shared" si="10"/>
        <v>2025</v>
      </c>
      <c r="F388" s="266" t="s">
        <v>30</v>
      </c>
      <c r="G388" s="265" t="s">
        <v>98</v>
      </c>
      <c r="H388" s="369">
        <v>1376</v>
      </c>
      <c r="I388" s="369">
        <f>IF(Table1[[#This Row],[TYPE]]="Income",Table1[[#This Row],[AMOUNT (₹)]],-Table1[[#This Row],[AMOUNT (₹)]])</f>
        <v>-1376</v>
      </c>
      <c r="J388" s="265"/>
      <c r="K388" s="348"/>
      <c r="L388" s="265">
        <f t="shared" si="11"/>
        <v>2024</v>
      </c>
      <c r="M388" s="259">
        <f ca="1">IF(L388="","",COUNTIF($L$9:INDIRECT("K"&amp;ROW()),L388))</f>
        <v>131</v>
      </c>
    </row>
    <row r="389" spans="3:13" ht="18" hidden="1" customHeight="1" outlineLevel="1" x14ac:dyDescent="0.2">
      <c r="C389" s="252">
        <v>45704</v>
      </c>
      <c r="D389" s="248" t="s">
        <v>527</v>
      </c>
      <c r="E389" s="263">
        <f t="shared" si="10"/>
        <v>2025</v>
      </c>
      <c r="F389" s="266" t="s">
        <v>274</v>
      </c>
      <c r="G389" s="265" t="s">
        <v>82</v>
      </c>
      <c r="H389" s="369">
        <v>4708</v>
      </c>
      <c r="I389" s="369">
        <f>IF(Table1[[#This Row],[TYPE]]="Income",Table1[[#This Row],[AMOUNT (₹)]],-Table1[[#This Row],[AMOUNT (₹)]])</f>
        <v>-4708</v>
      </c>
      <c r="J389" s="265"/>
      <c r="K389" s="348"/>
      <c r="L389" s="265">
        <f t="shared" si="11"/>
        <v>2024</v>
      </c>
      <c r="M389" s="259">
        <f ca="1">IF(L389="","",COUNTIF($L$9:INDIRECT("K"&amp;ROW()),L389))</f>
        <v>132</v>
      </c>
    </row>
    <row r="390" spans="3:13" ht="18" hidden="1" customHeight="1" outlineLevel="1" x14ac:dyDescent="0.2">
      <c r="C390" s="252">
        <v>45713</v>
      </c>
      <c r="D390" s="248" t="s">
        <v>528</v>
      </c>
      <c r="E390" s="263">
        <f t="shared" si="10"/>
        <v>2025</v>
      </c>
      <c r="F390" s="266" t="s">
        <v>274</v>
      </c>
      <c r="G390" s="265" t="s">
        <v>82</v>
      </c>
      <c r="H390" s="369">
        <v>3100</v>
      </c>
      <c r="I390" s="369">
        <f>IF(Table1[[#This Row],[TYPE]]="Income",Table1[[#This Row],[AMOUNT (₹)]],-Table1[[#This Row],[AMOUNT (₹)]])</f>
        <v>-3100</v>
      </c>
      <c r="J390" s="265"/>
      <c r="K390" s="348"/>
      <c r="L390" s="265">
        <f t="shared" si="11"/>
        <v>2024</v>
      </c>
      <c r="M390" s="259">
        <f ca="1">IF(L390="","",COUNTIF($L$9:INDIRECT("K"&amp;ROW()),L390))</f>
        <v>133</v>
      </c>
    </row>
    <row r="391" spans="3:13" ht="18" hidden="1" customHeight="1" outlineLevel="1" x14ac:dyDescent="0.2">
      <c r="C391" s="252">
        <v>45716</v>
      </c>
      <c r="D391" s="248" t="s">
        <v>310</v>
      </c>
      <c r="E391" s="263">
        <f t="shared" si="10"/>
        <v>2025</v>
      </c>
      <c r="F391" s="266" t="s">
        <v>277</v>
      </c>
      <c r="G391" s="265" t="s">
        <v>111</v>
      </c>
      <c r="H391" s="369">
        <v>48000</v>
      </c>
      <c r="I391" s="369">
        <f>IF(Table1[[#This Row],[TYPE]]="Income",Table1[[#This Row],[AMOUNT (₹)]],-Table1[[#This Row],[AMOUNT (₹)]])</f>
        <v>48000</v>
      </c>
      <c r="J391" s="265"/>
      <c r="K391" s="348"/>
      <c r="L391" s="265">
        <f t="shared" si="11"/>
        <v>2024</v>
      </c>
      <c r="M391" s="259">
        <f ca="1">IF(L391="","",COUNTIF($L$9:INDIRECT("K"&amp;ROW()),L391))</f>
        <v>134</v>
      </c>
    </row>
    <row r="392" spans="3:13" ht="18" hidden="1" customHeight="1" outlineLevel="1" x14ac:dyDescent="0.2">
      <c r="C392" s="252">
        <v>45722</v>
      </c>
      <c r="D392" s="248" t="s">
        <v>529</v>
      </c>
      <c r="E392" s="263">
        <f t="shared" si="10"/>
        <v>2025</v>
      </c>
      <c r="F392" s="266" t="s">
        <v>274</v>
      </c>
      <c r="G392" s="265" t="s">
        <v>84</v>
      </c>
      <c r="H392" s="369">
        <v>11500</v>
      </c>
      <c r="I392" s="369">
        <f>IF(Table1[[#This Row],[TYPE]]="Income",Table1[[#This Row],[AMOUNT (₹)]],-Table1[[#This Row],[AMOUNT (₹)]])</f>
        <v>-11500</v>
      </c>
      <c r="J392" s="265"/>
      <c r="K392" s="348"/>
      <c r="L392" s="265">
        <f t="shared" si="11"/>
        <v>2024</v>
      </c>
      <c r="M392" s="259">
        <f ca="1">IF(L392="","",COUNTIF($L$9:INDIRECT("K"&amp;ROW()),L392))</f>
        <v>135</v>
      </c>
    </row>
    <row r="393" spans="3:13" ht="18" hidden="1" customHeight="1" outlineLevel="1" x14ac:dyDescent="0.2">
      <c r="C393" s="252">
        <v>45724</v>
      </c>
      <c r="D393" s="248" t="s">
        <v>530</v>
      </c>
      <c r="E393" s="263">
        <f t="shared" ref="E393:E456" si="12">IFERROR(YEAR(C393),"")</f>
        <v>2025</v>
      </c>
      <c r="F393" s="266" t="s">
        <v>274</v>
      </c>
      <c r="G393" s="265" t="s">
        <v>90</v>
      </c>
      <c r="H393" s="369">
        <v>1300</v>
      </c>
      <c r="I393" s="369">
        <f>IF(Table1[[#This Row],[TYPE]]="Income",Table1[[#This Row],[AMOUNT (₹)]],-Table1[[#This Row],[AMOUNT (₹)]])</f>
        <v>-1300</v>
      </c>
      <c r="J393" s="265"/>
      <c r="K393" s="348"/>
      <c r="L393" s="265">
        <f t="shared" ref="L393:L456" si="13">IFERROR(IF(MONTH(C393)&lt;=3,YEAR(C393)-1,YEAR(C393)),"")</f>
        <v>2024</v>
      </c>
      <c r="M393" s="259">
        <f ca="1">IF(L393="","",COUNTIF($L$9:INDIRECT("K"&amp;ROW()),L393))</f>
        <v>136</v>
      </c>
    </row>
    <row r="394" spans="3:13" ht="18" hidden="1" customHeight="1" outlineLevel="1" x14ac:dyDescent="0.2">
      <c r="C394" s="252">
        <v>45726</v>
      </c>
      <c r="D394" s="248" t="s">
        <v>260</v>
      </c>
      <c r="E394" s="263">
        <f t="shared" si="12"/>
        <v>2025</v>
      </c>
      <c r="F394" s="266" t="s">
        <v>30</v>
      </c>
      <c r="G394" s="265" t="s">
        <v>98</v>
      </c>
      <c r="H394" s="369">
        <v>1376</v>
      </c>
      <c r="I394" s="369">
        <f>IF(Table1[[#This Row],[TYPE]]="Income",Table1[[#This Row],[AMOUNT (₹)]],-Table1[[#This Row],[AMOUNT (₹)]])</f>
        <v>-1376</v>
      </c>
      <c r="J394" s="265"/>
      <c r="K394" s="348"/>
      <c r="L394" s="265">
        <f t="shared" si="13"/>
        <v>2024</v>
      </c>
      <c r="M394" s="259">
        <f ca="1">IF(L394="","",COUNTIF($L$9:INDIRECT("K"&amp;ROW()),L394))</f>
        <v>137</v>
      </c>
    </row>
    <row r="395" spans="3:13" ht="18" hidden="1" customHeight="1" outlineLevel="1" x14ac:dyDescent="0.2">
      <c r="C395" s="252">
        <v>45734</v>
      </c>
      <c r="D395" s="248" t="s">
        <v>433</v>
      </c>
      <c r="E395" s="263">
        <f t="shared" si="12"/>
        <v>2025</v>
      </c>
      <c r="F395" s="266" t="s">
        <v>274</v>
      </c>
      <c r="G395" s="265" t="s">
        <v>80</v>
      </c>
      <c r="H395" s="369">
        <v>7373.12</v>
      </c>
      <c r="I395" s="369">
        <f>IF(Table1[[#This Row],[TYPE]]="Income",Table1[[#This Row],[AMOUNT (₹)]],-Table1[[#This Row],[AMOUNT (₹)]])</f>
        <v>-7373.12</v>
      </c>
      <c r="J395" s="265"/>
      <c r="K395" s="348"/>
      <c r="L395" s="265">
        <f t="shared" si="13"/>
        <v>2024</v>
      </c>
      <c r="M395" s="259">
        <f ca="1">IF(L395="","",COUNTIF($L$9:INDIRECT("K"&amp;ROW()),L395))</f>
        <v>138</v>
      </c>
    </row>
    <row r="396" spans="3:13" ht="18" hidden="1" customHeight="1" outlineLevel="1" x14ac:dyDescent="0.2">
      <c r="C396" s="252">
        <v>45735</v>
      </c>
      <c r="D396" s="248" t="s">
        <v>531</v>
      </c>
      <c r="E396" s="263">
        <f t="shared" si="12"/>
        <v>2025</v>
      </c>
      <c r="F396" s="266" t="s">
        <v>274</v>
      </c>
      <c r="G396" s="265" t="s">
        <v>92</v>
      </c>
      <c r="H396" s="369">
        <v>45000</v>
      </c>
      <c r="I396" s="369">
        <f>IF(Table1[[#This Row],[TYPE]]="Income",Table1[[#This Row],[AMOUNT (₹)]],-Table1[[#This Row],[AMOUNT (₹)]])</f>
        <v>-45000</v>
      </c>
      <c r="J396" s="265"/>
      <c r="K396" s="348"/>
      <c r="L396" s="265">
        <f t="shared" si="13"/>
        <v>2024</v>
      </c>
      <c r="M396" s="259">
        <f ca="1">IF(L396="","",COUNTIF($L$9:INDIRECT("K"&amp;ROW()),L396))</f>
        <v>139</v>
      </c>
    </row>
    <row r="397" spans="3:13" ht="18" hidden="1" customHeight="1" outlineLevel="1" x14ac:dyDescent="0.2">
      <c r="C397" s="252">
        <v>45744</v>
      </c>
      <c r="D397" s="248" t="s">
        <v>316</v>
      </c>
      <c r="E397" s="263">
        <f t="shared" si="12"/>
        <v>2025</v>
      </c>
      <c r="F397" s="266" t="s">
        <v>277</v>
      </c>
      <c r="G397" s="265" t="s">
        <v>111</v>
      </c>
      <c r="H397" s="369">
        <v>48000</v>
      </c>
      <c r="I397" s="369">
        <f>IF(Table1[[#This Row],[TYPE]]="Income",Table1[[#This Row],[AMOUNT (₹)]],-Table1[[#This Row],[AMOUNT (₹)]])</f>
        <v>48000</v>
      </c>
      <c r="J397" s="265"/>
      <c r="K397" s="348"/>
      <c r="L397" s="265">
        <f t="shared" si="13"/>
        <v>2024</v>
      </c>
      <c r="M397" s="259">
        <f ca="1">IF(L397="","",COUNTIF($L$9:INDIRECT("K"&amp;ROW()),L397))</f>
        <v>140</v>
      </c>
    </row>
    <row r="398" spans="3:13" ht="18" hidden="1" customHeight="1" outlineLevel="1" x14ac:dyDescent="0.2">
      <c r="C398" s="252">
        <v>45745</v>
      </c>
      <c r="D398" s="248" t="s">
        <v>532</v>
      </c>
      <c r="E398" s="263">
        <f t="shared" si="12"/>
        <v>2025</v>
      </c>
      <c r="F398" s="266" t="s">
        <v>274</v>
      </c>
      <c r="G398" s="265" t="s">
        <v>86</v>
      </c>
      <c r="H398" s="369">
        <v>5800</v>
      </c>
      <c r="I398" s="369">
        <f>IF(Table1[[#This Row],[TYPE]]="Income",Table1[[#This Row],[AMOUNT (₹)]],-Table1[[#This Row],[AMOUNT (₹)]])</f>
        <v>-5800</v>
      </c>
      <c r="J398" s="265"/>
      <c r="K398" s="348" t="s">
        <v>533</v>
      </c>
      <c r="L398" s="265">
        <f t="shared" si="13"/>
        <v>2024</v>
      </c>
      <c r="M398" s="259">
        <f ca="1">IF(L398="","",COUNTIF($L$9:INDIRECT("K"&amp;ROW()),L398))</f>
        <v>141</v>
      </c>
    </row>
    <row r="399" spans="3:13" ht="18" hidden="1" customHeight="1" outlineLevel="1" x14ac:dyDescent="0.2">
      <c r="C399" s="252">
        <v>45749</v>
      </c>
      <c r="D399" s="248" t="s">
        <v>534</v>
      </c>
      <c r="E399" s="263">
        <f t="shared" si="12"/>
        <v>2025</v>
      </c>
      <c r="F399" s="266" t="s">
        <v>274</v>
      </c>
      <c r="G399" s="265" t="s">
        <v>82</v>
      </c>
      <c r="H399" s="369">
        <v>1871</v>
      </c>
      <c r="I399" s="369">
        <f>IF(Table1[[#This Row],[TYPE]]="Income",Table1[[#This Row],[AMOUNT (₹)]],-Table1[[#This Row],[AMOUNT (₹)]])</f>
        <v>-1871</v>
      </c>
      <c r="J399" s="265"/>
      <c r="K399" s="348"/>
      <c r="L399" s="265">
        <f t="shared" si="13"/>
        <v>2025</v>
      </c>
      <c r="M399" s="259">
        <f ca="1">IF(L399="","",COUNTIF($L$9:INDIRECT("K"&amp;ROW()),L399))</f>
        <v>1</v>
      </c>
    </row>
    <row r="400" spans="3:13" ht="18" hidden="1" customHeight="1" outlineLevel="1" x14ac:dyDescent="0.2">
      <c r="C400" s="252">
        <v>45749</v>
      </c>
      <c r="D400" s="248" t="s">
        <v>535</v>
      </c>
      <c r="E400" s="263">
        <f t="shared" si="12"/>
        <v>2025</v>
      </c>
      <c r="F400" s="266" t="s">
        <v>274</v>
      </c>
      <c r="G400" s="265" t="s">
        <v>82</v>
      </c>
      <c r="H400" s="369">
        <v>1454</v>
      </c>
      <c r="I400" s="369">
        <f>IF(Table1[[#This Row],[TYPE]]="Income",Table1[[#This Row],[AMOUNT (₹)]],-Table1[[#This Row],[AMOUNT (₹)]])</f>
        <v>-1454</v>
      </c>
      <c r="J400" s="265"/>
      <c r="K400" s="348"/>
      <c r="L400" s="265">
        <f t="shared" si="13"/>
        <v>2025</v>
      </c>
      <c r="M400" s="259">
        <f ca="1">IF(L400="","",COUNTIF($L$9:INDIRECT("K"&amp;ROW()),L400))</f>
        <v>2</v>
      </c>
    </row>
    <row r="401" spans="3:13" ht="18" hidden="1" customHeight="1" outlineLevel="1" x14ac:dyDescent="0.2">
      <c r="C401" s="252">
        <v>45749</v>
      </c>
      <c r="D401" s="248" t="s">
        <v>38</v>
      </c>
      <c r="E401" s="263">
        <f t="shared" si="12"/>
        <v>2025</v>
      </c>
      <c r="F401" s="266" t="s">
        <v>274</v>
      </c>
      <c r="G401" s="265" t="s">
        <v>88</v>
      </c>
      <c r="H401" s="369">
        <v>4000</v>
      </c>
      <c r="I401" s="369">
        <f>IF(Table1[[#This Row],[TYPE]]="Income",Table1[[#This Row],[AMOUNT (₹)]],-Table1[[#This Row],[AMOUNT (₹)]])</f>
        <v>-4000</v>
      </c>
      <c r="J401" s="265"/>
      <c r="K401" s="348"/>
      <c r="L401" s="265">
        <f t="shared" si="13"/>
        <v>2025</v>
      </c>
      <c r="M401" s="259">
        <f ca="1">IF(L401="","",COUNTIF($L$9:INDIRECT("K"&amp;ROW()),L401))</f>
        <v>3</v>
      </c>
    </row>
    <row r="402" spans="3:13" ht="18" hidden="1" customHeight="1" outlineLevel="1" x14ac:dyDescent="0.2">
      <c r="C402" s="252">
        <v>45750</v>
      </c>
      <c r="D402" s="248" t="s">
        <v>536</v>
      </c>
      <c r="E402" s="263">
        <f t="shared" si="12"/>
        <v>2025</v>
      </c>
      <c r="F402" s="266" t="s">
        <v>274</v>
      </c>
      <c r="G402" s="265" t="s">
        <v>90</v>
      </c>
      <c r="H402" s="369">
        <v>2653</v>
      </c>
      <c r="I402" s="369">
        <f>IF(Table1[[#This Row],[TYPE]]="Income",Table1[[#This Row],[AMOUNT (₹)]],-Table1[[#This Row],[AMOUNT (₹)]])</f>
        <v>-2653</v>
      </c>
      <c r="J402" s="265"/>
      <c r="K402" s="348"/>
      <c r="L402" s="265">
        <f t="shared" si="13"/>
        <v>2025</v>
      </c>
      <c r="M402" s="259">
        <f ca="1">IF(L402="","",COUNTIF($L$9:INDIRECT("K"&amp;ROW()),L402))</f>
        <v>4</v>
      </c>
    </row>
    <row r="403" spans="3:13" ht="18" hidden="1" customHeight="1" outlineLevel="1" x14ac:dyDescent="0.2">
      <c r="C403" s="252">
        <v>45752</v>
      </c>
      <c r="D403" s="248" t="s">
        <v>441</v>
      </c>
      <c r="E403" s="263">
        <f t="shared" si="12"/>
        <v>2025</v>
      </c>
      <c r="F403" s="266" t="s">
        <v>274</v>
      </c>
      <c r="G403" s="265" t="s">
        <v>80</v>
      </c>
      <c r="H403" s="369">
        <v>7355.98</v>
      </c>
      <c r="I403" s="369">
        <f>IF(Table1[[#This Row],[TYPE]]="Income",Table1[[#This Row],[AMOUNT (₹)]],-Table1[[#This Row],[AMOUNT (₹)]])</f>
        <v>-7355.98</v>
      </c>
      <c r="J403" s="265"/>
      <c r="K403" s="348"/>
      <c r="L403" s="265">
        <f t="shared" si="13"/>
        <v>2025</v>
      </c>
      <c r="M403" s="259">
        <f ca="1">IF(L403="","",COUNTIF($L$9:INDIRECT("K"&amp;ROW()),L403))</f>
        <v>5</v>
      </c>
    </row>
    <row r="404" spans="3:13" ht="18" hidden="1" customHeight="1" outlineLevel="1" x14ac:dyDescent="0.2">
      <c r="C404" s="252">
        <v>45753</v>
      </c>
      <c r="D404" s="248" t="s">
        <v>537</v>
      </c>
      <c r="E404" s="263">
        <f t="shared" si="12"/>
        <v>2025</v>
      </c>
      <c r="F404" s="266" t="s">
        <v>274</v>
      </c>
      <c r="G404" s="265" t="s">
        <v>84</v>
      </c>
      <c r="H404" s="369">
        <v>11000</v>
      </c>
      <c r="I404" s="369">
        <f>IF(Table1[[#This Row],[TYPE]]="Income",Table1[[#This Row],[AMOUNT (₹)]],-Table1[[#This Row],[AMOUNT (₹)]])</f>
        <v>-11000</v>
      </c>
      <c r="J404" s="265"/>
      <c r="K404" s="348"/>
      <c r="L404" s="265">
        <f t="shared" si="13"/>
        <v>2025</v>
      </c>
      <c r="M404" s="259">
        <f ca="1">IF(L404="","",COUNTIF($L$9:INDIRECT("K"&amp;ROW()),L404))</f>
        <v>6</v>
      </c>
    </row>
    <row r="405" spans="3:13" ht="18" hidden="1" customHeight="1" outlineLevel="1" x14ac:dyDescent="0.2">
      <c r="C405" s="252">
        <v>45757</v>
      </c>
      <c r="D405" s="248" t="s">
        <v>38</v>
      </c>
      <c r="E405" s="263">
        <f t="shared" si="12"/>
        <v>2025</v>
      </c>
      <c r="F405" s="266" t="s">
        <v>30</v>
      </c>
      <c r="G405" s="265" t="s">
        <v>98</v>
      </c>
      <c r="H405" s="369">
        <v>1376</v>
      </c>
      <c r="I405" s="369">
        <f>IF(Table1[[#This Row],[TYPE]]="Income",Table1[[#This Row],[AMOUNT (₹)]],-Table1[[#This Row],[AMOUNT (₹)]])</f>
        <v>-1376</v>
      </c>
      <c r="J405" s="265"/>
      <c r="K405" s="348"/>
      <c r="L405" s="265">
        <f t="shared" si="13"/>
        <v>2025</v>
      </c>
      <c r="M405" s="259">
        <f ca="1">IF(L405="","",COUNTIF($L$9:INDIRECT("K"&amp;ROW()),L405))</f>
        <v>7</v>
      </c>
    </row>
    <row r="406" spans="3:13" ht="18" hidden="1" customHeight="1" outlineLevel="1" x14ac:dyDescent="0.2">
      <c r="C406" s="252">
        <v>45761</v>
      </c>
      <c r="D406" s="248" t="s">
        <v>38</v>
      </c>
      <c r="E406" s="263">
        <f t="shared" si="12"/>
        <v>2025</v>
      </c>
      <c r="F406" s="266" t="s">
        <v>274</v>
      </c>
      <c r="G406" s="265" t="s">
        <v>88</v>
      </c>
      <c r="H406" s="369">
        <v>2000</v>
      </c>
      <c r="I406" s="369">
        <f>IF(Table1[[#This Row],[TYPE]]="Income",Table1[[#This Row],[AMOUNT (₹)]],-Table1[[#This Row],[AMOUNT (₹)]])</f>
        <v>-2000</v>
      </c>
      <c r="J406" s="265"/>
      <c r="K406" s="348"/>
      <c r="L406" s="265">
        <f t="shared" si="13"/>
        <v>2025</v>
      </c>
      <c r="M406" s="259">
        <f ca="1">IF(L406="","",COUNTIF($L$9:INDIRECT("K"&amp;ROW()),L406))</f>
        <v>8</v>
      </c>
    </row>
    <row r="407" spans="3:13" ht="18" hidden="1" customHeight="1" outlineLevel="1" x14ac:dyDescent="0.2">
      <c r="C407" s="252">
        <v>45762</v>
      </c>
      <c r="D407" s="248" t="s">
        <v>94</v>
      </c>
      <c r="E407" s="263">
        <f t="shared" si="12"/>
        <v>2025</v>
      </c>
      <c r="F407" s="266" t="s">
        <v>274</v>
      </c>
      <c r="G407" s="265" t="s">
        <v>94</v>
      </c>
      <c r="H407" s="369">
        <v>498</v>
      </c>
      <c r="I407" s="369">
        <f>IF(Table1[[#This Row],[TYPE]]="Income",Table1[[#This Row],[AMOUNT (₹)]],-Table1[[#This Row],[AMOUNT (₹)]])</f>
        <v>-498</v>
      </c>
      <c r="J407" s="265" t="s">
        <v>426</v>
      </c>
      <c r="K407" s="348"/>
      <c r="L407" s="265">
        <f t="shared" si="13"/>
        <v>2025</v>
      </c>
      <c r="M407" s="259">
        <f ca="1">IF(L407="","",COUNTIF($L$9:INDIRECT("K"&amp;ROW()),L407))</f>
        <v>9</v>
      </c>
    </row>
    <row r="408" spans="3:13" ht="18" hidden="1" customHeight="1" outlineLevel="1" x14ac:dyDescent="0.2">
      <c r="C408" s="252">
        <v>45763</v>
      </c>
      <c r="D408" s="248" t="s">
        <v>538</v>
      </c>
      <c r="E408" s="263">
        <f t="shared" si="12"/>
        <v>2025</v>
      </c>
      <c r="F408" s="266" t="s">
        <v>274</v>
      </c>
      <c r="G408" s="265" t="s">
        <v>90</v>
      </c>
      <c r="H408" s="369">
        <v>1338</v>
      </c>
      <c r="I408" s="369">
        <f>IF(Table1[[#This Row],[TYPE]]="Income",Table1[[#This Row],[AMOUNT (₹)]],-Table1[[#This Row],[AMOUNT (₹)]])</f>
        <v>-1338</v>
      </c>
      <c r="J408" s="265"/>
      <c r="K408" s="348"/>
      <c r="L408" s="265">
        <f t="shared" si="13"/>
        <v>2025</v>
      </c>
      <c r="M408" s="259">
        <f ca="1">IF(L408="","",COUNTIF($L$9:INDIRECT("K"&amp;ROW()),L408))</f>
        <v>10</v>
      </c>
    </row>
    <row r="409" spans="3:13" ht="18" hidden="1" customHeight="1" outlineLevel="1" x14ac:dyDescent="0.2">
      <c r="C409" s="252">
        <v>45763</v>
      </c>
      <c r="D409" s="248" t="s">
        <v>539</v>
      </c>
      <c r="E409" s="263">
        <f t="shared" si="12"/>
        <v>2025</v>
      </c>
      <c r="F409" s="266" t="s">
        <v>274</v>
      </c>
      <c r="G409" s="265" t="s">
        <v>92</v>
      </c>
      <c r="H409" s="369">
        <v>21600</v>
      </c>
      <c r="I409" s="369">
        <f>IF(Table1[[#This Row],[TYPE]]="Income",Table1[[#This Row],[AMOUNT (₹)]],-Table1[[#This Row],[AMOUNT (₹)]])</f>
        <v>-21600</v>
      </c>
      <c r="J409" s="265"/>
      <c r="K409" s="348"/>
      <c r="L409" s="265">
        <f t="shared" si="13"/>
        <v>2025</v>
      </c>
      <c r="M409" s="259">
        <f ca="1">IF(L409="","",COUNTIF($L$9:INDIRECT("K"&amp;ROW()),L409))</f>
        <v>11</v>
      </c>
    </row>
    <row r="410" spans="3:13" ht="18" hidden="1" customHeight="1" outlineLevel="1" x14ac:dyDescent="0.2">
      <c r="C410" s="252">
        <v>45769</v>
      </c>
      <c r="D410" s="248" t="s">
        <v>540</v>
      </c>
      <c r="E410" s="263">
        <f t="shared" si="12"/>
        <v>2025</v>
      </c>
      <c r="F410" s="266" t="s">
        <v>274</v>
      </c>
      <c r="G410" s="265" t="s">
        <v>90</v>
      </c>
      <c r="H410" s="369">
        <v>2223</v>
      </c>
      <c r="I410" s="369">
        <f>IF(Table1[[#This Row],[TYPE]]="Income",Table1[[#This Row],[AMOUNT (₹)]],-Table1[[#This Row],[AMOUNT (₹)]])</f>
        <v>-2223</v>
      </c>
      <c r="J410" s="265"/>
      <c r="K410" s="348"/>
      <c r="L410" s="265">
        <f t="shared" si="13"/>
        <v>2025</v>
      </c>
      <c r="M410" s="259">
        <f ca="1">IF(L410="","",COUNTIF($L$9:INDIRECT("K"&amp;ROW()),L410))</f>
        <v>12</v>
      </c>
    </row>
    <row r="411" spans="3:13" ht="18" hidden="1" customHeight="1" outlineLevel="1" x14ac:dyDescent="0.2">
      <c r="C411" s="252">
        <v>45774</v>
      </c>
      <c r="D411" s="248" t="s">
        <v>541</v>
      </c>
      <c r="E411" s="263">
        <f t="shared" si="12"/>
        <v>2025</v>
      </c>
      <c r="F411" s="266" t="s">
        <v>274</v>
      </c>
      <c r="G411" s="265" t="s">
        <v>82</v>
      </c>
      <c r="H411" s="369">
        <v>2100</v>
      </c>
      <c r="I411" s="369">
        <f>IF(Table1[[#This Row],[TYPE]]="Income",Table1[[#This Row],[AMOUNT (₹)]],-Table1[[#This Row],[AMOUNT (₹)]])</f>
        <v>-2100</v>
      </c>
      <c r="J411" s="265"/>
      <c r="K411" s="348"/>
      <c r="L411" s="265">
        <f t="shared" si="13"/>
        <v>2025</v>
      </c>
      <c r="M411" s="259">
        <f ca="1">IF(L411="","",COUNTIF($L$9:INDIRECT("K"&amp;ROW()),L411))</f>
        <v>13</v>
      </c>
    </row>
    <row r="412" spans="3:13" ht="18" hidden="1" customHeight="1" outlineLevel="1" x14ac:dyDescent="0.2">
      <c r="C412" s="252">
        <v>45777</v>
      </c>
      <c r="D412" s="248" t="s">
        <v>542</v>
      </c>
      <c r="E412" s="263">
        <f t="shared" si="12"/>
        <v>2025</v>
      </c>
      <c r="F412" s="266" t="s">
        <v>274</v>
      </c>
      <c r="G412" s="265" t="s">
        <v>86</v>
      </c>
      <c r="H412" s="369">
        <v>2000</v>
      </c>
      <c r="I412" s="369">
        <f>IF(Table1[[#This Row],[TYPE]]="Income",Table1[[#This Row],[AMOUNT (₹)]],-Table1[[#This Row],[AMOUNT (₹)]])</f>
        <v>-2000</v>
      </c>
      <c r="J412" s="265"/>
      <c r="K412" s="348" t="s">
        <v>533</v>
      </c>
      <c r="L412" s="265">
        <f t="shared" si="13"/>
        <v>2025</v>
      </c>
      <c r="M412" s="259">
        <f ca="1">IF(L412="","",COUNTIF($L$9:INDIRECT("K"&amp;ROW()),L412))</f>
        <v>14</v>
      </c>
    </row>
    <row r="413" spans="3:13" ht="18" hidden="1" customHeight="1" outlineLevel="1" x14ac:dyDescent="0.2">
      <c r="C413" s="252">
        <v>45777</v>
      </c>
      <c r="D413" s="248" t="s">
        <v>543</v>
      </c>
      <c r="E413" s="263">
        <f t="shared" si="12"/>
        <v>2025</v>
      </c>
      <c r="F413" s="266" t="s">
        <v>274</v>
      </c>
      <c r="G413" s="265" t="s">
        <v>82</v>
      </c>
      <c r="H413" s="369">
        <v>5800</v>
      </c>
      <c r="I413" s="369">
        <f>IF(Table1[[#This Row],[TYPE]]="Income",Table1[[#This Row],[AMOUNT (₹)]],-Table1[[#This Row],[AMOUNT (₹)]])</f>
        <v>-5800</v>
      </c>
      <c r="J413" s="265"/>
      <c r="K413" s="348"/>
      <c r="L413" s="265">
        <f t="shared" si="13"/>
        <v>2025</v>
      </c>
      <c r="M413" s="259">
        <f ca="1">IF(L413="","",COUNTIF($L$9:INDIRECT("K"&amp;ROW()),L413))</f>
        <v>15</v>
      </c>
    </row>
    <row r="414" spans="3:13" ht="18" hidden="1" customHeight="1" outlineLevel="1" x14ac:dyDescent="0.2">
      <c r="C414" s="252">
        <v>45777</v>
      </c>
      <c r="D414" s="248" t="s">
        <v>544</v>
      </c>
      <c r="E414" s="263">
        <f t="shared" si="12"/>
        <v>2025</v>
      </c>
      <c r="F414" s="266" t="s">
        <v>277</v>
      </c>
      <c r="G414" s="265" t="s">
        <v>111</v>
      </c>
      <c r="H414" s="369">
        <v>48000</v>
      </c>
      <c r="I414" s="369">
        <f>IF(Table1[[#This Row],[TYPE]]="Income",Table1[[#This Row],[AMOUNT (₹)]],-Table1[[#This Row],[AMOUNT (₹)]])</f>
        <v>48000</v>
      </c>
      <c r="J414" s="265"/>
      <c r="K414" s="348"/>
      <c r="L414" s="265">
        <f t="shared" si="13"/>
        <v>2025</v>
      </c>
      <c r="M414" s="259">
        <f ca="1">IF(L414="","",COUNTIF($L$9:INDIRECT("K"&amp;ROW()),L414))</f>
        <v>16</v>
      </c>
    </row>
    <row r="415" spans="3:13" ht="18" hidden="1" customHeight="1" outlineLevel="1" x14ac:dyDescent="0.2">
      <c r="C415" s="252">
        <v>45780</v>
      </c>
      <c r="D415" s="248" t="s">
        <v>545</v>
      </c>
      <c r="E415" s="263">
        <f t="shared" si="12"/>
        <v>2025</v>
      </c>
      <c r="F415" s="266" t="s">
        <v>274</v>
      </c>
      <c r="G415" s="265" t="s">
        <v>82</v>
      </c>
      <c r="H415" s="369">
        <v>2471</v>
      </c>
      <c r="I415" s="369">
        <f>IF(Table1[[#This Row],[TYPE]]="Income",Table1[[#This Row],[AMOUNT (₹)]],-Table1[[#This Row],[AMOUNT (₹)]])</f>
        <v>-2471</v>
      </c>
      <c r="J415" s="265" t="s">
        <v>426</v>
      </c>
      <c r="K415" s="348"/>
      <c r="L415" s="265">
        <f t="shared" si="13"/>
        <v>2025</v>
      </c>
      <c r="M415" s="259">
        <f ca="1">IF(L415="","",COUNTIF($L$9:INDIRECT("K"&amp;ROW()),L415))</f>
        <v>17</v>
      </c>
    </row>
    <row r="416" spans="3:13" ht="18" hidden="1" customHeight="1" outlineLevel="1" x14ac:dyDescent="0.2">
      <c r="C416" s="252">
        <v>45780</v>
      </c>
      <c r="D416" s="248" t="s">
        <v>546</v>
      </c>
      <c r="E416" s="263">
        <f t="shared" si="12"/>
        <v>2025</v>
      </c>
      <c r="F416" s="266" t="s">
        <v>274</v>
      </c>
      <c r="G416" s="265" t="s">
        <v>82</v>
      </c>
      <c r="H416" s="369">
        <v>3312</v>
      </c>
      <c r="I416" s="369">
        <f>IF(Table1[[#This Row],[TYPE]]="Income",Table1[[#This Row],[AMOUNT (₹)]],-Table1[[#This Row],[AMOUNT (₹)]])</f>
        <v>-3312</v>
      </c>
      <c r="J416" s="265" t="s">
        <v>426</v>
      </c>
      <c r="K416" s="348"/>
      <c r="L416" s="265">
        <f t="shared" si="13"/>
        <v>2025</v>
      </c>
      <c r="M416" s="259">
        <f ca="1">IF(L416="","",COUNTIF($L$9:INDIRECT("K"&amp;ROW()),L416))</f>
        <v>18</v>
      </c>
    </row>
    <row r="417" spans="3:13" ht="18" hidden="1" customHeight="1" outlineLevel="1" x14ac:dyDescent="0.2">
      <c r="C417" s="252">
        <v>45780</v>
      </c>
      <c r="D417" s="248" t="s">
        <v>39</v>
      </c>
      <c r="E417" s="263">
        <f t="shared" si="12"/>
        <v>2025</v>
      </c>
      <c r="F417" s="266" t="s">
        <v>274</v>
      </c>
      <c r="G417" s="265" t="s">
        <v>88</v>
      </c>
      <c r="H417" s="369">
        <v>4000</v>
      </c>
      <c r="I417" s="369">
        <f>IF(Table1[[#This Row],[TYPE]]="Income",Table1[[#This Row],[AMOUNT (₹)]],-Table1[[#This Row],[AMOUNT (₹)]])</f>
        <v>-4000</v>
      </c>
      <c r="J417" s="265"/>
      <c r="K417" s="348"/>
      <c r="L417" s="265">
        <f t="shared" si="13"/>
        <v>2025</v>
      </c>
      <c r="M417" s="259">
        <f ca="1">IF(L417="","",COUNTIF($L$9:INDIRECT("K"&amp;ROW()),L417))</f>
        <v>19</v>
      </c>
    </row>
    <row r="418" spans="3:13" ht="18" hidden="1" customHeight="1" outlineLevel="1" x14ac:dyDescent="0.2">
      <c r="C418" s="252">
        <v>45780</v>
      </c>
      <c r="D418" s="248" t="s">
        <v>82</v>
      </c>
      <c r="E418" s="263">
        <f t="shared" si="12"/>
        <v>2025</v>
      </c>
      <c r="F418" s="266" t="s">
        <v>274</v>
      </c>
      <c r="G418" s="265" t="s">
        <v>94</v>
      </c>
      <c r="H418" s="369">
        <v>498</v>
      </c>
      <c r="I418" s="369">
        <f>IF(Table1[[#This Row],[TYPE]]="Income",Table1[[#This Row],[AMOUNT (₹)]],-Table1[[#This Row],[AMOUNT (₹)]])</f>
        <v>-498</v>
      </c>
      <c r="J418" s="265" t="s">
        <v>426</v>
      </c>
      <c r="K418" s="348"/>
      <c r="L418" s="265">
        <f t="shared" si="13"/>
        <v>2025</v>
      </c>
      <c r="M418" s="259">
        <f ca="1">IF(L418="","",COUNTIF($L$9:INDIRECT("K"&amp;ROW()),L418))</f>
        <v>20</v>
      </c>
    </row>
    <row r="419" spans="3:13" ht="18" hidden="1" customHeight="1" outlineLevel="1" x14ac:dyDescent="0.2">
      <c r="C419" s="252">
        <v>45780</v>
      </c>
      <c r="D419" s="248" t="s">
        <v>39</v>
      </c>
      <c r="E419" s="263">
        <f t="shared" si="12"/>
        <v>2025</v>
      </c>
      <c r="F419" s="266" t="s">
        <v>30</v>
      </c>
      <c r="G419" s="265" t="s">
        <v>98</v>
      </c>
      <c r="H419" s="369">
        <v>1376</v>
      </c>
      <c r="I419" s="369">
        <f>IF(Table1[[#This Row],[TYPE]]="Income",Table1[[#This Row],[AMOUNT (₹)]],-Table1[[#This Row],[AMOUNT (₹)]])</f>
        <v>-1376</v>
      </c>
      <c r="J419" s="265"/>
      <c r="K419" s="348"/>
      <c r="L419" s="265">
        <f t="shared" si="13"/>
        <v>2025</v>
      </c>
      <c r="M419" s="259">
        <f ca="1">IF(L419="","",COUNTIF($L$9:INDIRECT("K"&amp;ROW()),L419))</f>
        <v>21</v>
      </c>
    </row>
    <row r="420" spans="3:13" ht="18" hidden="1" customHeight="1" outlineLevel="1" x14ac:dyDescent="0.2">
      <c r="C420" s="252">
        <v>45780</v>
      </c>
      <c r="D420" s="248" t="s">
        <v>547</v>
      </c>
      <c r="E420" s="263">
        <f t="shared" si="12"/>
        <v>2025</v>
      </c>
      <c r="F420" s="266" t="s">
        <v>274</v>
      </c>
      <c r="G420" s="265" t="s">
        <v>84</v>
      </c>
      <c r="H420" s="369">
        <v>11000</v>
      </c>
      <c r="I420" s="369">
        <f>IF(Table1[[#This Row],[TYPE]]="Income",Table1[[#This Row],[AMOUNT (₹)]],-Table1[[#This Row],[AMOUNT (₹)]])</f>
        <v>-11000</v>
      </c>
      <c r="J420" s="265"/>
      <c r="K420" s="348"/>
      <c r="L420" s="265">
        <f t="shared" si="13"/>
        <v>2025</v>
      </c>
      <c r="M420" s="259">
        <f ca="1">IF(L420="","",COUNTIF($L$9:INDIRECT("K"&amp;ROW()),L420))</f>
        <v>22</v>
      </c>
    </row>
    <row r="421" spans="3:13" ht="18" hidden="1" customHeight="1" outlineLevel="1" x14ac:dyDescent="0.2">
      <c r="C421" s="252">
        <v>45794</v>
      </c>
      <c r="D421" s="248" t="s">
        <v>548</v>
      </c>
      <c r="E421" s="263">
        <f t="shared" si="12"/>
        <v>2025</v>
      </c>
      <c r="F421" s="266" t="s">
        <v>274</v>
      </c>
      <c r="G421" s="265" t="s">
        <v>76</v>
      </c>
      <c r="H421" s="369">
        <v>2050</v>
      </c>
      <c r="I421" s="369">
        <f>IF(Table1[[#This Row],[TYPE]]="Income",Table1[[#This Row],[AMOUNT (₹)]],-Table1[[#This Row],[AMOUNT (₹)]])</f>
        <v>-2050</v>
      </c>
      <c r="J421" s="265"/>
      <c r="K421" s="348"/>
      <c r="L421" s="265">
        <f t="shared" si="13"/>
        <v>2025</v>
      </c>
      <c r="M421" s="259">
        <f ca="1">IF(L421="","",COUNTIF($L$9:INDIRECT("K"&amp;ROW()),L421))</f>
        <v>23</v>
      </c>
    </row>
    <row r="422" spans="3:13" ht="18" hidden="1" customHeight="1" outlineLevel="1" x14ac:dyDescent="0.2">
      <c r="C422" s="252">
        <v>45796</v>
      </c>
      <c r="D422" s="248" t="s">
        <v>435</v>
      </c>
      <c r="E422" s="263">
        <f t="shared" si="12"/>
        <v>2025</v>
      </c>
      <c r="F422" s="266" t="s">
        <v>274</v>
      </c>
      <c r="G422" s="265" t="s">
        <v>88</v>
      </c>
      <c r="H422" s="369">
        <v>3000</v>
      </c>
      <c r="I422" s="369">
        <f>IF(Table1[[#This Row],[TYPE]]="Income",Table1[[#This Row],[AMOUNT (₹)]],-Table1[[#This Row],[AMOUNT (₹)]])</f>
        <v>-3000</v>
      </c>
      <c r="J422" s="265"/>
      <c r="K422" s="348"/>
      <c r="L422" s="265">
        <f t="shared" si="13"/>
        <v>2025</v>
      </c>
      <c r="M422" s="259">
        <f ca="1">IF(L422="","",COUNTIF($L$9:INDIRECT("K"&amp;ROW()),L422))</f>
        <v>24</v>
      </c>
    </row>
    <row r="423" spans="3:13" ht="18" hidden="1" customHeight="1" outlineLevel="1" x14ac:dyDescent="0.2">
      <c r="C423" s="252">
        <v>45800</v>
      </c>
      <c r="D423" s="248" t="s">
        <v>452</v>
      </c>
      <c r="E423" s="263">
        <f t="shared" si="12"/>
        <v>2025</v>
      </c>
      <c r="F423" s="266" t="s">
        <v>277</v>
      </c>
      <c r="G423" s="265" t="s">
        <v>84</v>
      </c>
      <c r="H423" s="369">
        <v>5000</v>
      </c>
      <c r="I423" s="369">
        <f>IF(Table1[[#This Row],[TYPE]]="Income",Table1[[#This Row],[AMOUNT (₹)]],-Table1[[#This Row],[AMOUNT (₹)]])</f>
        <v>5000</v>
      </c>
      <c r="J423" s="265"/>
      <c r="K423" s="348"/>
      <c r="L423" s="265">
        <f t="shared" si="13"/>
        <v>2025</v>
      </c>
      <c r="M423" s="259">
        <f ca="1">IF(L423="","",COUNTIF($L$9:INDIRECT("K"&amp;ROW()),L423))</f>
        <v>25</v>
      </c>
    </row>
    <row r="424" spans="3:13" ht="18" hidden="1" customHeight="1" outlineLevel="1" x14ac:dyDescent="0.2">
      <c r="C424" s="252">
        <v>45800</v>
      </c>
      <c r="D424" s="248" t="s">
        <v>452</v>
      </c>
      <c r="E424" s="263">
        <f t="shared" si="12"/>
        <v>2025</v>
      </c>
      <c r="F424" s="266" t="s">
        <v>277</v>
      </c>
      <c r="G424" s="265" t="s">
        <v>84</v>
      </c>
      <c r="H424" s="369">
        <v>54000</v>
      </c>
      <c r="I424" s="369">
        <f>IF(Table1[[#This Row],[TYPE]]="Income",Table1[[#This Row],[AMOUNT (₹)]],-Table1[[#This Row],[AMOUNT (₹)]])</f>
        <v>54000</v>
      </c>
      <c r="J424" s="265"/>
      <c r="K424" s="348"/>
      <c r="L424" s="265">
        <f t="shared" si="13"/>
        <v>2025</v>
      </c>
      <c r="M424" s="259">
        <f ca="1">IF(L424="","",COUNTIF($L$9:INDIRECT("K"&amp;ROW()),L424))</f>
        <v>26</v>
      </c>
    </row>
    <row r="425" spans="3:13" ht="18" hidden="1" customHeight="1" outlineLevel="1" x14ac:dyDescent="0.2">
      <c r="C425" s="252">
        <v>45803</v>
      </c>
      <c r="D425" s="248" t="s">
        <v>533</v>
      </c>
      <c r="E425" s="263">
        <f t="shared" si="12"/>
        <v>2025</v>
      </c>
      <c r="F425" s="266" t="s">
        <v>274</v>
      </c>
      <c r="G425" s="265" t="s">
        <v>82</v>
      </c>
      <c r="H425" s="369">
        <v>1550</v>
      </c>
      <c r="I425" s="369">
        <f>IF(Table1[[#This Row],[TYPE]]="Income",Table1[[#This Row],[AMOUNT (₹)]],-Table1[[#This Row],[AMOUNT (₹)]])</f>
        <v>-1550</v>
      </c>
      <c r="J425" s="265" t="s">
        <v>426</v>
      </c>
      <c r="K425" s="348" t="s">
        <v>533</v>
      </c>
      <c r="L425" s="265">
        <f t="shared" si="13"/>
        <v>2025</v>
      </c>
      <c r="M425" s="259">
        <f ca="1">IF(L425="","",COUNTIF($L$9:INDIRECT("K"&amp;ROW()),L425))</f>
        <v>27</v>
      </c>
    </row>
    <row r="426" spans="3:13" ht="18" hidden="1" customHeight="1" outlineLevel="1" x14ac:dyDescent="0.2">
      <c r="C426" s="252">
        <v>45806</v>
      </c>
      <c r="D426" s="248" t="s">
        <v>549</v>
      </c>
      <c r="E426" s="263">
        <f t="shared" si="12"/>
        <v>2025</v>
      </c>
      <c r="F426" s="266" t="s">
        <v>274</v>
      </c>
      <c r="G426" s="265" t="s">
        <v>76</v>
      </c>
      <c r="H426" s="369">
        <v>9635</v>
      </c>
      <c r="I426" s="369">
        <f>IF(Table1[[#This Row],[TYPE]]="Income",Table1[[#This Row],[AMOUNT (₹)]],-Table1[[#This Row],[AMOUNT (₹)]])</f>
        <v>-9635</v>
      </c>
      <c r="J426" s="265"/>
      <c r="K426" s="348"/>
      <c r="L426" s="265">
        <f t="shared" si="13"/>
        <v>2025</v>
      </c>
      <c r="M426" s="259">
        <f ca="1">IF(L426="","",COUNTIF($L$9:INDIRECT("K"&amp;ROW()),L426))</f>
        <v>28</v>
      </c>
    </row>
    <row r="427" spans="3:13" ht="18" hidden="1" customHeight="1" outlineLevel="1" x14ac:dyDescent="0.2">
      <c r="C427" s="252">
        <v>45807</v>
      </c>
      <c r="D427" s="248" t="s">
        <v>327</v>
      </c>
      <c r="E427" s="263">
        <f t="shared" si="12"/>
        <v>2025</v>
      </c>
      <c r="F427" s="266" t="s">
        <v>277</v>
      </c>
      <c r="G427" s="265" t="s">
        <v>111</v>
      </c>
      <c r="H427" s="369">
        <v>48000</v>
      </c>
      <c r="I427" s="369">
        <f>IF(Table1[[#This Row],[TYPE]]="Income",Table1[[#This Row],[AMOUNT (₹)]],-Table1[[#This Row],[AMOUNT (₹)]])</f>
        <v>48000</v>
      </c>
      <c r="J427" s="265"/>
      <c r="K427" s="348"/>
      <c r="L427" s="265">
        <f t="shared" si="13"/>
        <v>2025</v>
      </c>
      <c r="M427" s="259">
        <f ca="1">IF(L427="","",COUNTIF($L$9:INDIRECT("K"&amp;ROW()),L427))</f>
        <v>29</v>
      </c>
    </row>
    <row r="428" spans="3:13" ht="18" hidden="1" customHeight="1" outlineLevel="1" x14ac:dyDescent="0.2">
      <c r="C428" s="252">
        <v>45808</v>
      </c>
      <c r="D428" s="248" t="s">
        <v>550</v>
      </c>
      <c r="E428" s="263">
        <f t="shared" si="12"/>
        <v>2025</v>
      </c>
      <c r="F428" s="266" t="s">
        <v>274</v>
      </c>
      <c r="G428" s="265" t="s">
        <v>82</v>
      </c>
      <c r="H428" s="369">
        <v>1697</v>
      </c>
      <c r="I428" s="369">
        <f>IF(Table1[[#This Row],[TYPE]]="Income",Table1[[#This Row],[AMOUNT (₹)]],-Table1[[#This Row],[AMOUNT (₹)]])</f>
        <v>-1697</v>
      </c>
      <c r="J428" s="265"/>
      <c r="K428" s="348"/>
      <c r="L428" s="265">
        <f t="shared" si="13"/>
        <v>2025</v>
      </c>
      <c r="M428" s="259">
        <f ca="1">IF(L428="","",COUNTIF($L$9:INDIRECT("K"&amp;ROW()),L428))</f>
        <v>30</v>
      </c>
    </row>
    <row r="429" spans="3:13" ht="18" hidden="1" customHeight="1" outlineLevel="1" x14ac:dyDescent="0.2">
      <c r="C429" s="252">
        <v>45810</v>
      </c>
      <c r="D429" s="248" t="s">
        <v>551</v>
      </c>
      <c r="E429" s="263">
        <f t="shared" si="12"/>
        <v>2025</v>
      </c>
      <c r="F429" s="266" t="s">
        <v>274</v>
      </c>
      <c r="G429" s="265" t="s">
        <v>82</v>
      </c>
      <c r="H429" s="369">
        <v>9162</v>
      </c>
      <c r="I429" s="369">
        <f>IF(Table1[[#This Row],[TYPE]]="Income",Table1[[#This Row],[AMOUNT (₹)]],-Table1[[#This Row],[AMOUNT (₹)]])</f>
        <v>-9162</v>
      </c>
      <c r="J429" s="265" t="s">
        <v>426</v>
      </c>
      <c r="K429" s="348"/>
      <c r="L429" s="265">
        <f t="shared" si="13"/>
        <v>2025</v>
      </c>
      <c r="M429" s="259">
        <f ca="1">IF(L429="","",COUNTIF($L$9:INDIRECT("K"&amp;ROW()),L429))</f>
        <v>31</v>
      </c>
    </row>
    <row r="430" spans="3:13" ht="18" hidden="1" customHeight="1" outlineLevel="1" x14ac:dyDescent="0.2">
      <c r="C430" s="252">
        <v>45810</v>
      </c>
      <c r="D430" s="248" t="s">
        <v>381</v>
      </c>
      <c r="E430" s="263">
        <f t="shared" si="12"/>
        <v>2025</v>
      </c>
      <c r="F430" s="266" t="s">
        <v>274</v>
      </c>
      <c r="G430" s="265" t="s">
        <v>88</v>
      </c>
      <c r="H430" s="369">
        <v>4000</v>
      </c>
      <c r="I430" s="369">
        <f>IF(Table1[[#This Row],[TYPE]]="Income",Table1[[#This Row],[AMOUNT (₹)]],-Table1[[#This Row],[AMOUNT (₹)]])</f>
        <v>-4000</v>
      </c>
      <c r="J430" s="265"/>
      <c r="K430" s="348"/>
      <c r="L430" s="265">
        <f t="shared" si="13"/>
        <v>2025</v>
      </c>
      <c r="M430" s="259">
        <f ca="1">IF(L430="","",COUNTIF($L$9:INDIRECT("K"&amp;ROW()),L430))</f>
        <v>32</v>
      </c>
    </row>
    <row r="431" spans="3:13" ht="18" hidden="1" customHeight="1" outlineLevel="1" x14ac:dyDescent="0.2">
      <c r="C431" s="252">
        <v>45811</v>
      </c>
      <c r="D431" s="248" t="s">
        <v>552</v>
      </c>
      <c r="E431" s="263">
        <f t="shared" si="12"/>
        <v>2025</v>
      </c>
      <c r="F431" s="266" t="s">
        <v>274</v>
      </c>
      <c r="G431" s="265" t="s">
        <v>82</v>
      </c>
      <c r="H431" s="369">
        <v>4871</v>
      </c>
      <c r="I431" s="369">
        <f>IF(Table1[[#This Row],[TYPE]]="Income",Table1[[#This Row],[AMOUNT (₹)]],-Table1[[#This Row],[AMOUNT (₹)]])</f>
        <v>-4871</v>
      </c>
      <c r="J431" s="265" t="s">
        <v>426</v>
      </c>
      <c r="K431" s="348"/>
      <c r="L431" s="265">
        <f t="shared" si="13"/>
        <v>2025</v>
      </c>
      <c r="M431" s="259">
        <f ca="1">IF(L431="","",COUNTIF($L$9:INDIRECT("K"&amp;ROW()),L431))</f>
        <v>33</v>
      </c>
    </row>
    <row r="432" spans="3:13" ht="18" hidden="1" customHeight="1" outlineLevel="1" x14ac:dyDescent="0.2">
      <c r="C432" s="252">
        <v>45816</v>
      </c>
      <c r="D432" s="248" t="s">
        <v>553</v>
      </c>
      <c r="E432" s="263">
        <f t="shared" si="12"/>
        <v>2025</v>
      </c>
      <c r="F432" s="266" t="s">
        <v>274</v>
      </c>
      <c r="G432" s="265" t="s">
        <v>84</v>
      </c>
      <c r="H432" s="369">
        <v>12000</v>
      </c>
      <c r="I432" s="369">
        <f>IF(Table1[[#This Row],[TYPE]]="Income",Table1[[#This Row],[AMOUNT (₹)]],-Table1[[#This Row],[AMOUNT (₹)]])</f>
        <v>-12000</v>
      </c>
      <c r="J432" s="265"/>
      <c r="K432" s="348"/>
      <c r="L432" s="265">
        <f t="shared" si="13"/>
        <v>2025</v>
      </c>
      <c r="M432" s="259">
        <f ca="1">IF(L432="","",COUNTIF($L$9:INDIRECT("K"&amp;ROW()),L432))</f>
        <v>34</v>
      </c>
    </row>
    <row r="433" spans="3:13" ht="18" hidden="1" customHeight="1" outlineLevel="1" x14ac:dyDescent="0.2">
      <c r="C433" s="252">
        <v>45818</v>
      </c>
      <c r="D433" s="248" t="s">
        <v>40</v>
      </c>
      <c r="E433" s="263">
        <f t="shared" si="12"/>
        <v>2025</v>
      </c>
      <c r="F433" s="266" t="s">
        <v>30</v>
      </c>
      <c r="G433" s="265" t="s">
        <v>98</v>
      </c>
      <c r="H433" s="369">
        <v>2006</v>
      </c>
      <c r="I433" s="369">
        <f>IF(Table1[[#This Row],[TYPE]]="Income",Table1[[#This Row],[AMOUNT (₹)]],-Table1[[#This Row],[AMOUNT (₹)]])</f>
        <v>-2006</v>
      </c>
      <c r="J433" s="265"/>
      <c r="K433" s="348"/>
      <c r="L433" s="265">
        <f t="shared" si="13"/>
        <v>2025</v>
      </c>
      <c r="M433" s="259">
        <f ca="1">IF(L433="","",COUNTIF($L$9:INDIRECT("K"&amp;ROW()),L433))</f>
        <v>35</v>
      </c>
    </row>
    <row r="434" spans="3:13" ht="18" hidden="1" customHeight="1" outlineLevel="1" x14ac:dyDescent="0.2">
      <c r="C434" s="252">
        <v>45819</v>
      </c>
      <c r="D434" s="248" t="s">
        <v>96</v>
      </c>
      <c r="E434" s="263">
        <f t="shared" si="12"/>
        <v>2025</v>
      </c>
      <c r="F434" s="266" t="s">
        <v>274</v>
      </c>
      <c r="G434" s="265" t="s">
        <v>96</v>
      </c>
      <c r="H434" s="369">
        <v>50000</v>
      </c>
      <c r="I434" s="369">
        <f>IF(Table1[[#This Row],[TYPE]]="Income",Table1[[#This Row],[AMOUNT (₹)]],-Table1[[#This Row],[AMOUNT (₹)]])</f>
        <v>-50000</v>
      </c>
      <c r="J434" s="265"/>
      <c r="K434" s="348"/>
      <c r="L434" s="265">
        <f t="shared" si="13"/>
        <v>2025</v>
      </c>
      <c r="M434" s="259">
        <f ca="1">IF(L434="","",COUNTIF($L$9:INDIRECT("K"&amp;ROW()),L434))</f>
        <v>36</v>
      </c>
    </row>
    <row r="435" spans="3:13" ht="18" hidden="1" customHeight="1" outlineLevel="1" x14ac:dyDescent="0.2">
      <c r="C435" s="252">
        <v>45823</v>
      </c>
      <c r="D435" s="248" t="s">
        <v>554</v>
      </c>
      <c r="E435" s="263">
        <f t="shared" si="12"/>
        <v>2025</v>
      </c>
      <c r="F435" s="266" t="s">
        <v>274</v>
      </c>
      <c r="G435" s="265" t="s">
        <v>82</v>
      </c>
      <c r="H435" s="369">
        <v>890</v>
      </c>
      <c r="I435" s="369">
        <f>IF(Table1[[#This Row],[TYPE]]="Income",Table1[[#This Row],[AMOUNT (₹)]],-Table1[[#This Row],[AMOUNT (₹)]])</f>
        <v>-890</v>
      </c>
      <c r="J435" s="265"/>
      <c r="K435" s="348"/>
      <c r="L435" s="265">
        <f t="shared" si="13"/>
        <v>2025</v>
      </c>
      <c r="M435" s="259">
        <f ca="1">IF(L435="","",COUNTIF($L$9:INDIRECT("K"&amp;ROW()),L435))</f>
        <v>37</v>
      </c>
    </row>
    <row r="436" spans="3:13" ht="18" hidden="1" customHeight="1" outlineLevel="1" x14ac:dyDescent="0.2">
      <c r="C436" s="252">
        <v>45827</v>
      </c>
      <c r="D436" s="248" t="s">
        <v>460</v>
      </c>
      <c r="E436" s="263">
        <f t="shared" si="12"/>
        <v>2025</v>
      </c>
      <c r="F436" s="266" t="s">
        <v>274</v>
      </c>
      <c r="G436" s="265" t="s">
        <v>84</v>
      </c>
      <c r="H436" s="369">
        <v>3000</v>
      </c>
      <c r="I436" s="369">
        <f>IF(Table1[[#This Row],[TYPE]]="Income",Table1[[#This Row],[AMOUNT (₹)]],-Table1[[#This Row],[AMOUNT (₹)]])</f>
        <v>-3000</v>
      </c>
      <c r="J436" s="265"/>
      <c r="K436" s="348"/>
      <c r="L436" s="265">
        <f t="shared" si="13"/>
        <v>2025</v>
      </c>
      <c r="M436" s="259">
        <f ca="1">IF(L436="","",COUNTIF($L$9:INDIRECT("K"&amp;ROW()),L436))</f>
        <v>38</v>
      </c>
    </row>
    <row r="437" spans="3:13" ht="18" hidden="1" customHeight="1" outlineLevel="1" x14ac:dyDescent="0.2">
      <c r="C437" s="252">
        <v>45838</v>
      </c>
      <c r="D437" s="248" t="s">
        <v>555</v>
      </c>
      <c r="E437" s="263">
        <f t="shared" si="12"/>
        <v>2025</v>
      </c>
      <c r="F437" s="266" t="s">
        <v>274</v>
      </c>
      <c r="G437" s="265" t="s">
        <v>76</v>
      </c>
      <c r="H437" s="369">
        <v>10000</v>
      </c>
      <c r="I437" s="369">
        <f>IF(Table1[[#This Row],[TYPE]]="Income",Table1[[#This Row],[AMOUNT (₹)]],-Table1[[#This Row],[AMOUNT (₹)]])</f>
        <v>-10000</v>
      </c>
      <c r="J437" s="265"/>
      <c r="K437" s="348"/>
      <c r="L437" s="265">
        <f t="shared" si="13"/>
        <v>2025</v>
      </c>
      <c r="M437" s="259">
        <f ca="1">IF(L437="","",COUNTIF($L$9:INDIRECT("K"&amp;ROW()),L437))</f>
        <v>39</v>
      </c>
    </row>
    <row r="438" spans="3:13" ht="18" hidden="1" customHeight="1" outlineLevel="1" x14ac:dyDescent="0.2">
      <c r="C438" s="252">
        <v>45838</v>
      </c>
      <c r="D438" s="248" t="s">
        <v>41</v>
      </c>
      <c r="E438" s="263">
        <f t="shared" si="12"/>
        <v>2025</v>
      </c>
      <c r="F438" s="266" t="s">
        <v>274</v>
      </c>
      <c r="G438" s="265" t="s">
        <v>88</v>
      </c>
      <c r="H438" s="369">
        <v>4000</v>
      </c>
      <c r="I438" s="369">
        <f>IF(Table1[[#This Row],[TYPE]]="Income",Table1[[#This Row],[AMOUNT (₹)]],-Table1[[#This Row],[AMOUNT (₹)]])</f>
        <v>-4000</v>
      </c>
      <c r="J438" s="265"/>
      <c r="K438" s="348"/>
      <c r="L438" s="265">
        <f t="shared" si="13"/>
        <v>2025</v>
      </c>
      <c r="M438" s="259">
        <f ca="1">IF(L438="","",COUNTIF($L$9:INDIRECT("K"&amp;ROW()),L438))</f>
        <v>40</v>
      </c>
    </row>
    <row r="439" spans="3:13" ht="18" hidden="1" customHeight="1" outlineLevel="1" x14ac:dyDescent="0.2">
      <c r="C439" s="252">
        <v>45838</v>
      </c>
      <c r="D439" s="248" t="s">
        <v>556</v>
      </c>
      <c r="E439" s="263">
        <f t="shared" si="12"/>
        <v>2025</v>
      </c>
      <c r="F439" s="266" t="s">
        <v>277</v>
      </c>
      <c r="G439" s="265" t="s">
        <v>111</v>
      </c>
      <c r="H439" s="369">
        <v>48000</v>
      </c>
      <c r="I439" s="369">
        <f>IF(Table1[[#This Row],[TYPE]]="Income",Table1[[#This Row],[AMOUNT (₹)]],-Table1[[#This Row],[AMOUNT (₹)]])</f>
        <v>48000</v>
      </c>
      <c r="J439" s="265"/>
      <c r="K439" s="348"/>
      <c r="L439" s="265">
        <f t="shared" si="13"/>
        <v>2025</v>
      </c>
      <c r="M439" s="259">
        <f ca="1">IF(L439="","",COUNTIF($L$9:INDIRECT("K"&amp;ROW()),L439))</f>
        <v>41</v>
      </c>
    </row>
    <row r="440" spans="3:13" ht="18" hidden="1" customHeight="1" outlineLevel="1" x14ac:dyDescent="0.2">
      <c r="C440" s="252">
        <v>45838</v>
      </c>
      <c r="D440" s="248" t="s">
        <v>557</v>
      </c>
      <c r="E440" s="263">
        <f t="shared" si="12"/>
        <v>2025</v>
      </c>
      <c r="F440" s="266" t="s">
        <v>274</v>
      </c>
      <c r="G440" s="265" t="s">
        <v>84</v>
      </c>
      <c r="H440" s="369">
        <v>16000</v>
      </c>
      <c r="I440" s="369">
        <f>IF(Table1[[#This Row],[TYPE]]="Income",Table1[[#This Row],[AMOUNT (₹)]],-Table1[[#This Row],[AMOUNT (₹)]])</f>
        <v>-16000</v>
      </c>
      <c r="J440" s="265"/>
      <c r="K440" s="348"/>
      <c r="L440" s="265">
        <f t="shared" si="13"/>
        <v>2025</v>
      </c>
      <c r="M440" s="259">
        <f ca="1">IF(L440="","",COUNTIF($L$9:INDIRECT("K"&amp;ROW()),L440))</f>
        <v>42</v>
      </c>
    </row>
    <row r="441" spans="3:13" ht="18" hidden="1" customHeight="1" outlineLevel="1" x14ac:dyDescent="0.2">
      <c r="C441" s="252">
        <v>45839</v>
      </c>
      <c r="D441" s="248" t="s">
        <v>558</v>
      </c>
      <c r="E441" s="263">
        <f t="shared" si="12"/>
        <v>2025</v>
      </c>
      <c r="F441" s="266" t="s">
        <v>274</v>
      </c>
      <c r="G441" s="265" t="s">
        <v>76</v>
      </c>
      <c r="H441" s="369">
        <v>4865</v>
      </c>
      <c r="I441" s="369">
        <f>IF(Table1[[#This Row],[TYPE]]="Income",Table1[[#This Row],[AMOUNT (₹)]],-Table1[[#This Row],[AMOUNT (₹)]])</f>
        <v>-4865</v>
      </c>
      <c r="J441" s="265" t="s">
        <v>426</v>
      </c>
      <c r="K441" s="348"/>
      <c r="L441" s="265">
        <f t="shared" si="13"/>
        <v>2025</v>
      </c>
      <c r="M441" s="259">
        <f ca="1">IF(L441="","",COUNTIF($L$9:INDIRECT("K"&amp;ROW()),L441))</f>
        <v>43</v>
      </c>
    </row>
    <row r="442" spans="3:13" ht="18" hidden="1" customHeight="1" outlineLevel="1" x14ac:dyDescent="0.2">
      <c r="C442" s="252">
        <v>45839</v>
      </c>
      <c r="D442" s="248" t="s">
        <v>559</v>
      </c>
      <c r="E442" s="263">
        <f t="shared" si="12"/>
        <v>2025</v>
      </c>
      <c r="F442" s="266" t="s">
        <v>274</v>
      </c>
      <c r="G442" s="265" t="s">
        <v>94</v>
      </c>
      <c r="H442" s="369">
        <v>1400</v>
      </c>
      <c r="I442" s="369">
        <f>IF(Table1[[#This Row],[TYPE]]="Income",Table1[[#This Row],[AMOUNT (₹)]],-Table1[[#This Row],[AMOUNT (₹)]])</f>
        <v>-1400</v>
      </c>
      <c r="J442" s="265" t="s">
        <v>426</v>
      </c>
      <c r="K442" s="348"/>
      <c r="L442" s="265">
        <f t="shared" si="13"/>
        <v>2025</v>
      </c>
      <c r="M442" s="259">
        <f ca="1">IF(L442="","",COUNTIF($L$9:INDIRECT("K"&amp;ROW()),L442))</f>
        <v>44</v>
      </c>
    </row>
    <row r="443" spans="3:13" ht="18" hidden="1" customHeight="1" outlineLevel="1" x14ac:dyDescent="0.2">
      <c r="C443" s="252">
        <v>45841</v>
      </c>
      <c r="D443" s="248" t="s">
        <v>370</v>
      </c>
      <c r="E443" s="263">
        <f t="shared" si="12"/>
        <v>2025</v>
      </c>
      <c r="F443" s="266" t="s">
        <v>274</v>
      </c>
      <c r="G443" s="265" t="s">
        <v>82</v>
      </c>
      <c r="H443" s="369">
        <v>788</v>
      </c>
      <c r="I443" s="369">
        <f>IF(Table1[[#This Row],[TYPE]]="Income",Table1[[#This Row],[AMOUNT (₹)]],-Table1[[#This Row],[AMOUNT (₹)]])</f>
        <v>-788</v>
      </c>
      <c r="J443" s="265"/>
      <c r="K443" s="348"/>
      <c r="L443" s="265">
        <f t="shared" si="13"/>
        <v>2025</v>
      </c>
      <c r="M443" s="259">
        <f ca="1">IF(L443="","",COUNTIF($L$9:INDIRECT("K"&amp;ROW()),L443))</f>
        <v>45</v>
      </c>
    </row>
    <row r="444" spans="3:13" ht="18" hidden="1" customHeight="1" outlineLevel="1" x14ac:dyDescent="0.2">
      <c r="C444" s="252">
        <v>45846</v>
      </c>
      <c r="D444" s="248" t="s">
        <v>560</v>
      </c>
      <c r="E444" s="263">
        <f t="shared" si="12"/>
        <v>2025</v>
      </c>
      <c r="F444" s="266" t="s">
        <v>274</v>
      </c>
      <c r="G444" s="265" t="s">
        <v>76</v>
      </c>
      <c r="H444" s="369">
        <v>5697</v>
      </c>
      <c r="I444" s="369">
        <f>IF(Table1[[#This Row],[TYPE]]="Income",Table1[[#This Row],[AMOUNT (₹)]],-Table1[[#This Row],[AMOUNT (₹)]])</f>
        <v>-5697</v>
      </c>
      <c r="J444" s="265"/>
      <c r="K444" s="348"/>
      <c r="L444" s="265">
        <f t="shared" si="13"/>
        <v>2025</v>
      </c>
      <c r="M444" s="259">
        <f ca="1">IF(L444="","",COUNTIF($L$9:INDIRECT("K"&amp;ROW()),L444))</f>
        <v>46</v>
      </c>
    </row>
    <row r="445" spans="3:13" ht="18" hidden="1" customHeight="1" outlineLevel="1" x14ac:dyDescent="0.2">
      <c r="C445" s="252">
        <v>45846</v>
      </c>
      <c r="D445" s="248" t="s">
        <v>561</v>
      </c>
      <c r="E445" s="263">
        <f t="shared" si="12"/>
        <v>2025</v>
      </c>
      <c r="F445" s="266" t="s">
        <v>274</v>
      </c>
      <c r="G445" s="265" t="s">
        <v>90</v>
      </c>
      <c r="H445" s="369">
        <v>1353.6</v>
      </c>
      <c r="I445" s="369">
        <f>IF(Table1[[#This Row],[TYPE]]="Income",Table1[[#This Row],[AMOUNT (₹)]],-Table1[[#This Row],[AMOUNT (₹)]])</f>
        <v>-1353.6</v>
      </c>
      <c r="J445" s="265"/>
      <c r="K445" s="348"/>
      <c r="L445" s="265">
        <f t="shared" si="13"/>
        <v>2025</v>
      </c>
      <c r="M445" s="259">
        <f ca="1">IF(L445="","",COUNTIF($L$9:INDIRECT("K"&amp;ROW()),L445))</f>
        <v>47</v>
      </c>
    </row>
    <row r="446" spans="3:13" ht="18" hidden="1" customHeight="1" outlineLevel="1" x14ac:dyDescent="0.2">
      <c r="C446" s="252">
        <v>45848</v>
      </c>
      <c r="D446" s="248" t="s">
        <v>41</v>
      </c>
      <c r="E446" s="263">
        <f t="shared" si="12"/>
        <v>2025</v>
      </c>
      <c r="F446" s="266" t="s">
        <v>30</v>
      </c>
      <c r="G446" s="265" t="s">
        <v>98</v>
      </c>
      <c r="H446" s="369">
        <v>2006</v>
      </c>
      <c r="I446" s="369">
        <f>IF(Table1[[#This Row],[TYPE]]="Income",Table1[[#This Row],[AMOUNT (₹)]],-Table1[[#This Row],[AMOUNT (₹)]])</f>
        <v>-2006</v>
      </c>
      <c r="J446" s="265"/>
      <c r="K446" s="348"/>
      <c r="L446" s="265">
        <f t="shared" si="13"/>
        <v>2025</v>
      </c>
      <c r="M446" s="259">
        <f ca="1">IF(L446="","",COUNTIF($L$9:INDIRECT("K"&amp;ROW()),L446))</f>
        <v>48</v>
      </c>
    </row>
    <row r="447" spans="3:13" ht="18" hidden="1" customHeight="1" outlineLevel="1" x14ac:dyDescent="0.2">
      <c r="C447" s="252">
        <v>45865</v>
      </c>
      <c r="D447" s="248" t="s">
        <v>562</v>
      </c>
      <c r="E447" s="263">
        <f t="shared" si="12"/>
        <v>2025</v>
      </c>
      <c r="F447" s="266" t="s">
        <v>274</v>
      </c>
      <c r="G447" s="265" t="s">
        <v>82</v>
      </c>
      <c r="H447" s="369">
        <v>1039</v>
      </c>
      <c r="I447" s="369">
        <f>IF(Table1[[#This Row],[TYPE]]="Income",Table1[[#This Row],[AMOUNT (₹)]],-Table1[[#This Row],[AMOUNT (₹)]])</f>
        <v>-1039</v>
      </c>
      <c r="J447" s="265" t="s">
        <v>426</v>
      </c>
      <c r="K447" s="348"/>
      <c r="L447" s="265">
        <f t="shared" si="13"/>
        <v>2025</v>
      </c>
      <c r="M447" s="259">
        <f ca="1">IF(L447="","",COUNTIF($L$9:INDIRECT("K"&amp;ROW()),L447))</f>
        <v>49</v>
      </c>
    </row>
    <row r="448" spans="3:13" ht="18" hidden="1" customHeight="1" outlineLevel="1" x14ac:dyDescent="0.2">
      <c r="C448" s="252">
        <v>45868</v>
      </c>
      <c r="D448" s="248" t="s">
        <v>563</v>
      </c>
      <c r="E448" s="263">
        <f t="shared" si="12"/>
        <v>2025</v>
      </c>
      <c r="F448" s="266" t="s">
        <v>274</v>
      </c>
      <c r="G448" s="265" t="s">
        <v>82</v>
      </c>
      <c r="H448" s="369">
        <v>2396</v>
      </c>
      <c r="I448" s="369">
        <f>IF(Table1[[#This Row],[TYPE]]="Income",Table1[[#This Row],[AMOUNT (₹)]],-Table1[[#This Row],[AMOUNT (₹)]])</f>
        <v>-2396</v>
      </c>
      <c r="J448" s="265"/>
      <c r="K448" s="348"/>
      <c r="L448" s="265">
        <f t="shared" si="13"/>
        <v>2025</v>
      </c>
      <c r="M448" s="259">
        <f ca="1">IF(L448="","",COUNTIF($L$9:INDIRECT("K"&amp;ROW()),L448))</f>
        <v>50</v>
      </c>
    </row>
    <row r="449" spans="3:13" ht="18" hidden="1" customHeight="1" outlineLevel="1" x14ac:dyDescent="0.2">
      <c r="C449" s="252">
        <v>45869</v>
      </c>
      <c r="D449" s="248" t="s">
        <v>564</v>
      </c>
      <c r="E449" s="263">
        <f t="shared" si="12"/>
        <v>2025</v>
      </c>
      <c r="F449" s="266" t="s">
        <v>277</v>
      </c>
      <c r="G449" s="265" t="s">
        <v>111</v>
      </c>
      <c r="H449" s="369">
        <v>48000</v>
      </c>
      <c r="I449" s="369">
        <f>IF(Table1[[#This Row],[TYPE]]="Income",Table1[[#This Row],[AMOUNT (₹)]],-Table1[[#This Row],[AMOUNT (₹)]])</f>
        <v>48000</v>
      </c>
      <c r="J449" s="265"/>
      <c r="K449" s="348"/>
      <c r="L449" s="265">
        <f t="shared" si="13"/>
        <v>2025</v>
      </c>
      <c r="M449" s="259">
        <f ca="1">IF(L449="","",COUNTIF($L$9:INDIRECT("K"&amp;ROW()),L449))</f>
        <v>51</v>
      </c>
    </row>
    <row r="450" spans="3:13" ht="18" hidden="1" customHeight="1" outlineLevel="1" x14ac:dyDescent="0.2">
      <c r="C450" s="252">
        <v>45871</v>
      </c>
      <c r="D450" s="248" t="s">
        <v>565</v>
      </c>
      <c r="E450" s="263">
        <f t="shared" si="12"/>
        <v>2025</v>
      </c>
      <c r="F450" s="266" t="s">
        <v>274</v>
      </c>
      <c r="G450" s="265" t="s">
        <v>88</v>
      </c>
      <c r="H450" s="369">
        <v>5000</v>
      </c>
      <c r="I450" s="369">
        <f>IF(Table1[[#This Row],[TYPE]]="Income",Table1[[#This Row],[AMOUNT (₹)]],-Table1[[#This Row],[AMOUNT (₹)]])</f>
        <v>-5000</v>
      </c>
      <c r="J450" s="265"/>
      <c r="K450" s="348"/>
      <c r="L450" s="265">
        <f t="shared" si="13"/>
        <v>2025</v>
      </c>
      <c r="M450" s="259">
        <f ca="1">IF(L450="","",COUNTIF($L$9:INDIRECT("K"&amp;ROW()),L450))</f>
        <v>52</v>
      </c>
    </row>
    <row r="451" spans="3:13" ht="18" hidden="1" customHeight="1" outlineLevel="1" x14ac:dyDescent="0.2">
      <c r="C451" s="252">
        <v>45872</v>
      </c>
      <c r="D451" s="248" t="s">
        <v>566</v>
      </c>
      <c r="E451" s="263">
        <f t="shared" si="12"/>
        <v>2025</v>
      </c>
      <c r="F451" s="266" t="s">
        <v>274</v>
      </c>
      <c r="G451" s="265" t="s">
        <v>84</v>
      </c>
      <c r="H451" s="369">
        <v>10000</v>
      </c>
      <c r="I451" s="369">
        <f>IF(Table1[[#This Row],[TYPE]]="Income",Table1[[#This Row],[AMOUNT (₹)]],-Table1[[#This Row],[AMOUNT (₹)]])</f>
        <v>-10000</v>
      </c>
      <c r="J451" s="265"/>
      <c r="K451" s="348"/>
      <c r="L451" s="265">
        <f t="shared" si="13"/>
        <v>2025</v>
      </c>
      <c r="M451" s="259">
        <f ca="1">IF(L451="","",COUNTIF($L$9:INDIRECT("K"&amp;ROW()),L451))</f>
        <v>53</v>
      </c>
    </row>
    <row r="452" spans="3:13" ht="18" hidden="1" customHeight="1" outlineLevel="1" x14ac:dyDescent="0.2">
      <c r="C452" s="252">
        <v>45876</v>
      </c>
      <c r="D452" s="248" t="s">
        <v>567</v>
      </c>
      <c r="E452" s="263">
        <f t="shared" si="12"/>
        <v>2025</v>
      </c>
      <c r="F452" s="266" t="s">
        <v>274</v>
      </c>
      <c r="G452" s="265" t="s">
        <v>90</v>
      </c>
      <c r="H452" s="369">
        <v>1354.05</v>
      </c>
      <c r="I452" s="369">
        <f>IF(Table1[[#This Row],[TYPE]]="Income",Table1[[#This Row],[AMOUNT (₹)]],-Table1[[#This Row],[AMOUNT (₹)]])</f>
        <v>-1354.05</v>
      </c>
      <c r="J452" s="265"/>
      <c r="K452" s="348"/>
      <c r="L452" s="265">
        <f t="shared" si="13"/>
        <v>2025</v>
      </c>
      <c r="M452" s="259">
        <f ca="1">IF(L452="","",COUNTIF($L$9:INDIRECT("K"&amp;ROW()),L452))</f>
        <v>54</v>
      </c>
    </row>
    <row r="453" spans="3:13" ht="18" hidden="1" customHeight="1" outlineLevel="1" x14ac:dyDescent="0.2">
      <c r="C453" s="252">
        <v>45879</v>
      </c>
      <c r="D453" s="248" t="s">
        <v>43</v>
      </c>
      <c r="E453" s="263">
        <f t="shared" si="12"/>
        <v>2025</v>
      </c>
      <c r="F453" s="266" t="s">
        <v>30</v>
      </c>
      <c r="G453" s="265" t="s">
        <v>98</v>
      </c>
      <c r="H453" s="369">
        <v>2006</v>
      </c>
      <c r="I453" s="369">
        <f>IF(Table1[[#This Row],[TYPE]]="Income",Table1[[#This Row],[AMOUNT (₹)]],-Table1[[#This Row],[AMOUNT (₹)]])</f>
        <v>-2006</v>
      </c>
      <c r="J453" s="265"/>
      <c r="K453" s="348"/>
      <c r="L453" s="265">
        <f t="shared" si="13"/>
        <v>2025</v>
      </c>
      <c r="M453" s="259">
        <f ca="1">IF(L453="","",COUNTIF($L$9:INDIRECT("K"&amp;ROW()),L453))</f>
        <v>55</v>
      </c>
    </row>
    <row r="454" spans="3:13" ht="18" hidden="1" customHeight="1" outlineLevel="1" x14ac:dyDescent="0.2">
      <c r="C454" s="252">
        <v>45880</v>
      </c>
      <c r="D454" s="248" t="s">
        <v>376</v>
      </c>
      <c r="E454" s="263">
        <f t="shared" si="12"/>
        <v>2025</v>
      </c>
      <c r="F454" s="266" t="s">
        <v>274</v>
      </c>
      <c r="G454" s="265" t="s">
        <v>82</v>
      </c>
      <c r="H454" s="369">
        <v>858</v>
      </c>
      <c r="I454" s="369">
        <f>IF(Table1[[#This Row],[TYPE]]="Income",Table1[[#This Row],[AMOUNT (₹)]],-Table1[[#This Row],[AMOUNT (₹)]])</f>
        <v>-858</v>
      </c>
      <c r="J454" s="265"/>
      <c r="K454" s="348"/>
      <c r="L454" s="265">
        <f t="shared" si="13"/>
        <v>2025</v>
      </c>
      <c r="M454" s="259">
        <f ca="1">IF(L454="","",COUNTIF($L$9:INDIRECT("K"&amp;ROW()),L454))</f>
        <v>56</v>
      </c>
    </row>
    <row r="455" spans="3:13" ht="18" hidden="1" customHeight="1" outlineLevel="1" x14ac:dyDescent="0.2">
      <c r="C455" s="252">
        <v>45880</v>
      </c>
      <c r="D455" s="248" t="s">
        <v>94</v>
      </c>
      <c r="E455" s="263">
        <f t="shared" si="12"/>
        <v>2025</v>
      </c>
      <c r="F455" s="266" t="s">
        <v>274</v>
      </c>
      <c r="G455" s="265" t="s">
        <v>94</v>
      </c>
      <c r="H455" s="369">
        <v>850</v>
      </c>
      <c r="I455" s="369">
        <f>IF(Table1[[#This Row],[TYPE]]="Income",Table1[[#This Row],[AMOUNT (₹)]],-Table1[[#This Row],[AMOUNT (₹)]])</f>
        <v>-850</v>
      </c>
      <c r="J455" s="265" t="s">
        <v>426</v>
      </c>
      <c r="K455" s="348"/>
      <c r="L455" s="265">
        <f t="shared" si="13"/>
        <v>2025</v>
      </c>
      <c r="M455" s="259">
        <f ca="1">IF(L455="","",COUNTIF($L$9:INDIRECT("K"&amp;ROW()),L455))</f>
        <v>57</v>
      </c>
    </row>
    <row r="456" spans="3:13" ht="18" hidden="1" customHeight="1" outlineLevel="1" x14ac:dyDescent="0.2">
      <c r="C456" s="252">
        <v>45882</v>
      </c>
      <c r="D456" s="248" t="s">
        <v>568</v>
      </c>
      <c r="E456" s="263">
        <f t="shared" si="12"/>
        <v>2025</v>
      </c>
      <c r="F456" s="266" t="s">
        <v>30</v>
      </c>
      <c r="G456" s="265" t="s">
        <v>98</v>
      </c>
      <c r="H456" s="369">
        <v>1000</v>
      </c>
      <c r="I456" s="369">
        <f>IF(Table1[[#This Row],[TYPE]]="Income",Table1[[#This Row],[AMOUNT (₹)]],-Table1[[#This Row],[AMOUNT (₹)]])</f>
        <v>-1000</v>
      </c>
      <c r="J456" s="265"/>
      <c r="K456" s="348"/>
      <c r="L456" s="265">
        <f t="shared" si="13"/>
        <v>2025</v>
      </c>
      <c r="M456" s="259">
        <f ca="1">IF(L456="","",COUNTIF($L$9:INDIRECT("K"&amp;ROW()),L456))</f>
        <v>58</v>
      </c>
    </row>
    <row r="457" spans="3:13" ht="18" hidden="1" customHeight="1" outlineLevel="1" x14ac:dyDescent="0.2">
      <c r="C457" s="252">
        <v>45883</v>
      </c>
      <c r="D457" s="248" t="s">
        <v>569</v>
      </c>
      <c r="E457" s="263">
        <f t="shared" ref="E457:E520" si="14">IFERROR(YEAR(C457),"")</f>
        <v>2025</v>
      </c>
      <c r="F457" s="266" t="s">
        <v>274</v>
      </c>
      <c r="G457" s="265" t="s">
        <v>82</v>
      </c>
      <c r="H457" s="369">
        <v>5000</v>
      </c>
      <c r="I457" s="369">
        <f>IF(Table1[[#This Row],[TYPE]]="Income",Table1[[#This Row],[AMOUNT (₹)]],-Table1[[#This Row],[AMOUNT (₹)]])</f>
        <v>-5000</v>
      </c>
      <c r="J457" s="265"/>
      <c r="K457" s="348"/>
      <c r="L457" s="265">
        <f t="shared" ref="L457:L520" si="15">IFERROR(IF(MONTH(C457)&lt;=3,YEAR(C457)-1,YEAR(C457)),"")</f>
        <v>2025</v>
      </c>
      <c r="M457" s="259">
        <f ca="1">IF(L457="","",COUNTIF($L$9:INDIRECT("K"&amp;ROW()),L457))</f>
        <v>59</v>
      </c>
    </row>
    <row r="458" spans="3:13" ht="18" hidden="1" customHeight="1" outlineLevel="1" x14ac:dyDescent="0.2">
      <c r="C458" s="252">
        <v>45884</v>
      </c>
      <c r="D458" s="248" t="s">
        <v>570</v>
      </c>
      <c r="E458" s="263">
        <f t="shared" si="14"/>
        <v>2025</v>
      </c>
      <c r="F458" s="266" t="s">
        <v>274</v>
      </c>
      <c r="G458" s="265" t="s">
        <v>82</v>
      </c>
      <c r="H458" s="369">
        <v>3782</v>
      </c>
      <c r="I458" s="369">
        <f>IF(Table1[[#This Row],[TYPE]]="Income",Table1[[#This Row],[AMOUNT (₹)]],-Table1[[#This Row],[AMOUNT (₹)]])</f>
        <v>-3782</v>
      </c>
      <c r="J458" s="265"/>
      <c r="K458" s="348"/>
      <c r="L458" s="265">
        <f t="shared" si="15"/>
        <v>2025</v>
      </c>
      <c r="M458" s="259">
        <f ca="1">IF(L458="","",COUNTIF($L$9:INDIRECT("K"&amp;ROW()),L458))</f>
        <v>60</v>
      </c>
    </row>
    <row r="459" spans="3:13" ht="18" hidden="1" customHeight="1" outlineLevel="1" x14ac:dyDescent="0.2">
      <c r="C459" s="252">
        <v>45888</v>
      </c>
      <c r="D459" s="248" t="s">
        <v>571</v>
      </c>
      <c r="E459" s="263">
        <f t="shared" si="14"/>
        <v>2025</v>
      </c>
      <c r="F459" s="266" t="s">
        <v>274</v>
      </c>
      <c r="G459" s="265" t="s">
        <v>90</v>
      </c>
      <c r="H459" s="369">
        <v>3318.75</v>
      </c>
      <c r="I459" s="369">
        <f>IF(Table1[[#This Row],[TYPE]]="Income",Table1[[#This Row],[AMOUNT (₹)]],-Table1[[#This Row],[AMOUNT (₹)]])</f>
        <v>-3318.75</v>
      </c>
      <c r="J459" s="265"/>
      <c r="K459" s="348"/>
      <c r="L459" s="265">
        <f t="shared" si="15"/>
        <v>2025</v>
      </c>
      <c r="M459" s="259">
        <f ca="1">IF(L459="","",COUNTIF($L$9:INDIRECT("K"&amp;ROW()),L459))</f>
        <v>61</v>
      </c>
    </row>
    <row r="460" spans="3:13" ht="18" hidden="1" customHeight="1" outlineLevel="1" x14ac:dyDescent="0.2">
      <c r="C460" s="252">
        <v>45894</v>
      </c>
      <c r="D460" s="248" t="s">
        <v>572</v>
      </c>
      <c r="E460" s="263">
        <f t="shared" si="14"/>
        <v>2025</v>
      </c>
      <c r="F460" s="266" t="s">
        <v>274</v>
      </c>
      <c r="G460" s="265" t="s">
        <v>88</v>
      </c>
      <c r="H460" s="369">
        <v>2500</v>
      </c>
      <c r="I460" s="369">
        <f>IF(Table1[[#This Row],[TYPE]]="Income",Table1[[#This Row],[AMOUNT (₹)]],-Table1[[#This Row],[AMOUNT (₹)]])</f>
        <v>-2500</v>
      </c>
      <c r="J460" s="265"/>
      <c r="K460" s="348"/>
      <c r="L460" s="265">
        <f t="shared" si="15"/>
        <v>2025</v>
      </c>
      <c r="M460" s="259">
        <f ca="1">IF(L460="","",COUNTIF($L$9:INDIRECT("K"&amp;ROW()),L460))</f>
        <v>62</v>
      </c>
    </row>
    <row r="461" spans="3:13" ht="18" hidden="1" customHeight="1" outlineLevel="1" x14ac:dyDescent="0.2">
      <c r="C461" s="252">
        <v>45898</v>
      </c>
      <c r="D461" s="248" t="s">
        <v>338</v>
      </c>
      <c r="E461" s="263">
        <f t="shared" si="14"/>
        <v>2025</v>
      </c>
      <c r="F461" s="266" t="s">
        <v>277</v>
      </c>
      <c r="G461" s="265" t="s">
        <v>111</v>
      </c>
      <c r="H461" s="369">
        <v>48000</v>
      </c>
      <c r="I461" s="369">
        <f>IF(Table1[[#This Row],[TYPE]]="Income",Table1[[#This Row],[AMOUNT (₹)]],-Table1[[#This Row],[AMOUNT (₹)]])</f>
        <v>48000</v>
      </c>
      <c r="J461" s="265"/>
      <c r="K461" s="348"/>
      <c r="L461" s="265">
        <f t="shared" si="15"/>
        <v>2025</v>
      </c>
      <c r="M461" s="259">
        <f ca="1">IF(L461="","",COUNTIF($L$9:INDIRECT("K"&amp;ROW()),L461))</f>
        <v>63</v>
      </c>
    </row>
    <row r="462" spans="3:13" ht="18" hidden="1" customHeight="1" outlineLevel="1" x14ac:dyDescent="0.2">
      <c r="C462" s="252">
        <v>45899</v>
      </c>
      <c r="D462" s="248" t="s">
        <v>573</v>
      </c>
      <c r="E462" s="263">
        <f t="shared" si="14"/>
        <v>2025</v>
      </c>
      <c r="F462" s="266" t="s">
        <v>274</v>
      </c>
      <c r="G462" s="265" t="s">
        <v>76</v>
      </c>
      <c r="H462" s="369">
        <v>3979</v>
      </c>
      <c r="I462" s="369">
        <f>IF(Table1[[#This Row],[TYPE]]="Income",Table1[[#This Row],[AMOUNT (₹)]],-Table1[[#This Row],[AMOUNT (₹)]])</f>
        <v>-3979</v>
      </c>
      <c r="J462" s="265"/>
      <c r="K462" s="348"/>
      <c r="L462" s="265">
        <f t="shared" si="15"/>
        <v>2025</v>
      </c>
      <c r="M462" s="259">
        <f ca="1">IF(L462="","",COUNTIF($L$9:INDIRECT("K"&amp;ROW()),L462))</f>
        <v>64</v>
      </c>
    </row>
    <row r="463" spans="3:13" ht="18" hidden="1" customHeight="1" outlineLevel="1" x14ac:dyDescent="0.2">
      <c r="C463" s="252">
        <v>45901</v>
      </c>
      <c r="D463" s="248" t="s">
        <v>574</v>
      </c>
      <c r="E463" s="263">
        <f t="shared" si="14"/>
        <v>2025</v>
      </c>
      <c r="F463" s="266" t="s">
        <v>274</v>
      </c>
      <c r="G463" s="265" t="s">
        <v>82</v>
      </c>
      <c r="H463" s="369">
        <v>5066</v>
      </c>
      <c r="I463" s="369">
        <f>IF(Table1[[#This Row],[TYPE]]="Income",Table1[[#This Row],[AMOUNT (₹)]],-Table1[[#This Row],[AMOUNT (₹)]])</f>
        <v>-5066</v>
      </c>
      <c r="J463" s="265" t="s">
        <v>426</v>
      </c>
      <c r="K463" s="348"/>
      <c r="L463" s="265">
        <f t="shared" si="15"/>
        <v>2025</v>
      </c>
      <c r="M463" s="259">
        <f ca="1">IF(L463="","",COUNTIF($L$9:INDIRECT("K"&amp;ROW()),L463))</f>
        <v>65</v>
      </c>
    </row>
    <row r="464" spans="3:13" ht="18" hidden="1" customHeight="1" outlineLevel="1" x14ac:dyDescent="0.2">
      <c r="C464" s="252">
        <v>45901</v>
      </c>
      <c r="D464" s="248" t="s">
        <v>575</v>
      </c>
      <c r="E464" s="263">
        <f t="shared" si="14"/>
        <v>2025</v>
      </c>
      <c r="F464" s="266" t="s">
        <v>274</v>
      </c>
      <c r="G464" s="265" t="s">
        <v>88</v>
      </c>
      <c r="H464" s="369">
        <v>6000</v>
      </c>
      <c r="I464" s="369">
        <f>IF(Table1[[#This Row],[TYPE]]="Income",Table1[[#This Row],[AMOUNT (₹)]],-Table1[[#This Row],[AMOUNT (₹)]])</f>
        <v>-6000</v>
      </c>
      <c r="J464" s="265"/>
      <c r="K464" s="348"/>
      <c r="L464" s="265">
        <f t="shared" si="15"/>
        <v>2025</v>
      </c>
      <c r="M464" s="259">
        <f ca="1">IF(L464="","",COUNTIF($L$9:INDIRECT("K"&amp;ROW()),L464))</f>
        <v>66</v>
      </c>
    </row>
    <row r="465" spans="3:13" ht="18" hidden="1" customHeight="1" outlineLevel="1" x14ac:dyDescent="0.2">
      <c r="C465" s="252">
        <v>45901</v>
      </c>
      <c r="D465" s="248" t="s">
        <v>94</v>
      </c>
      <c r="E465" s="263">
        <f t="shared" si="14"/>
        <v>2025</v>
      </c>
      <c r="F465" s="266" t="s">
        <v>274</v>
      </c>
      <c r="G465" s="265" t="s">
        <v>94</v>
      </c>
      <c r="H465" s="369">
        <v>1136</v>
      </c>
      <c r="I465" s="369">
        <f>IF(Table1[[#This Row],[TYPE]]="Income",Table1[[#This Row],[AMOUNT (₹)]],-Table1[[#This Row],[AMOUNT (₹)]])</f>
        <v>-1136</v>
      </c>
      <c r="J465" s="265" t="s">
        <v>426</v>
      </c>
      <c r="K465" s="348"/>
      <c r="L465" s="265">
        <f t="shared" si="15"/>
        <v>2025</v>
      </c>
      <c r="M465" s="259">
        <f ca="1">IF(L465="","",COUNTIF($L$9:INDIRECT("K"&amp;ROW()),L465))</f>
        <v>67</v>
      </c>
    </row>
    <row r="466" spans="3:13" ht="18" hidden="1" customHeight="1" outlineLevel="1" x14ac:dyDescent="0.2">
      <c r="C466" s="252">
        <v>45901</v>
      </c>
      <c r="D466" s="248" t="s">
        <v>576</v>
      </c>
      <c r="E466" s="263">
        <f t="shared" si="14"/>
        <v>2025</v>
      </c>
      <c r="F466" s="266" t="s">
        <v>274</v>
      </c>
      <c r="G466" s="265" t="s">
        <v>84</v>
      </c>
      <c r="H466" s="369">
        <v>11000</v>
      </c>
      <c r="I466" s="369">
        <f>IF(Table1[[#This Row],[TYPE]]="Income",Table1[[#This Row],[AMOUNT (₹)]],-Table1[[#This Row],[AMOUNT (₹)]])</f>
        <v>-11000</v>
      </c>
      <c r="J466" s="265"/>
      <c r="K466" s="348"/>
      <c r="L466" s="265">
        <f t="shared" si="15"/>
        <v>2025</v>
      </c>
      <c r="M466" s="259">
        <f ca="1">IF(L466="","",COUNTIF($L$9:INDIRECT("K"&amp;ROW()),L466))</f>
        <v>68</v>
      </c>
    </row>
    <row r="467" spans="3:13" ht="18" hidden="1" customHeight="1" outlineLevel="1" x14ac:dyDescent="0.2">
      <c r="C467" s="252">
        <v>45901</v>
      </c>
      <c r="D467" s="248" t="s">
        <v>577</v>
      </c>
      <c r="E467" s="263">
        <f t="shared" si="14"/>
        <v>2025</v>
      </c>
      <c r="F467" s="266" t="s">
        <v>274</v>
      </c>
      <c r="G467" s="265" t="s">
        <v>84</v>
      </c>
      <c r="H467" s="369">
        <v>2500</v>
      </c>
      <c r="I467" s="369">
        <f>IF(Table1[[#This Row],[TYPE]]="Income",Table1[[#This Row],[AMOUNT (₹)]],-Table1[[#This Row],[AMOUNT (₹)]])</f>
        <v>-2500</v>
      </c>
      <c r="J467" s="265"/>
      <c r="K467" s="348"/>
      <c r="L467" s="265">
        <f t="shared" si="15"/>
        <v>2025</v>
      </c>
      <c r="M467" s="259">
        <f ca="1">IF(L467="","",COUNTIF($L$9:INDIRECT("K"&amp;ROW()),L467))</f>
        <v>69</v>
      </c>
    </row>
    <row r="468" spans="3:13" ht="18" hidden="1" customHeight="1" outlineLevel="1" x14ac:dyDescent="0.2">
      <c r="C468" s="252">
        <v>45901</v>
      </c>
      <c r="D468" s="248" t="s">
        <v>578</v>
      </c>
      <c r="E468" s="263">
        <f t="shared" si="14"/>
        <v>2025</v>
      </c>
      <c r="F468" s="266" t="s">
        <v>274</v>
      </c>
      <c r="G468" s="265" t="s">
        <v>84</v>
      </c>
      <c r="H468" s="369">
        <v>54000</v>
      </c>
      <c r="I468" s="369">
        <f>IF(Table1[[#This Row],[TYPE]]="Income",Table1[[#This Row],[AMOUNT (₹)]],-Table1[[#This Row],[AMOUNT (₹)]])</f>
        <v>-54000</v>
      </c>
      <c r="J468" s="265"/>
      <c r="K468" s="348"/>
      <c r="L468" s="265">
        <f t="shared" si="15"/>
        <v>2025</v>
      </c>
      <c r="M468" s="259">
        <f ca="1">IF(L468="","",COUNTIF($L$9:INDIRECT("K"&amp;ROW()),L468))</f>
        <v>70</v>
      </c>
    </row>
    <row r="469" spans="3:13" ht="18" hidden="1" customHeight="1" outlineLevel="1" x14ac:dyDescent="0.2">
      <c r="C469" s="252">
        <v>45902</v>
      </c>
      <c r="D469" s="248" t="s">
        <v>579</v>
      </c>
      <c r="E469" s="263">
        <f t="shared" si="14"/>
        <v>2025</v>
      </c>
      <c r="F469" s="266" t="s">
        <v>274</v>
      </c>
      <c r="G469" s="265" t="s">
        <v>90</v>
      </c>
      <c r="H469" s="369">
        <v>0</v>
      </c>
      <c r="I469" s="369">
        <f>IF(Table1[[#This Row],[TYPE]]="Income",Table1[[#This Row],[AMOUNT (₹)]],-Table1[[#This Row],[AMOUNT (₹)]])</f>
        <v>0</v>
      </c>
      <c r="J469" s="265"/>
      <c r="K469" s="348"/>
      <c r="L469" s="265">
        <f t="shared" si="15"/>
        <v>2025</v>
      </c>
      <c r="M469" s="259">
        <f ca="1">IF(L469="","",COUNTIF($L$9:INDIRECT("K"&amp;ROW()),L469))</f>
        <v>71</v>
      </c>
    </row>
    <row r="470" spans="3:13" ht="18" hidden="1" customHeight="1" outlineLevel="1" x14ac:dyDescent="0.2">
      <c r="C470" s="252">
        <v>45902</v>
      </c>
      <c r="D470" s="248" t="s">
        <v>580</v>
      </c>
      <c r="E470" s="263">
        <f t="shared" si="14"/>
        <v>2025</v>
      </c>
      <c r="F470" s="266" t="s">
        <v>274</v>
      </c>
      <c r="G470" s="265" t="s">
        <v>92</v>
      </c>
      <c r="H470" s="369">
        <v>1300</v>
      </c>
      <c r="I470" s="369">
        <f>IF(Table1[[#This Row],[TYPE]]="Income",Table1[[#This Row],[AMOUNT (₹)]],-Table1[[#This Row],[AMOUNT (₹)]])</f>
        <v>-1300</v>
      </c>
      <c r="J470" s="265"/>
      <c r="K470" s="348"/>
      <c r="L470" s="265">
        <f t="shared" si="15"/>
        <v>2025</v>
      </c>
      <c r="M470" s="259">
        <f ca="1">IF(L470="","",COUNTIF($L$9:INDIRECT("K"&amp;ROW()),L470))</f>
        <v>72</v>
      </c>
    </row>
    <row r="471" spans="3:13" ht="18" hidden="1" customHeight="1" outlineLevel="1" x14ac:dyDescent="0.2">
      <c r="C471" s="252">
        <v>45903</v>
      </c>
      <c r="D471" s="248" t="s">
        <v>581</v>
      </c>
      <c r="E471" s="263">
        <f t="shared" si="14"/>
        <v>2025</v>
      </c>
      <c r="F471" s="266" t="s">
        <v>274</v>
      </c>
      <c r="G471" s="265" t="s">
        <v>73</v>
      </c>
      <c r="H471" s="369">
        <v>5200</v>
      </c>
      <c r="I471" s="369">
        <f>IF(Table1[[#This Row],[TYPE]]="Income",Table1[[#This Row],[AMOUNT (₹)]],-Table1[[#This Row],[AMOUNT (₹)]])</f>
        <v>-5200</v>
      </c>
      <c r="J471" s="265"/>
      <c r="K471" s="348"/>
      <c r="L471" s="265">
        <f t="shared" si="15"/>
        <v>2025</v>
      </c>
      <c r="M471" s="259">
        <f ca="1">IF(L471="","",COUNTIF($L$9:INDIRECT("K"&amp;ROW()),L471))</f>
        <v>73</v>
      </c>
    </row>
    <row r="472" spans="3:13" ht="18" hidden="1" customHeight="1" outlineLevel="1" x14ac:dyDescent="0.2">
      <c r="C472" s="252">
        <v>45904</v>
      </c>
      <c r="D472" s="248" t="s">
        <v>582</v>
      </c>
      <c r="E472" s="263">
        <f t="shared" si="14"/>
        <v>2025</v>
      </c>
      <c r="F472" s="266" t="s">
        <v>274</v>
      </c>
      <c r="G472" s="265" t="s">
        <v>76</v>
      </c>
      <c r="H472" s="369">
        <v>1133</v>
      </c>
      <c r="I472" s="369">
        <f>IF(Table1[[#This Row],[TYPE]]="Income",Table1[[#This Row],[AMOUNT (₹)]],-Table1[[#This Row],[AMOUNT (₹)]])</f>
        <v>-1133</v>
      </c>
      <c r="J472" s="265"/>
      <c r="K472" s="348"/>
      <c r="L472" s="265">
        <f t="shared" si="15"/>
        <v>2025</v>
      </c>
      <c r="M472" s="259">
        <f ca="1">IF(L472="","",COUNTIF($L$9:INDIRECT("K"&amp;ROW()),L472))</f>
        <v>74</v>
      </c>
    </row>
    <row r="473" spans="3:13" ht="18" hidden="1" customHeight="1" outlineLevel="1" x14ac:dyDescent="0.2">
      <c r="C473" s="252">
        <v>45910</v>
      </c>
      <c r="D473" s="248" t="s">
        <v>44</v>
      </c>
      <c r="E473" s="263">
        <f t="shared" si="14"/>
        <v>2025</v>
      </c>
      <c r="F473" s="266" t="s">
        <v>30</v>
      </c>
      <c r="G473" s="265" t="s">
        <v>98</v>
      </c>
      <c r="H473" s="369">
        <v>2506</v>
      </c>
      <c r="I473" s="369">
        <f>IF(Table1[[#This Row],[TYPE]]="Income",Table1[[#This Row],[AMOUNT (₹)]],-Table1[[#This Row],[AMOUNT (₹)]])</f>
        <v>-2506</v>
      </c>
      <c r="J473" s="265"/>
      <c r="K473" s="348"/>
      <c r="L473" s="265">
        <f t="shared" si="15"/>
        <v>2025</v>
      </c>
      <c r="M473" s="259">
        <f ca="1">IF(L473="","",COUNTIF($L$9:INDIRECT("K"&amp;ROW()),L473))</f>
        <v>75</v>
      </c>
    </row>
    <row r="474" spans="3:13" ht="18" hidden="1" customHeight="1" outlineLevel="1" x14ac:dyDescent="0.2">
      <c r="C474" s="252">
        <v>45912</v>
      </c>
      <c r="D474" s="248" t="s">
        <v>583</v>
      </c>
      <c r="E474" s="263">
        <f t="shared" si="14"/>
        <v>2025</v>
      </c>
      <c r="F474" s="266" t="s">
        <v>274</v>
      </c>
      <c r="G474" s="265" t="s">
        <v>73</v>
      </c>
      <c r="H474" s="369">
        <v>600</v>
      </c>
      <c r="I474" s="369">
        <f>IF(Table1[[#This Row],[TYPE]]="Income",Table1[[#This Row],[AMOUNT (₹)]],-Table1[[#This Row],[AMOUNT (₹)]])</f>
        <v>-600</v>
      </c>
      <c r="J474" s="265"/>
      <c r="K474" s="348"/>
      <c r="L474" s="265">
        <f t="shared" si="15"/>
        <v>2025</v>
      </c>
      <c r="M474" s="259">
        <f ca="1">IF(L474="","",COUNTIF($L$9:INDIRECT("K"&amp;ROW()),L474))</f>
        <v>76</v>
      </c>
    </row>
    <row r="475" spans="3:13" ht="18" hidden="1" customHeight="1" outlineLevel="1" x14ac:dyDescent="0.2">
      <c r="C475" s="252">
        <v>45923</v>
      </c>
      <c r="D475" s="248" t="s">
        <v>584</v>
      </c>
      <c r="E475" s="263">
        <f t="shared" si="14"/>
        <v>2025</v>
      </c>
      <c r="F475" s="266" t="s">
        <v>274</v>
      </c>
      <c r="G475" s="265" t="s">
        <v>73</v>
      </c>
      <c r="H475" s="369">
        <v>1073</v>
      </c>
      <c r="I475" s="369">
        <f>IF(Table1[[#This Row],[TYPE]]="Income",Table1[[#This Row],[AMOUNT (₹)]],-Table1[[#This Row],[AMOUNT (₹)]])</f>
        <v>-1073</v>
      </c>
      <c r="J475" s="265"/>
      <c r="K475" s="348"/>
      <c r="L475" s="265">
        <f t="shared" si="15"/>
        <v>2025</v>
      </c>
      <c r="M475" s="259">
        <f ca="1">IF(L475="","",COUNTIF($L$9:INDIRECT("K"&amp;ROW()),L475))</f>
        <v>77</v>
      </c>
    </row>
    <row r="476" spans="3:13" ht="18" hidden="1" customHeight="1" outlineLevel="1" x14ac:dyDescent="0.2">
      <c r="C476" s="252">
        <v>45925</v>
      </c>
      <c r="D476" s="248" t="s">
        <v>585</v>
      </c>
      <c r="E476" s="263">
        <f t="shared" si="14"/>
        <v>2025</v>
      </c>
      <c r="F476" s="266" t="s">
        <v>274</v>
      </c>
      <c r="G476" s="265" t="s">
        <v>82</v>
      </c>
      <c r="H476" s="369">
        <v>1166</v>
      </c>
      <c r="I476" s="369">
        <f>IF(Table1[[#This Row],[TYPE]]="Income",Table1[[#This Row],[AMOUNT (₹)]],-Table1[[#This Row],[AMOUNT (₹)]])</f>
        <v>-1166</v>
      </c>
      <c r="J476" s="265"/>
      <c r="K476" s="348"/>
      <c r="L476" s="265">
        <f t="shared" si="15"/>
        <v>2025</v>
      </c>
      <c r="M476" s="259">
        <f ca="1">IF(L476="","",COUNTIF($L$9:INDIRECT("K"&amp;ROW()),L476))</f>
        <v>78</v>
      </c>
    </row>
    <row r="477" spans="3:13" ht="18" hidden="1" customHeight="1" outlineLevel="1" x14ac:dyDescent="0.2">
      <c r="C477" s="252">
        <v>45927</v>
      </c>
      <c r="D477" s="248" t="s">
        <v>586</v>
      </c>
      <c r="E477" s="263">
        <f t="shared" si="14"/>
        <v>2025</v>
      </c>
      <c r="F477" s="266" t="s">
        <v>274</v>
      </c>
      <c r="G477" s="265" t="s">
        <v>88</v>
      </c>
      <c r="H477" s="369">
        <v>850</v>
      </c>
      <c r="I477" s="369">
        <f>IF(Table1[[#This Row],[TYPE]]="Income",Table1[[#This Row],[AMOUNT (₹)]],-Table1[[#This Row],[AMOUNT (₹)]])</f>
        <v>-850</v>
      </c>
      <c r="J477" s="265"/>
      <c r="K477" s="348"/>
      <c r="L477" s="265">
        <f t="shared" si="15"/>
        <v>2025</v>
      </c>
      <c r="M477" s="259">
        <f ca="1">IF(L477="","",COUNTIF($L$9:INDIRECT("K"&amp;ROW()),L477))</f>
        <v>79</v>
      </c>
    </row>
    <row r="478" spans="3:13" ht="18" hidden="1" customHeight="1" outlineLevel="1" x14ac:dyDescent="0.2">
      <c r="C478" s="252">
        <v>45930</v>
      </c>
      <c r="D478" s="248" t="s">
        <v>587</v>
      </c>
      <c r="E478" s="263">
        <f t="shared" si="14"/>
        <v>2025</v>
      </c>
      <c r="F478" s="266" t="s">
        <v>274</v>
      </c>
      <c r="G478" s="265" t="s">
        <v>76</v>
      </c>
      <c r="H478" s="369">
        <v>10900</v>
      </c>
      <c r="I478" s="369">
        <f>IF(Table1[[#This Row],[TYPE]]="Income",Table1[[#This Row],[AMOUNT (₹)]],-Table1[[#This Row],[AMOUNT (₹)]])</f>
        <v>-10900</v>
      </c>
      <c r="J478" s="265"/>
      <c r="K478" s="348"/>
      <c r="L478" s="265">
        <f t="shared" si="15"/>
        <v>2025</v>
      </c>
      <c r="M478" s="259">
        <f ca="1">IF(L478="","",COUNTIF($L$9:INDIRECT("K"&amp;ROW()),L478))</f>
        <v>80</v>
      </c>
    </row>
    <row r="479" spans="3:13" ht="18" hidden="1" customHeight="1" outlineLevel="1" x14ac:dyDescent="0.2">
      <c r="C479" s="252">
        <v>45930</v>
      </c>
      <c r="D479" s="248" t="s">
        <v>342</v>
      </c>
      <c r="E479" s="263">
        <f t="shared" si="14"/>
        <v>2025</v>
      </c>
      <c r="F479" s="266" t="s">
        <v>277</v>
      </c>
      <c r="G479" s="265" t="s">
        <v>111</v>
      </c>
      <c r="H479" s="369">
        <v>48000</v>
      </c>
      <c r="I479" s="369">
        <f>IF(Table1[[#This Row],[TYPE]]="Income",Table1[[#This Row],[AMOUNT (₹)]],-Table1[[#This Row],[AMOUNT (₹)]])</f>
        <v>48000</v>
      </c>
      <c r="J479" s="265"/>
      <c r="K479" s="348"/>
      <c r="L479" s="265">
        <f t="shared" si="15"/>
        <v>2025</v>
      </c>
      <c r="M479" s="259">
        <f ca="1">IF(L479="","",COUNTIF($L$9:INDIRECT("K"&amp;ROW()),L479))</f>
        <v>81</v>
      </c>
    </row>
    <row r="480" spans="3:13" ht="18" hidden="1" customHeight="1" outlineLevel="1" x14ac:dyDescent="0.2">
      <c r="C480" s="252">
        <v>45931</v>
      </c>
      <c r="D480" s="248" t="s">
        <v>588</v>
      </c>
      <c r="E480" s="263">
        <f t="shared" si="14"/>
        <v>2025</v>
      </c>
      <c r="F480" s="266" t="s">
        <v>274</v>
      </c>
      <c r="G480" s="265" t="s">
        <v>82</v>
      </c>
      <c r="H480" s="369">
        <v>2400</v>
      </c>
      <c r="I480" s="369">
        <f>IF(Table1[[#This Row],[TYPE]]="Income",Table1[[#This Row],[AMOUNT (₹)]],-Table1[[#This Row],[AMOUNT (₹)]])</f>
        <v>-2400</v>
      </c>
      <c r="J480" s="265" t="s">
        <v>426</v>
      </c>
      <c r="K480" s="348"/>
      <c r="L480" s="265">
        <f t="shared" si="15"/>
        <v>2025</v>
      </c>
      <c r="M480" s="259">
        <f ca="1">IF(L480="","",COUNTIF($L$9:INDIRECT("K"&amp;ROW()),L480))</f>
        <v>82</v>
      </c>
    </row>
    <row r="481" spans="3:13" ht="18" hidden="1" customHeight="1" outlineLevel="1" x14ac:dyDescent="0.2">
      <c r="C481" s="252">
        <v>45931</v>
      </c>
      <c r="D481" s="248" t="s">
        <v>589</v>
      </c>
      <c r="E481" s="263">
        <f t="shared" si="14"/>
        <v>2025</v>
      </c>
      <c r="F481" s="266" t="s">
        <v>274</v>
      </c>
      <c r="G481" s="265" t="s">
        <v>94</v>
      </c>
      <c r="H481" s="369">
        <v>1100</v>
      </c>
      <c r="I481" s="369">
        <f>IF(Table1[[#This Row],[TYPE]]="Income",Table1[[#This Row],[AMOUNT (₹)]],-Table1[[#This Row],[AMOUNT (₹)]])</f>
        <v>-1100</v>
      </c>
      <c r="J481" s="265" t="s">
        <v>426</v>
      </c>
      <c r="K481" s="348"/>
      <c r="L481" s="265">
        <f t="shared" si="15"/>
        <v>2025</v>
      </c>
      <c r="M481" s="259">
        <f ca="1">IF(L481="","",COUNTIF($L$9:INDIRECT("K"&amp;ROW()),L481))</f>
        <v>83</v>
      </c>
    </row>
    <row r="482" spans="3:13" ht="18" hidden="1" customHeight="1" outlineLevel="1" x14ac:dyDescent="0.2">
      <c r="C482" s="252">
        <v>45932</v>
      </c>
      <c r="D482" s="248" t="s">
        <v>590</v>
      </c>
      <c r="E482" s="263">
        <f t="shared" si="14"/>
        <v>2025</v>
      </c>
      <c r="F482" s="266" t="s">
        <v>274</v>
      </c>
      <c r="G482" s="265" t="s">
        <v>88</v>
      </c>
      <c r="H482" s="369">
        <v>3500</v>
      </c>
      <c r="I482" s="369">
        <f>IF(Table1[[#This Row],[TYPE]]="Income",Table1[[#This Row],[AMOUNT (₹)]],-Table1[[#This Row],[AMOUNT (₹)]])</f>
        <v>-3500</v>
      </c>
      <c r="J482" s="265"/>
      <c r="K482" s="348"/>
      <c r="L482" s="265">
        <f t="shared" si="15"/>
        <v>2025</v>
      </c>
      <c r="M482" s="259">
        <f ca="1">IF(L482="","",COUNTIF($L$9:INDIRECT("K"&amp;ROW()),L482))</f>
        <v>84</v>
      </c>
    </row>
    <row r="483" spans="3:13" ht="18" hidden="1" customHeight="1" outlineLevel="1" x14ac:dyDescent="0.2">
      <c r="C483" s="252">
        <v>45932</v>
      </c>
      <c r="D483" s="248" t="s">
        <v>45</v>
      </c>
      <c r="E483" s="263">
        <f t="shared" si="14"/>
        <v>2025</v>
      </c>
      <c r="F483" s="266" t="s">
        <v>30</v>
      </c>
      <c r="G483" s="265" t="s">
        <v>98</v>
      </c>
      <c r="H483" s="369">
        <v>2006</v>
      </c>
      <c r="I483" s="369">
        <f>IF(Table1[[#This Row],[TYPE]]="Income",Table1[[#This Row],[AMOUNT (₹)]],-Table1[[#This Row],[AMOUNT (₹)]])</f>
        <v>-2006</v>
      </c>
      <c r="J483" s="265"/>
      <c r="K483" s="348"/>
      <c r="L483" s="265">
        <f t="shared" si="15"/>
        <v>2025</v>
      </c>
      <c r="M483" s="259">
        <f ca="1">IF(L483="","",COUNTIF($L$9:INDIRECT("K"&amp;ROW()),L483))</f>
        <v>85</v>
      </c>
    </row>
    <row r="484" spans="3:13" ht="18" hidden="1" customHeight="1" outlineLevel="1" x14ac:dyDescent="0.2">
      <c r="C484" s="252">
        <v>45932</v>
      </c>
      <c r="D484" s="248" t="s">
        <v>591</v>
      </c>
      <c r="E484" s="263">
        <f t="shared" si="14"/>
        <v>2025</v>
      </c>
      <c r="F484" s="266" t="s">
        <v>274</v>
      </c>
      <c r="G484" s="265" t="s">
        <v>84</v>
      </c>
      <c r="H484" s="369">
        <v>11500</v>
      </c>
      <c r="I484" s="369">
        <f>IF(Table1[[#This Row],[TYPE]]="Income",Table1[[#This Row],[AMOUNT (₹)]],-Table1[[#This Row],[AMOUNT (₹)]])</f>
        <v>-11500</v>
      </c>
      <c r="J484" s="265"/>
      <c r="K484" s="348"/>
      <c r="L484" s="265">
        <f t="shared" si="15"/>
        <v>2025</v>
      </c>
      <c r="M484" s="259">
        <f ca="1">IF(L484="","",COUNTIF($L$9:INDIRECT("K"&amp;ROW()),L484))</f>
        <v>86</v>
      </c>
    </row>
    <row r="485" spans="3:13" ht="18" hidden="1" customHeight="1" outlineLevel="1" x14ac:dyDescent="0.2">
      <c r="C485" s="252">
        <v>45945</v>
      </c>
      <c r="D485" s="248" t="s">
        <v>592</v>
      </c>
      <c r="E485" s="263">
        <f t="shared" si="14"/>
        <v>2025</v>
      </c>
      <c r="F485" s="266" t="s">
        <v>274</v>
      </c>
      <c r="G485" s="265" t="s">
        <v>76</v>
      </c>
      <c r="H485" s="369">
        <v>9400</v>
      </c>
      <c r="I485" s="369">
        <f>IF(Table1[[#This Row],[TYPE]]="Income",Table1[[#This Row],[AMOUNT (₹)]],-Table1[[#This Row],[AMOUNT (₹)]])</f>
        <v>-9400</v>
      </c>
      <c r="J485" s="265"/>
      <c r="K485" s="348"/>
      <c r="L485" s="265">
        <f t="shared" si="15"/>
        <v>2025</v>
      </c>
      <c r="M485" s="259">
        <f ca="1">IF(L485="","",COUNTIF($L$9:INDIRECT("K"&amp;ROW()),L485))</f>
        <v>87</v>
      </c>
    </row>
    <row r="486" spans="3:13" ht="18" hidden="1" customHeight="1" outlineLevel="1" x14ac:dyDescent="0.2">
      <c r="C486" s="252">
        <v>45945</v>
      </c>
      <c r="D486" s="248" t="s">
        <v>593</v>
      </c>
      <c r="E486" s="263">
        <f t="shared" si="14"/>
        <v>2025</v>
      </c>
      <c r="F486" s="266" t="s">
        <v>274</v>
      </c>
      <c r="G486" s="265" t="s">
        <v>92</v>
      </c>
      <c r="H486" s="369">
        <v>1500</v>
      </c>
      <c r="I486" s="369">
        <f>IF(Table1[[#This Row],[TYPE]]="Income",Table1[[#This Row],[AMOUNT (₹)]],-Table1[[#This Row],[AMOUNT (₹)]])</f>
        <v>-1500</v>
      </c>
      <c r="J486" s="265"/>
      <c r="K486" s="348"/>
      <c r="L486" s="265">
        <f t="shared" si="15"/>
        <v>2025</v>
      </c>
      <c r="M486" s="259">
        <f ca="1">IF(L486="","",COUNTIF($L$9:INDIRECT("K"&amp;ROW()),L486))</f>
        <v>88</v>
      </c>
    </row>
    <row r="487" spans="3:13" ht="18" hidden="1" customHeight="1" outlineLevel="1" x14ac:dyDescent="0.2">
      <c r="C487" s="252">
        <v>45961</v>
      </c>
      <c r="D487" s="248" t="s">
        <v>594</v>
      </c>
      <c r="E487" s="263">
        <f t="shared" si="14"/>
        <v>2025</v>
      </c>
      <c r="F487" s="266" t="s">
        <v>274</v>
      </c>
      <c r="G487" s="265" t="s">
        <v>82</v>
      </c>
      <c r="H487" s="369">
        <v>11400</v>
      </c>
      <c r="I487" s="369">
        <f>IF(Table1[[#This Row],[TYPE]]="Income",Table1[[#This Row],[AMOUNT (₹)]],-Table1[[#This Row],[AMOUNT (₹)]])</f>
        <v>-11400</v>
      </c>
      <c r="J487" s="265"/>
      <c r="K487" s="348"/>
      <c r="L487" s="265">
        <f t="shared" si="15"/>
        <v>2025</v>
      </c>
      <c r="M487" s="259">
        <f ca="1">IF(L487="","",COUNTIF($L$9:INDIRECT("K"&amp;ROW()),L487))</f>
        <v>89</v>
      </c>
    </row>
    <row r="488" spans="3:13" ht="18" hidden="1" customHeight="1" outlineLevel="1" x14ac:dyDescent="0.2">
      <c r="C488" s="252">
        <v>45961</v>
      </c>
      <c r="D488" s="248" t="s">
        <v>349</v>
      </c>
      <c r="E488" s="263">
        <f t="shared" si="14"/>
        <v>2025</v>
      </c>
      <c r="F488" s="266" t="s">
        <v>277</v>
      </c>
      <c r="G488" s="265" t="s">
        <v>111</v>
      </c>
      <c r="H488" s="369">
        <v>48000</v>
      </c>
      <c r="I488" s="369">
        <f>IF(Table1[[#This Row],[TYPE]]="Income",Table1[[#This Row],[AMOUNT (₹)]],-Table1[[#This Row],[AMOUNT (₹)]])</f>
        <v>48000</v>
      </c>
      <c r="J488" s="265"/>
      <c r="K488" s="348"/>
      <c r="L488" s="265">
        <f t="shared" si="15"/>
        <v>2025</v>
      </c>
      <c r="M488" s="259">
        <f ca="1">IF(L488="","",COUNTIF($L$9:INDIRECT("K"&amp;ROW()),L488))</f>
        <v>90</v>
      </c>
    </row>
    <row r="489" spans="3:13" ht="18" hidden="1" customHeight="1" outlineLevel="1" x14ac:dyDescent="0.2">
      <c r="C489" s="252">
        <v>45963</v>
      </c>
      <c r="D489" s="248" t="s">
        <v>595</v>
      </c>
      <c r="E489" s="263">
        <f t="shared" si="14"/>
        <v>2025</v>
      </c>
      <c r="F489" s="266" t="s">
        <v>274</v>
      </c>
      <c r="G489" s="265" t="s">
        <v>90</v>
      </c>
      <c r="H489" s="369">
        <v>3300</v>
      </c>
      <c r="I489" s="369">
        <f>IF(Table1[[#This Row],[TYPE]]="Income",Table1[[#This Row],[AMOUNT (₹)]],-Table1[[#This Row],[AMOUNT (₹)]])</f>
        <v>-3300</v>
      </c>
      <c r="J489" s="265"/>
      <c r="K489" s="348"/>
      <c r="L489" s="265">
        <f t="shared" si="15"/>
        <v>2025</v>
      </c>
      <c r="M489" s="259">
        <f ca="1">IF(L489="","",COUNTIF($L$9:INDIRECT("K"&amp;ROW()),L489))</f>
        <v>91</v>
      </c>
    </row>
    <row r="490" spans="3:13" ht="18" hidden="1" customHeight="1" outlineLevel="1" x14ac:dyDescent="0.2">
      <c r="C490" s="252">
        <v>45964</v>
      </c>
      <c r="D490" s="248" t="s">
        <v>596</v>
      </c>
      <c r="E490" s="263">
        <f t="shared" si="14"/>
        <v>2025</v>
      </c>
      <c r="F490" s="266" t="s">
        <v>274</v>
      </c>
      <c r="G490" s="265" t="s">
        <v>88</v>
      </c>
      <c r="H490" s="369">
        <v>5000</v>
      </c>
      <c r="I490" s="369">
        <f>IF(Table1[[#This Row],[TYPE]]="Income",Table1[[#This Row],[AMOUNT (₹)]],-Table1[[#This Row],[AMOUNT (₹)]])</f>
        <v>-5000</v>
      </c>
      <c r="J490" s="265"/>
      <c r="K490" s="348"/>
      <c r="L490" s="265">
        <f t="shared" si="15"/>
        <v>2025</v>
      </c>
      <c r="M490" s="259">
        <f ca="1">IF(L490="","",COUNTIF($L$9:INDIRECT("K"&amp;ROW()),L490))</f>
        <v>92</v>
      </c>
    </row>
    <row r="491" spans="3:13" ht="18" hidden="1" customHeight="1" outlineLevel="1" x14ac:dyDescent="0.2">
      <c r="C491" s="252">
        <v>45964</v>
      </c>
      <c r="D491" s="248" t="s">
        <v>597</v>
      </c>
      <c r="E491" s="263">
        <f t="shared" si="14"/>
        <v>2025</v>
      </c>
      <c r="F491" s="266" t="s">
        <v>274</v>
      </c>
      <c r="G491" s="265" t="s">
        <v>84</v>
      </c>
      <c r="H491" s="369">
        <v>11000</v>
      </c>
      <c r="I491" s="369">
        <f>IF(Table1[[#This Row],[TYPE]]="Income",Table1[[#This Row],[AMOUNT (₹)]],-Table1[[#This Row],[AMOUNT (₹)]])</f>
        <v>-11000</v>
      </c>
      <c r="J491" s="265"/>
      <c r="K491" s="348"/>
      <c r="L491" s="265">
        <f t="shared" si="15"/>
        <v>2025</v>
      </c>
      <c r="M491" s="259">
        <f ca="1">IF(L491="","",COUNTIF($L$9:INDIRECT("K"&amp;ROW()),L491))</f>
        <v>93</v>
      </c>
    </row>
    <row r="492" spans="3:13" ht="18" hidden="1" customHeight="1" outlineLevel="1" x14ac:dyDescent="0.2">
      <c r="C492" s="252">
        <v>45965</v>
      </c>
      <c r="D492" s="248" t="s">
        <v>46</v>
      </c>
      <c r="E492" s="263">
        <f t="shared" si="14"/>
        <v>2025</v>
      </c>
      <c r="F492" s="266" t="s">
        <v>30</v>
      </c>
      <c r="G492" s="265" t="s">
        <v>98</v>
      </c>
      <c r="H492" s="369">
        <v>376</v>
      </c>
      <c r="I492" s="369">
        <f>IF(Table1[[#This Row],[TYPE]]="Income",Table1[[#This Row],[AMOUNT (₹)]],-Table1[[#This Row],[AMOUNT (₹)]])</f>
        <v>-376</v>
      </c>
      <c r="J492" s="265"/>
      <c r="K492" s="348"/>
      <c r="L492" s="265">
        <f t="shared" si="15"/>
        <v>2025</v>
      </c>
      <c r="M492" s="259">
        <f ca="1">IF(L492="","",COUNTIF($L$9:INDIRECT("K"&amp;ROW()),L492))</f>
        <v>94</v>
      </c>
    </row>
    <row r="493" spans="3:13" ht="18" hidden="1" customHeight="1" outlineLevel="1" x14ac:dyDescent="0.2">
      <c r="C493" s="252">
        <v>45970</v>
      </c>
      <c r="D493" s="248" t="s">
        <v>598</v>
      </c>
      <c r="E493" s="263">
        <f t="shared" si="14"/>
        <v>2025</v>
      </c>
      <c r="F493" s="266" t="s">
        <v>274</v>
      </c>
      <c r="G493" s="265" t="s">
        <v>73</v>
      </c>
      <c r="H493" s="369">
        <v>940</v>
      </c>
      <c r="I493" s="369">
        <f>IF(Table1[[#This Row],[TYPE]]="Income",Table1[[#This Row],[AMOUNT (₹)]],-Table1[[#This Row],[AMOUNT (₹)]])</f>
        <v>-940</v>
      </c>
      <c r="J493" s="265"/>
      <c r="K493" s="348"/>
      <c r="L493" s="265">
        <f t="shared" si="15"/>
        <v>2025</v>
      </c>
      <c r="M493" s="259">
        <f ca="1">IF(L493="","",COUNTIF($L$9:INDIRECT("K"&amp;ROW()),L493))</f>
        <v>95</v>
      </c>
    </row>
    <row r="494" spans="3:13" ht="18" hidden="1" customHeight="1" outlineLevel="1" x14ac:dyDescent="0.2">
      <c r="C494" s="252">
        <v>45970</v>
      </c>
      <c r="D494" s="248" t="s">
        <v>599</v>
      </c>
      <c r="E494" s="263">
        <f t="shared" si="14"/>
        <v>2025</v>
      </c>
      <c r="F494" s="266" t="s">
        <v>274</v>
      </c>
      <c r="G494" s="265" t="s">
        <v>82</v>
      </c>
      <c r="H494" s="369">
        <v>1100</v>
      </c>
      <c r="I494" s="369">
        <f>IF(Table1[[#This Row],[TYPE]]="Income",Table1[[#This Row],[AMOUNT (₹)]],-Table1[[#This Row],[AMOUNT (₹)]])</f>
        <v>-1100</v>
      </c>
      <c r="J494" s="265" t="s">
        <v>426</v>
      </c>
      <c r="K494" s="348"/>
      <c r="L494" s="265">
        <f t="shared" si="15"/>
        <v>2025</v>
      </c>
      <c r="M494" s="259">
        <f ca="1">IF(L494="","",COUNTIF($L$9:INDIRECT("K"&amp;ROW()),L494))</f>
        <v>96</v>
      </c>
    </row>
    <row r="495" spans="3:13" ht="18" hidden="1" customHeight="1" outlineLevel="1" x14ac:dyDescent="0.2">
      <c r="C495" s="252">
        <v>45970</v>
      </c>
      <c r="D495" s="248" t="s">
        <v>589</v>
      </c>
      <c r="E495" s="263">
        <f t="shared" si="14"/>
        <v>2025</v>
      </c>
      <c r="F495" s="266" t="s">
        <v>274</v>
      </c>
      <c r="G495" s="265" t="s">
        <v>94</v>
      </c>
      <c r="H495" s="369">
        <v>1300</v>
      </c>
      <c r="I495" s="369">
        <f>IF(Table1[[#This Row],[TYPE]]="Income",Table1[[#This Row],[AMOUNT (₹)]],-Table1[[#This Row],[AMOUNT (₹)]])</f>
        <v>-1300</v>
      </c>
      <c r="J495" s="265" t="s">
        <v>426</v>
      </c>
      <c r="K495" s="348"/>
      <c r="L495" s="265">
        <f t="shared" si="15"/>
        <v>2025</v>
      </c>
      <c r="M495" s="259">
        <f ca="1">IF(L495="","",COUNTIF($L$9:INDIRECT("K"&amp;ROW()),L495))</f>
        <v>97</v>
      </c>
    </row>
    <row r="496" spans="3:13" ht="18" hidden="1" customHeight="1" outlineLevel="1" x14ac:dyDescent="0.2">
      <c r="C496" s="252">
        <v>45989</v>
      </c>
      <c r="D496" s="248" t="s">
        <v>600</v>
      </c>
      <c r="E496" s="263">
        <f t="shared" si="14"/>
        <v>2025</v>
      </c>
      <c r="F496" s="266" t="s">
        <v>274</v>
      </c>
      <c r="G496" s="265" t="s">
        <v>76</v>
      </c>
      <c r="H496" s="369">
        <v>9100</v>
      </c>
      <c r="I496" s="369">
        <f>IF(Table1[[#This Row],[TYPE]]="Income",Table1[[#This Row],[AMOUNT (₹)]],-Table1[[#This Row],[AMOUNT (₹)]])</f>
        <v>-9100</v>
      </c>
      <c r="J496" s="265"/>
      <c r="K496" s="348"/>
      <c r="L496" s="265">
        <f t="shared" si="15"/>
        <v>2025</v>
      </c>
      <c r="M496" s="259">
        <f ca="1">IF(L496="","",COUNTIF($L$9:INDIRECT("K"&amp;ROW()),L496))</f>
        <v>98</v>
      </c>
    </row>
    <row r="497" spans="3:13" ht="18" hidden="1" customHeight="1" outlineLevel="1" x14ac:dyDescent="0.2">
      <c r="C497" s="252">
        <v>45989</v>
      </c>
      <c r="D497" s="248" t="s">
        <v>294</v>
      </c>
      <c r="E497" s="263">
        <f t="shared" si="14"/>
        <v>2025</v>
      </c>
      <c r="F497" s="266" t="s">
        <v>277</v>
      </c>
      <c r="G497" s="265" t="s">
        <v>111</v>
      </c>
      <c r="H497" s="369">
        <v>50500</v>
      </c>
      <c r="I497" s="369">
        <f>IF(Table1[[#This Row],[TYPE]]="Income",Table1[[#This Row],[AMOUNT (₹)]],-Table1[[#This Row],[AMOUNT (₹)]])</f>
        <v>50500</v>
      </c>
      <c r="J497" s="265"/>
      <c r="K497" s="348"/>
      <c r="L497" s="265">
        <f t="shared" si="15"/>
        <v>2025</v>
      </c>
      <c r="M497" s="259">
        <f ca="1">IF(L497="","",COUNTIF($L$9:INDIRECT("K"&amp;ROW()),L497))</f>
        <v>99</v>
      </c>
    </row>
    <row r="498" spans="3:13" ht="18" hidden="1" customHeight="1" outlineLevel="1" x14ac:dyDescent="0.2">
      <c r="C498" s="252">
        <v>45993</v>
      </c>
      <c r="D498" s="248" t="s">
        <v>601</v>
      </c>
      <c r="E498" s="263">
        <f t="shared" si="14"/>
        <v>2025</v>
      </c>
      <c r="F498" s="266" t="s">
        <v>274</v>
      </c>
      <c r="G498" s="265" t="s">
        <v>88</v>
      </c>
      <c r="H498" s="369">
        <v>4000</v>
      </c>
      <c r="I498" s="369">
        <f>IF(Table1[[#This Row],[TYPE]]="Income",Table1[[#This Row],[AMOUNT (₹)]],-Table1[[#This Row],[AMOUNT (₹)]])</f>
        <v>-4000</v>
      </c>
      <c r="J498" s="265"/>
      <c r="K498" s="348"/>
      <c r="L498" s="265">
        <f t="shared" si="15"/>
        <v>2025</v>
      </c>
      <c r="M498" s="259">
        <f ca="1">IF(L498="","",COUNTIF($L$9:INDIRECT("K"&amp;ROW()),L498))</f>
        <v>100</v>
      </c>
    </row>
    <row r="499" spans="3:13" ht="18" hidden="1" customHeight="1" outlineLevel="1" x14ac:dyDescent="0.2">
      <c r="C499" s="252">
        <v>45993</v>
      </c>
      <c r="D499" s="248" t="s">
        <v>602</v>
      </c>
      <c r="E499" s="263">
        <f t="shared" si="14"/>
        <v>2025</v>
      </c>
      <c r="F499" s="266" t="s">
        <v>274</v>
      </c>
      <c r="G499" s="265" t="s">
        <v>84</v>
      </c>
      <c r="H499" s="369">
        <v>11561</v>
      </c>
      <c r="I499" s="369">
        <f>IF(Table1[[#This Row],[TYPE]]="Income",Table1[[#This Row],[AMOUNT (₹)]],-Table1[[#This Row],[AMOUNT (₹)]])</f>
        <v>-11561</v>
      </c>
      <c r="J499" s="265"/>
      <c r="K499" s="348"/>
      <c r="L499" s="265">
        <f t="shared" si="15"/>
        <v>2025</v>
      </c>
      <c r="M499" s="259">
        <f ca="1">IF(L499="","",COUNTIF($L$9:INDIRECT("K"&amp;ROW()),L499))</f>
        <v>101</v>
      </c>
    </row>
    <row r="500" spans="3:13" ht="18" hidden="1" customHeight="1" outlineLevel="1" x14ac:dyDescent="0.2">
      <c r="C500" s="252">
        <v>45994</v>
      </c>
      <c r="D500" s="248" t="s">
        <v>603</v>
      </c>
      <c r="E500" s="263">
        <f t="shared" si="14"/>
        <v>2025</v>
      </c>
      <c r="F500" s="266" t="s">
        <v>274</v>
      </c>
      <c r="G500" s="265" t="s">
        <v>73</v>
      </c>
      <c r="H500" s="369">
        <v>5628</v>
      </c>
      <c r="I500" s="369">
        <f>IF(Table1[[#This Row],[TYPE]]="Income",Table1[[#This Row],[AMOUNT (₹)]],-Table1[[#This Row],[AMOUNT (₹)]])</f>
        <v>-5628</v>
      </c>
      <c r="J500" s="265"/>
      <c r="K500" s="348"/>
      <c r="L500" s="265">
        <f t="shared" si="15"/>
        <v>2025</v>
      </c>
      <c r="M500" s="259">
        <f ca="1">IF(L500="","",COUNTIF($L$9:INDIRECT("K"&amp;ROW()),L500))</f>
        <v>102</v>
      </c>
    </row>
    <row r="501" spans="3:13" ht="18" hidden="1" customHeight="1" outlineLevel="1" x14ac:dyDescent="0.2">
      <c r="C501" s="252">
        <v>45996</v>
      </c>
      <c r="D501" s="248" t="s">
        <v>604</v>
      </c>
      <c r="E501" s="263">
        <f t="shared" si="14"/>
        <v>2025</v>
      </c>
      <c r="F501" s="266" t="s">
        <v>30</v>
      </c>
      <c r="G501" s="265" t="s">
        <v>98</v>
      </c>
      <c r="H501" s="369">
        <v>2006</v>
      </c>
      <c r="I501" s="369">
        <f>IF(Table1[[#This Row],[TYPE]]="Income",Table1[[#This Row],[AMOUNT (₹)]],-Table1[[#This Row],[AMOUNT (₹)]])</f>
        <v>-2006</v>
      </c>
      <c r="J501" s="265"/>
      <c r="K501" s="348"/>
      <c r="L501" s="265">
        <f t="shared" si="15"/>
        <v>2025</v>
      </c>
      <c r="M501" s="259">
        <f ca="1">IF(L501="","",COUNTIF($L$9:INDIRECT("K"&amp;ROW()),L501))</f>
        <v>103</v>
      </c>
    </row>
    <row r="502" spans="3:13" ht="18" hidden="1" customHeight="1" outlineLevel="1" x14ac:dyDescent="0.2">
      <c r="C502" s="252">
        <v>45999</v>
      </c>
      <c r="D502" s="248" t="s">
        <v>605</v>
      </c>
      <c r="E502" s="263">
        <f t="shared" si="14"/>
        <v>2025</v>
      </c>
      <c r="F502" s="266" t="s">
        <v>274</v>
      </c>
      <c r="G502" s="265" t="s">
        <v>73</v>
      </c>
      <c r="H502" s="369">
        <v>6500</v>
      </c>
      <c r="I502" s="369">
        <f>IF(Table1[[#This Row],[TYPE]]="Income",Table1[[#This Row],[AMOUNT (₹)]],-Table1[[#This Row],[AMOUNT (₹)]])</f>
        <v>-6500</v>
      </c>
      <c r="J502" s="265"/>
      <c r="K502" s="348"/>
      <c r="L502" s="265">
        <f t="shared" si="15"/>
        <v>2025</v>
      </c>
      <c r="M502" s="259">
        <f ca="1">IF(L502="","",COUNTIF($L$9:INDIRECT("K"&amp;ROW()),L502))</f>
        <v>104</v>
      </c>
    </row>
    <row r="503" spans="3:13" ht="18" hidden="1" customHeight="1" outlineLevel="1" x14ac:dyDescent="0.2">
      <c r="C503" s="252">
        <v>46010</v>
      </c>
      <c r="D503" s="248" t="s">
        <v>606</v>
      </c>
      <c r="E503" s="263">
        <f t="shared" si="14"/>
        <v>2025</v>
      </c>
      <c r="F503" s="266" t="s">
        <v>274</v>
      </c>
      <c r="G503" s="265" t="s">
        <v>94</v>
      </c>
      <c r="H503" s="369">
        <v>2233</v>
      </c>
      <c r="I503" s="369">
        <f>IF(Table1[[#This Row],[TYPE]]="Income",Table1[[#This Row],[AMOUNT (₹)]],-Table1[[#This Row],[AMOUNT (₹)]])</f>
        <v>-2233</v>
      </c>
      <c r="J503" s="265" t="s">
        <v>426</v>
      </c>
      <c r="K503" s="348"/>
      <c r="L503" s="265">
        <f t="shared" si="15"/>
        <v>2025</v>
      </c>
      <c r="M503" s="259">
        <f ca="1">IF(L503="","",COUNTIF($L$9:INDIRECT("K"&amp;ROW()),L503))</f>
        <v>105</v>
      </c>
    </row>
    <row r="504" spans="3:13" ht="18" hidden="1" customHeight="1" outlineLevel="1" x14ac:dyDescent="0.2">
      <c r="C504" s="252">
        <v>46012</v>
      </c>
      <c r="D504" s="248" t="s">
        <v>607</v>
      </c>
      <c r="E504" s="263">
        <f t="shared" si="14"/>
        <v>2025</v>
      </c>
      <c r="F504" s="266" t="s">
        <v>274</v>
      </c>
      <c r="G504" s="265" t="s">
        <v>76</v>
      </c>
      <c r="H504" s="369">
        <v>327</v>
      </c>
      <c r="I504" s="369">
        <f>IF(Table1[[#This Row],[TYPE]]="Income",Table1[[#This Row],[AMOUNT (₹)]],-Table1[[#This Row],[AMOUNT (₹)]])</f>
        <v>-327</v>
      </c>
      <c r="J504" s="265"/>
      <c r="K504" s="348"/>
      <c r="L504" s="265">
        <f t="shared" si="15"/>
        <v>2025</v>
      </c>
      <c r="M504" s="259">
        <f ca="1">IF(L504="","",COUNTIF($L$9:INDIRECT("K"&amp;ROW()),L504))</f>
        <v>106</v>
      </c>
    </row>
    <row r="505" spans="3:13" ht="18" hidden="1" customHeight="1" outlineLevel="1" x14ac:dyDescent="0.2">
      <c r="C505" s="252">
        <v>46021</v>
      </c>
      <c r="D505" s="248" t="s">
        <v>608</v>
      </c>
      <c r="E505" s="263">
        <f t="shared" si="14"/>
        <v>2025</v>
      </c>
      <c r="F505" s="266" t="s">
        <v>274</v>
      </c>
      <c r="G505" s="265" t="s">
        <v>90</v>
      </c>
      <c r="H505" s="369">
        <v>1438.6</v>
      </c>
      <c r="I505" s="369">
        <f>IF(Table1[[#This Row],[TYPE]]="Income",Table1[[#This Row],[AMOUNT (₹)]],-Table1[[#This Row],[AMOUNT (₹)]])</f>
        <v>-1438.6</v>
      </c>
      <c r="J505" s="265"/>
      <c r="K505" s="348"/>
      <c r="L505" s="265">
        <f t="shared" si="15"/>
        <v>2025</v>
      </c>
      <c r="M505" s="259">
        <f ca="1">IF(L505="","",COUNTIF($L$9:INDIRECT("K"&amp;ROW()),L505))</f>
        <v>107</v>
      </c>
    </row>
    <row r="506" spans="3:13" ht="18" hidden="1" customHeight="1" outlineLevel="1" x14ac:dyDescent="0.2">
      <c r="C506" s="252">
        <v>46021</v>
      </c>
      <c r="D506" s="248" t="s">
        <v>609</v>
      </c>
      <c r="E506" s="263">
        <f t="shared" si="14"/>
        <v>2025</v>
      </c>
      <c r="F506" s="266" t="s">
        <v>274</v>
      </c>
      <c r="G506" s="265" t="s">
        <v>90</v>
      </c>
      <c r="H506" s="369">
        <v>838.6</v>
      </c>
      <c r="I506" s="369">
        <f>IF(Table1[[#This Row],[TYPE]]="Income",Table1[[#This Row],[AMOUNT (₹)]],-Table1[[#This Row],[AMOUNT (₹)]])</f>
        <v>-838.6</v>
      </c>
      <c r="J506" s="265"/>
      <c r="K506" s="348"/>
      <c r="L506" s="265">
        <f t="shared" si="15"/>
        <v>2025</v>
      </c>
      <c r="M506" s="259">
        <f ca="1">IF(L506="","",COUNTIF($L$9:INDIRECT("K"&amp;ROW()),L506))</f>
        <v>108</v>
      </c>
    </row>
    <row r="507" spans="3:13" ht="18" hidden="1" customHeight="1" outlineLevel="1" x14ac:dyDescent="0.2">
      <c r="C507" s="252">
        <v>46022</v>
      </c>
      <c r="D507" s="248" t="s">
        <v>610</v>
      </c>
      <c r="E507" s="263">
        <f t="shared" si="14"/>
        <v>2025</v>
      </c>
      <c r="F507" s="266" t="s">
        <v>274</v>
      </c>
      <c r="G507" s="265" t="s">
        <v>76</v>
      </c>
      <c r="H507" s="369">
        <v>14500</v>
      </c>
      <c r="I507" s="369">
        <f>IF(Table1[[#This Row],[TYPE]]="Income",Table1[[#This Row],[AMOUNT (₹)]],-Table1[[#This Row],[AMOUNT (₹)]])</f>
        <v>-14500</v>
      </c>
      <c r="J507" s="265"/>
      <c r="K507" s="348"/>
      <c r="L507" s="265">
        <f t="shared" si="15"/>
        <v>2025</v>
      </c>
      <c r="M507" s="259">
        <f ca="1">IF(L507="","",COUNTIF($L$9:INDIRECT("K"&amp;ROW()),L507))</f>
        <v>109</v>
      </c>
    </row>
    <row r="508" spans="3:13" ht="18" hidden="1" customHeight="1" outlineLevel="1" x14ac:dyDescent="0.2">
      <c r="C508" s="252">
        <v>46022</v>
      </c>
      <c r="D508" s="248" t="s">
        <v>303</v>
      </c>
      <c r="E508" s="263">
        <f t="shared" si="14"/>
        <v>2025</v>
      </c>
      <c r="F508" s="266" t="s">
        <v>277</v>
      </c>
      <c r="G508" s="265" t="s">
        <v>111</v>
      </c>
      <c r="H508" s="369">
        <v>50500</v>
      </c>
      <c r="I508" s="369">
        <f>IF(Table1[[#This Row],[TYPE]]="Income",Table1[[#This Row],[AMOUNT (₹)]],-Table1[[#This Row],[AMOUNT (₹)]])</f>
        <v>50500</v>
      </c>
      <c r="J508" s="265"/>
      <c r="K508" s="348"/>
      <c r="L508" s="265">
        <f t="shared" si="15"/>
        <v>2025</v>
      </c>
      <c r="M508" s="259">
        <f ca="1">IF(L508="","",COUNTIF($L$9:INDIRECT("K"&amp;ROW()),L508))</f>
        <v>110</v>
      </c>
    </row>
    <row r="509" spans="3:13" ht="18" hidden="1" customHeight="1" outlineLevel="1" x14ac:dyDescent="0.2">
      <c r="C509" s="252">
        <v>46024</v>
      </c>
      <c r="D509" s="248" t="s">
        <v>611</v>
      </c>
      <c r="E509" s="263">
        <f t="shared" si="14"/>
        <v>2026</v>
      </c>
      <c r="F509" s="266" t="s">
        <v>274</v>
      </c>
      <c r="G509" s="265" t="s">
        <v>76</v>
      </c>
      <c r="H509" s="369">
        <v>1070</v>
      </c>
      <c r="I509" s="369">
        <f>IF(Table1[[#This Row],[TYPE]]="Income",Table1[[#This Row],[AMOUNT (₹)]],-Table1[[#This Row],[AMOUNT (₹)]])</f>
        <v>-1070</v>
      </c>
      <c r="J509" s="265"/>
      <c r="K509" s="348"/>
      <c r="L509" s="265">
        <f t="shared" si="15"/>
        <v>2025</v>
      </c>
      <c r="M509" s="259">
        <f ca="1">IF(L509="","",COUNTIF($L$9:INDIRECT("K"&amp;ROW()),L509))</f>
        <v>111</v>
      </c>
    </row>
    <row r="510" spans="3:13" ht="18" hidden="1" customHeight="1" outlineLevel="1" x14ac:dyDescent="0.2">
      <c r="C510" s="252">
        <v>46024</v>
      </c>
      <c r="D510" s="248" t="s">
        <v>612</v>
      </c>
      <c r="E510" s="263">
        <f t="shared" si="14"/>
        <v>2026</v>
      </c>
      <c r="F510" s="266" t="s">
        <v>274</v>
      </c>
      <c r="G510" s="265" t="s">
        <v>88</v>
      </c>
      <c r="H510" s="369">
        <v>6000</v>
      </c>
      <c r="I510" s="369">
        <f>IF(Table1[[#This Row],[TYPE]]="Income",Table1[[#This Row],[AMOUNT (₹)]],-Table1[[#This Row],[AMOUNT (₹)]])</f>
        <v>-6000</v>
      </c>
      <c r="J510" s="265"/>
      <c r="K510" s="348"/>
      <c r="L510" s="265">
        <f t="shared" si="15"/>
        <v>2025</v>
      </c>
      <c r="M510" s="259">
        <f ca="1">IF(L510="","",COUNTIF($L$9:INDIRECT("K"&amp;ROW()),L510))</f>
        <v>112</v>
      </c>
    </row>
    <row r="511" spans="3:13" ht="18" hidden="1" customHeight="1" outlineLevel="1" x14ac:dyDescent="0.2">
      <c r="C511" s="252">
        <v>46024</v>
      </c>
      <c r="D511" s="248" t="s">
        <v>613</v>
      </c>
      <c r="E511" s="263">
        <f t="shared" si="14"/>
        <v>2026</v>
      </c>
      <c r="F511" s="266" t="s">
        <v>274</v>
      </c>
      <c r="G511" s="265" t="s">
        <v>92</v>
      </c>
      <c r="H511" s="369">
        <v>1160</v>
      </c>
      <c r="I511" s="369">
        <f>IF(Table1[[#This Row],[TYPE]]="Income",Table1[[#This Row],[AMOUNT (₹)]],-Table1[[#This Row],[AMOUNT (₹)]])</f>
        <v>-1160</v>
      </c>
      <c r="J511" s="265"/>
      <c r="K511" s="348"/>
      <c r="L511" s="265">
        <f t="shared" si="15"/>
        <v>2025</v>
      </c>
      <c r="M511" s="259">
        <f ca="1">IF(L511="","",COUNTIF($L$9:INDIRECT("K"&amp;ROW()),L511))</f>
        <v>113</v>
      </c>
    </row>
    <row r="512" spans="3:13" ht="18" hidden="1" customHeight="1" outlineLevel="1" x14ac:dyDescent="0.2">
      <c r="C512" s="252">
        <v>46024</v>
      </c>
      <c r="D512" s="248" t="s">
        <v>614</v>
      </c>
      <c r="E512" s="263">
        <f t="shared" si="14"/>
        <v>2026</v>
      </c>
      <c r="F512" s="266" t="s">
        <v>274</v>
      </c>
      <c r="G512" s="265" t="s">
        <v>84</v>
      </c>
      <c r="H512" s="369">
        <v>12500</v>
      </c>
      <c r="I512" s="369">
        <f>IF(Table1[[#This Row],[TYPE]]="Income",Table1[[#This Row],[AMOUNT (₹)]],-Table1[[#This Row],[AMOUNT (₹)]])</f>
        <v>-12500</v>
      </c>
      <c r="J512" s="265"/>
      <c r="K512" s="348"/>
      <c r="L512" s="265">
        <f t="shared" si="15"/>
        <v>2025</v>
      </c>
      <c r="M512" s="259">
        <f ca="1">IF(L512="","",COUNTIF($L$9:INDIRECT("K"&amp;ROW()),L512))</f>
        <v>114</v>
      </c>
    </row>
    <row r="513" spans="3:13" ht="18" hidden="1" customHeight="1" outlineLevel="1" x14ac:dyDescent="0.2">
      <c r="C513" s="252">
        <v>46027</v>
      </c>
      <c r="D513" s="248" t="s">
        <v>615</v>
      </c>
      <c r="E513" s="263">
        <f t="shared" si="14"/>
        <v>2026</v>
      </c>
      <c r="F513" s="266" t="s">
        <v>30</v>
      </c>
      <c r="G513" s="265" t="s">
        <v>98</v>
      </c>
      <c r="H513" s="369">
        <v>1006</v>
      </c>
      <c r="I513" s="369">
        <f>IF(Table1[[#This Row],[TYPE]]="Income",Table1[[#This Row],[AMOUNT (₹)]],-Table1[[#This Row],[AMOUNT (₹)]])</f>
        <v>-1006</v>
      </c>
      <c r="J513" s="265"/>
      <c r="K513" s="348"/>
      <c r="L513" s="265">
        <f t="shared" si="15"/>
        <v>2025</v>
      </c>
      <c r="M513" s="259">
        <f ca="1">IF(L513="","",COUNTIF($L$9:INDIRECT("K"&amp;ROW()),L513))</f>
        <v>115</v>
      </c>
    </row>
    <row r="514" spans="3:13" ht="18" hidden="1" customHeight="1" outlineLevel="1" x14ac:dyDescent="0.2">
      <c r="C514" s="252">
        <v>46028</v>
      </c>
      <c r="D514" s="248" t="s">
        <v>616</v>
      </c>
      <c r="E514" s="263">
        <f t="shared" si="14"/>
        <v>2026</v>
      </c>
      <c r="F514" s="266" t="s">
        <v>274</v>
      </c>
      <c r="G514" s="265" t="s">
        <v>92</v>
      </c>
      <c r="H514" s="369">
        <v>800</v>
      </c>
      <c r="I514" s="369">
        <f>IF(Table1[[#This Row],[TYPE]]="Income",Table1[[#This Row],[AMOUNT (₹)]],-Table1[[#This Row],[AMOUNT (₹)]])</f>
        <v>-800</v>
      </c>
      <c r="J514" s="265"/>
      <c r="K514" s="348"/>
      <c r="L514" s="265">
        <f t="shared" si="15"/>
        <v>2025</v>
      </c>
      <c r="M514" s="259">
        <f ca="1">IF(L514="","",COUNTIF($L$9:INDIRECT("K"&amp;ROW()),L514))</f>
        <v>116</v>
      </c>
    </row>
    <row r="515" spans="3:13" ht="18" hidden="1" customHeight="1" outlineLevel="1" x14ac:dyDescent="0.2">
      <c r="C515" s="252">
        <v>46032</v>
      </c>
      <c r="D515" s="248" t="s">
        <v>617</v>
      </c>
      <c r="E515" s="263">
        <f t="shared" si="14"/>
        <v>2026</v>
      </c>
      <c r="F515" s="266" t="s">
        <v>277</v>
      </c>
      <c r="G515" s="265" t="s">
        <v>92</v>
      </c>
      <c r="H515" s="369">
        <v>4400</v>
      </c>
      <c r="I515" s="369">
        <f>IF(Table1[[#This Row],[TYPE]]="Income",Table1[[#This Row],[AMOUNT (₹)]],-Table1[[#This Row],[AMOUNT (₹)]])</f>
        <v>4400</v>
      </c>
      <c r="J515" s="265"/>
      <c r="K515" s="348"/>
      <c r="L515" s="265">
        <f t="shared" si="15"/>
        <v>2025</v>
      </c>
      <c r="M515" s="259">
        <f ca="1">IF(L515="","",COUNTIF($L$9:INDIRECT("K"&amp;ROW()),L515))</f>
        <v>117</v>
      </c>
    </row>
    <row r="516" spans="3:13" ht="18" hidden="1" customHeight="1" outlineLevel="1" x14ac:dyDescent="0.2">
      <c r="C516" s="252">
        <v>46032</v>
      </c>
      <c r="D516" s="248" t="s">
        <v>618</v>
      </c>
      <c r="E516" s="263">
        <f t="shared" si="14"/>
        <v>2026</v>
      </c>
      <c r="F516" s="266" t="s">
        <v>277</v>
      </c>
      <c r="G516" s="265" t="s">
        <v>92</v>
      </c>
      <c r="H516" s="369">
        <v>4474</v>
      </c>
      <c r="I516" s="369">
        <f>IF(Table1[[#This Row],[TYPE]]="Income",Table1[[#This Row],[AMOUNT (₹)]],-Table1[[#This Row],[AMOUNT (₹)]])</f>
        <v>4474</v>
      </c>
      <c r="J516" s="265"/>
      <c r="K516" s="348"/>
      <c r="L516" s="265">
        <f t="shared" si="15"/>
        <v>2025</v>
      </c>
      <c r="M516" s="259">
        <f ca="1">IF(L516="","",COUNTIF($L$9:INDIRECT("K"&amp;ROW()),L516))</f>
        <v>118</v>
      </c>
    </row>
    <row r="517" spans="3:13" ht="18" hidden="1" customHeight="1" outlineLevel="1" x14ac:dyDescent="0.2">
      <c r="C517" s="252">
        <v>46034</v>
      </c>
      <c r="D517" s="248" t="s">
        <v>619</v>
      </c>
      <c r="E517" s="263">
        <f t="shared" si="14"/>
        <v>2026</v>
      </c>
      <c r="F517" s="266" t="s">
        <v>274</v>
      </c>
      <c r="G517" s="265" t="s">
        <v>90</v>
      </c>
      <c r="H517" s="369">
        <v>1213.5999999999999</v>
      </c>
      <c r="I517" s="369">
        <f>IF(Table1[[#This Row],[TYPE]]="Income",Table1[[#This Row],[AMOUNT (₹)]],-Table1[[#This Row],[AMOUNT (₹)]])</f>
        <v>-1213.5999999999999</v>
      </c>
      <c r="J517" s="265"/>
      <c r="K517" s="348"/>
      <c r="L517" s="265">
        <f t="shared" si="15"/>
        <v>2025</v>
      </c>
      <c r="M517" s="259">
        <f ca="1">IF(L517="","",COUNTIF($L$9:INDIRECT("K"&amp;ROW()),L517))</f>
        <v>119</v>
      </c>
    </row>
    <row r="518" spans="3:13" ht="18" hidden="1" customHeight="1" outlineLevel="1" x14ac:dyDescent="0.2">
      <c r="C518" s="252">
        <v>46039</v>
      </c>
      <c r="D518" s="248" t="s">
        <v>620</v>
      </c>
      <c r="E518" s="263">
        <f t="shared" si="14"/>
        <v>2026</v>
      </c>
      <c r="F518" s="266" t="s">
        <v>274</v>
      </c>
      <c r="G518" s="265" t="s">
        <v>82</v>
      </c>
      <c r="H518" s="369">
        <v>1200</v>
      </c>
      <c r="I518" s="369">
        <f>IF(Table1[[#This Row],[TYPE]]="Income",Table1[[#This Row],[AMOUNT (₹)]],-Table1[[#This Row],[AMOUNT (₹)]])</f>
        <v>-1200</v>
      </c>
      <c r="J518" s="265"/>
      <c r="K518" s="348"/>
      <c r="L518" s="265">
        <f t="shared" si="15"/>
        <v>2025</v>
      </c>
      <c r="M518" s="259">
        <f ca="1">IF(L518="","",COUNTIF($L$9:INDIRECT("K"&amp;ROW()),L518))</f>
        <v>120</v>
      </c>
    </row>
    <row r="519" spans="3:13" ht="18" hidden="1" customHeight="1" outlineLevel="1" x14ac:dyDescent="0.2">
      <c r="C519" s="252">
        <v>46040</v>
      </c>
      <c r="D519" s="248" t="s">
        <v>452</v>
      </c>
      <c r="E519" s="263">
        <f t="shared" si="14"/>
        <v>2026</v>
      </c>
      <c r="F519" s="266" t="s">
        <v>277</v>
      </c>
      <c r="G519" s="265" t="s">
        <v>84</v>
      </c>
      <c r="H519" s="369">
        <v>5000</v>
      </c>
      <c r="I519" s="369">
        <f>IF(Table1[[#This Row],[TYPE]]="Income",Table1[[#This Row],[AMOUNT (₹)]],-Table1[[#This Row],[AMOUNT (₹)]])</f>
        <v>5000</v>
      </c>
      <c r="J519" s="265"/>
      <c r="K519" s="348"/>
      <c r="L519" s="265">
        <f t="shared" si="15"/>
        <v>2025</v>
      </c>
      <c r="M519" s="259">
        <f ca="1">IF(L519="","",COUNTIF($L$9:INDIRECT("K"&amp;ROW()),L519))</f>
        <v>121</v>
      </c>
    </row>
    <row r="520" spans="3:13" ht="18" hidden="1" customHeight="1" outlineLevel="1" x14ac:dyDescent="0.2">
      <c r="C520" s="252">
        <v>46040</v>
      </c>
      <c r="D520" s="248" t="s">
        <v>452</v>
      </c>
      <c r="E520" s="263">
        <f t="shared" si="14"/>
        <v>2026</v>
      </c>
      <c r="F520" s="266" t="s">
        <v>277</v>
      </c>
      <c r="G520" s="265" t="s">
        <v>84</v>
      </c>
      <c r="H520" s="369">
        <v>56500</v>
      </c>
      <c r="I520" s="369">
        <f>IF(Table1[[#This Row],[TYPE]]="Income",Table1[[#This Row],[AMOUNT (₹)]],-Table1[[#This Row],[AMOUNT (₹)]])</f>
        <v>56500</v>
      </c>
      <c r="J520" s="265"/>
      <c r="K520" s="348"/>
      <c r="L520" s="265">
        <f t="shared" si="15"/>
        <v>2025</v>
      </c>
      <c r="M520" s="259">
        <f ca="1">IF(L520="","",COUNTIF($L$9:INDIRECT("K"&amp;ROW()),L520))</f>
        <v>122</v>
      </c>
    </row>
    <row r="521" spans="3:13" ht="18" hidden="1" customHeight="1" outlineLevel="1" x14ac:dyDescent="0.2">
      <c r="C521" s="252">
        <v>46041</v>
      </c>
      <c r="D521" s="248" t="s">
        <v>621</v>
      </c>
      <c r="E521" s="263">
        <f t="shared" ref="E521:E584" si="16">IFERROR(YEAR(C521),"")</f>
        <v>2026</v>
      </c>
      <c r="F521" s="266" t="s">
        <v>274</v>
      </c>
      <c r="G521" s="265" t="s">
        <v>86</v>
      </c>
      <c r="H521" s="369">
        <v>500</v>
      </c>
      <c r="I521" s="369">
        <f>IF(Table1[[#This Row],[TYPE]]="Income",Table1[[#This Row],[AMOUNT (₹)]],-Table1[[#This Row],[AMOUNT (₹)]])</f>
        <v>-500</v>
      </c>
      <c r="J521" s="265"/>
      <c r="K521" s="348" t="s">
        <v>533</v>
      </c>
      <c r="L521" s="265">
        <f t="shared" ref="L521:L584" si="17">IFERROR(IF(MONTH(C521)&lt;=3,YEAR(C521)-1,YEAR(C521)),"")</f>
        <v>2025</v>
      </c>
      <c r="M521" s="259">
        <f ca="1">IF(L521="","",COUNTIF($L$9:INDIRECT("K"&amp;ROW()),L521))</f>
        <v>123</v>
      </c>
    </row>
    <row r="522" spans="3:13" ht="18" hidden="1" customHeight="1" outlineLevel="1" x14ac:dyDescent="0.2">
      <c r="C522" s="252">
        <v>46041</v>
      </c>
      <c r="D522" s="248" t="s">
        <v>622</v>
      </c>
      <c r="E522" s="263">
        <f t="shared" si="16"/>
        <v>2026</v>
      </c>
      <c r="F522" s="266" t="s">
        <v>274</v>
      </c>
      <c r="G522" s="265" t="s">
        <v>94</v>
      </c>
      <c r="H522" s="369">
        <v>3090</v>
      </c>
      <c r="I522" s="369">
        <f>IF(Table1[[#This Row],[TYPE]]="Income",Table1[[#This Row],[AMOUNT (₹)]],-Table1[[#This Row],[AMOUNT (₹)]])</f>
        <v>-3090</v>
      </c>
      <c r="J522" s="265"/>
      <c r="K522" s="348"/>
      <c r="L522" s="265">
        <f t="shared" si="17"/>
        <v>2025</v>
      </c>
      <c r="M522" s="259">
        <f ca="1">IF(L522="","",COUNTIF($L$9:INDIRECT("K"&amp;ROW()),L522))</f>
        <v>124</v>
      </c>
    </row>
    <row r="523" spans="3:13" ht="18" hidden="1" customHeight="1" outlineLevel="1" x14ac:dyDescent="0.2">
      <c r="C523" s="252">
        <v>46049</v>
      </c>
      <c r="D523" s="248" t="s">
        <v>533</v>
      </c>
      <c r="E523" s="263">
        <f t="shared" si="16"/>
        <v>2026</v>
      </c>
      <c r="F523" s="266" t="s">
        <v>274</v>
      </c>
      <c r="G523" s="265" t="s">
        <v>73</v>
      </c>
      <c r="H523" s="369">
        <v>500</v>
      </c>
      <c r="I523" s="369">
        <f>IF(Table1[[#This Row],[TYPE]]="Income",Table1[[#This Row],[AMOUNT (₹)]],-Table1[[#This Row],[AMOUNT (₹)]])</f>
        <v>-500</v>
      </c>
      <c r="J523" s="265"/>
      <c r="K523" s="348"/>
      <c r="L523" s="265">
        <f t="shared" si="17"/>
        <v>2025</v>
      </c>
      <c r="M523" s="259">
        <f ca="1">IF(L523="","",COUNTIF($L$9:INDIRECT("K"&amp;ROW()),L523))</f>
        <v>125</v>
      </c>
    </row>
    <row r="524" spans="3:13" ht="18" hidden="1" customHeight="1" outlineLevel="1" x14ac:dyDescent="0.2">
      <c r="C524" s="252">
        <v>46052</v>
      </c>
      <c r="D524" s="248" t="s">
        <v>307</v>
      </c>
      <c r="E524" s="263">
        <f t="shared" si="16"/>
        <v>2026</v>
      </c>
      <c r="F524" s="266" t="s">
        <v>277</v>
      </c>
      <c r="G524" s="265" t="s">
        <v>111</v>
      </c>
      <c r="H524" s="369">
        <v>50500</v>
      </c>
      <c r="I524" s="369">
        <f>IF(Table1[[#This Row],[TYPE]]="Income",Table1[[#This Row],[AMOUNT (₹)]],-Table1[[#This Row],[AMOUNT (₹)]])</f>
        <v>50500</v>
      </c>
      <c r="J524" s="265"/>
      <c r="K524" s="348"/>
      <c r="L524" s="265">
        <f t="shared" si="17"/>
        <v>2025</v>
      </c>
      <c r="M524" s="259">
        <f ca="1">IF(L524="","",COUNTIF($L$9:INDIRECT("K"&amp;ROW()),L524))</f>
        <v>126</v>
      </c>
    </row>
    <row r="525" spans="3:13" ht="18" hidden="1" customHeight="1" outlineLevel="1" x14ac:dyDescent="0.2">
      <c r="C525" s="252">
        <v>46053</v>
      </c>
      <c r="D525" s="248" t="s">
        <v>623</v>
      </c>
      <c r="E525" s="263">
        <f t="shared" si="16"/>
        <v>2026</v>
      </c>
      <c r="F525" s="266" t="s">
        <v>274</v>
      </c>
      <c r="G525" s="265" t="s">
        <v>76</v>
      </c>
      <c r="H525" s="369">
        <v>5820</v>
      </c>
      <c r="I525" s="369">
        <f>IF(Table1[[#This Row],[TYPE]]="Income",Table1[[#This Row],[AMOUNT (₹)]],-Table1[[#This Row],[AMOUNT (₹)]])</f>
        <v>-5820</v>
      </c>
      <c r="J525" s="265"/>
      <c r="K525" s="348"/>
      <c r="L525" s="265">
        <f t="shared" si="17"/>
        <v>2025</v>
      </c>
      <c r="M525" s="259">
        <f ca="1">IF(L525="","",COUNTIF($L$9:INDIRECT("K"&amp;ROW()),L525))</f>
        <v>127</v>
      </c>
    </row>
    <row r="526" spans="3:13" ht="18" hidden="1" customHeight="1" outlineLevel="1" x14ac:dyDescent="0.2">
      <c r="C526" s="252">
        <v>46055</v>
      </c>
      <c r="D526" s="248" t="s">
        <v>624</v>
      </c>
      <c r="E526" s="263">
        <f t="shared" si="16"/>
        <v>2026</v>
      </c>
      <c r="F526" s="266" t="s">
        <v>274</v>
      </c>
      <c r="G526" s="265" t="s">
        <v>76</v>
      </c>
      <c r="H526" s="369">
        <v>1946</v>
      </c>
      <c r="I526" s="369">
        <f>IF(Table1[[#This Row],[TYPE]]="Income",Table1[[#This Row],[AMOUNT (₹)]],-Table1[[#This Row],[AMOUNT (₹)]])</f>
        <v>-1946</v>
      </c>
      <c r="J526" s="265" t="s">
        <v>426</v>
      </c>
      <c r="K526" s="348"/>
      <c r="L526" s="265">
        <f t="shared" si="17"/>
        <v>2025</v>
      </c>
      <c r="M526" s="259">
        <f ca="1">IF(L526="","",COUNTIF($L$9:INDIRECT("K"&amp;ROW()),L526))</f>
        <v>128</v>
      </c>
    </row>
    <row r="527" spans="3:13" ht="18" hidden="1" customHeight="1" outlineLevel="1" x14ac:dyDescent="0.2">
      <c r="C527" s="252">
        <v>46055</v>
      </c>
      <c r="D527" s="248" t="s">
        <v>625</v>
      </c>
      <c r="E527" s="263">
        <f t="shared" si="16"/>
        <v>2026</v>
      </c>
      <c r="F527" s="266" t="s">
        <v>274</v>
      </c>
      <c r="G527" s="265" t="s">
        <v>82</v>
      </c>
      <c r="H527" s="369">
        <v>5520</v>
      </c>
      <c r="I527" s="369">
        <f>IF(Table1[[#This Row],[TYPE]]="Income",Table1[[#This Row],[AMOUNT (₹)]],-Table1[[#This Row],[AMOUNT (₹)]])</f>
        <v>-5520</v>
      </c>
      <c r="J527" s="265" t="s">
        <v>426</v>
      </c>
      <c r="K527" s="348"/>
      <c r="L527" s="265">
        <f t="shared" si="17"/>
        <v>2025</v>
      </c>
      <c r="M527" s="259">
        <f ca="1">IF(L527="","",COUNTIF($L$9:INDIRECT("K"&amp;ROW()),L527))</f>
        <v>129</v>
      </c>
    </row>
    <row r="528" spans="3:13" ht="18" hidden="1" customHeight="1" outlineLevel="1" x14ac:dyDescent="0.2">
      <c r="C528" s="252">
        <v>46056</v>
      </c>
      <c r="D528" s="248" t="s">
        <v>626</v>
      </c>
      <c r="E528" s="263">
        <f t="shared" si="16"/>
        <v>2026</v>
      </c>
      <c r="F528" s="266" t="s">
        <v>274</v>
      </c>
      <c r="G528" s="265" t="s">
        <v>92</v>
      </c>
      <c r="H528" s="369">
        <v>2526.5500000000002</v>
      </c>
      <c r="I528" s="369">
        <f>IF(Table1[[#This Row],[TYPE]]="Income",Table1[[#This Row],[AMOUNT (₹)]],-Table1[[#This Row],[AMOUNT (₹)]])</f>
        <v>-2526.5500000000002</v>
      </c>
      <c r="J528" s="265"/>
      <c r="K528" s="348"/>
      <c r="L528" s="265">
        <f t="shared" si="17"/>
        <v>2025</v>
      </c>
      <c r="M528" s="259">
        <f ca="1">IF(L528="","",COUNTIF($L$9:INDIRECT("K"&amp;ROW()),L528))</f>
        <v>130</v>
      </c>
    </row>
    <row r="529" spans="3:13" ht="18" hidden="1" customHeight="1" outlineLevel="1" x14ac:dyDescent="0.2">
      <c r="C529" s="252">
        <v>46056</v>
      </c>
      <c r="D529" s="248" t="s">
        <v>627</v>
      </c>
      <c r="E529" s="263">
        <f t="shared" si="16"/>
        <v>2026</v>
      </c>
      <c r="F529" s="266" t="s">
        <v>30</v>
      </c>
      <c r="G529" s="265" t="s">
        <v>98</v>
      </c>
      <c r="H529" s="369">
        <v>376</v>
      </c>
      <c r="I529" s="369">
        <f>IF(Table1[[#This Row],[TYPE]]="Income",Table1[[#This Row],[AMOUNT (₹)]],-Table1[[#This Row],[AMOUNT (₹)]])</f>
        <v>-376</v>
      </c>
      <c r="J529" s="265"/>
      <c r="K529" s="348"/>
      <c r="L529" s="265">
        <f t="shared" si="17"/>
        <v>2025</v>
      </c>
      <c r="M529" s="259">
        <f ca="1">IF(L529="","",COUNTIF($L$9:INDIRECT("K"&amp;ROW()),L529))</f>
        <v>131</v>
      </c>
    </row>
    <row r="530" spans="3:13" ht="18" hidden="1" customHeight="1" outlineLevel="1" x14ac:dyDescent="0.2">
      <c r="C530" s="252">
        <v>46056</v>
      </c>
      <c r="D530" s="248" t="s">
        <v>628</v>
      </c>
      <c r="E530" s="263">
        <f t="shared" si="16"/>
        <v>2026</v>
      </c>
      <c r="F530" s="266" t="s">
        <v>274</v>
      </c>
      <c r="G530" s="265" t="s">
        <v>84</v>
      </c>
      <c r="H530" s="369">
        <v>11000</v>
      </c>
      <c r="I530" s="369">
        <f>IF(Table1[[#This Row],[TYPE]]="Income",Table1[[#This Row],[AMOUNT (₹)]],-Table1[[#This Row],[AMOUNT (₹)]])</f>
        <v>-11000</v>
      </c>
      <c r="J530" s="265"/>
      <c r="K530" s="348"/>
      <c r="L530" s="265">
        <f t="shared" si="17"/>
        <v>2025</v>
      </c>
      <c r="M530" s="259">
        <f ca="1">IF(L530="","",COUNTIF($L$9:INDIRECT("K"&amp;ROW()),L530))</f>
        <v>132</v>
      </c>
    </row>
    <row r="531" spans="3:13" ht="18" hidden="1" customHeight="1" outlineLevel="1" x14ac:dyDescent="0.2">
      <c r="C531" s="252">
        <v>46057</v>
      </c>
      <c r="D531" s="248" t="s">
        <v>629</v>
      </c>
      <c r="E531" s="263">
        <f t="shared" si="16"/>
        <v>2026</v>
      </c>
      <c r="F531" s="266" t="s">
        <v>274</v>
      </c>
      <c r="G531" s="265" t="s">
        <v>88</v>
      </c>
      <c r="H531" s="369">
        <v>4000</v>
      </c>
      <c r="I531" s="369">
        <f>IF(Table1[[#This Row],[TYPE]]="Income",Table1[[#This Row],[AMOUNT (₹)]],-Table1[[#This Row],[AMOUNT (₹)]])</f>
        <v>-4000</v>
      </c>
      <c r="J531" s="265"/>
      <c r="K531" s="348"/>
      <c r="L531" s="265">
        <f t="shared" si="17"/>
        <v>2025</v>
      </c>
      <c r="M531" s="259">
        <f ca="1">IF(L531="","",COUNTIF($L$9:INDIRECT("K"&amp;ROW()),L531))</f>
        <v>133</v>
      </c>
    </row>
    <row r="532" spans="3:13" ht="18" hidden="1" customHeight="1" outlineLevel="1" x14ac:dyDescent="0.2">
      <c r="C532" s="252">
        <v>46058</v>
      </c>
      <c r="D532" s="248" t="s">
        <v>630</v>
      </c>
      <c r="E532" s="263">
        <f t="shared" si="16"/>
        <v>2026</v>
      </c>
      <c r="F532" s="266" t="s">
        <v>274</v>
      </c>
      <c r="G532" s="265" t="s">
        <v>73</v>
      </c>
      <c r="H532" s="369">
        <v>5000</v>
      </c>
      <c r="I532" s="369">
        <f>IF(Table1[[#This Row],[TYPE]]="Income",Table1[[#This Row],[AMOUNT (₹)]],-Table1[[#This Row],[AMOUNT (₹)]])</f>
        <v>-5000</v>
      </c>
      <c r="J532" s="265"/>
      <c r="K532" s="348"/>
      <c r="L532" s="265">
        <f t="shared" si="17"/>
        <v>2025</v>
      </c>
      <c r="M532" s="259">
        <f ca="1">IF(L532="","",COUNTIF($L$9:INDIRECT("K"&amp;ROW()),L532))</f>
        <v>134</v>
      </c>
    </row>
    <row r="533" spans="3:13" ht="18" hidden="1" customHeight="1" outlineLevel="1" x14ac:dyDescent="0.2">
      <c r="C533" s="252">
        <v>46059</v>
      </c>
      <c r="D533" s="248" t="s">
        <v>631</v>
      </c>
      <c r="E533" s="263">
        <f t="shared" si="16"/>
        <v>2026</v>
      </c>
      <c r="F533" s="266" t="s">
        <v>274</v>
      </c>
      <c r="G533" s="265" t="s">
        <v>82</v>
      </c>
      <c r="H533" s="369">
        <v>2000</v>
      </c>
      <c r="I533" s="369">
        <f>IF(Table1[[#This Row],[TYPE]]="Income",Table1[[#This Row],[AMOUNT (₹)]],-Table1[[#This Row],[AMOUNT (₹)]])</f>
        <v>-2000</v>
      </c>
      <c r="J533" s="265"/>
      <c r="K533" s="348"/>
      <c r="L533" s="265">
        <f t="shared" si="17"/>
        <v>2025</v>
      </c>
      <c r="M533" s="259">
        <f ca="1">IF(L533="","",COUNTIF($L$9:INDIRECT("K"&amp;ROW()),L533))</f>
        <v>135</v>
      </c>
    </row>
    <row r="534" spans="3:13" ht="18" hidden="1" customHeight="1" outlineLevel="1" x14ac:dyDescent="0.2">
      <c r="C534" s="252">
        <v>46068</v>
      </c>
      <c r="D534" s="248" t="s">
        <v>632</v>
      </c>
      <c r="E534" s="263">
        <f t="shared" si="16"/>
        <v>2026</v>
      </c>
      <c r="F534" s="266" t="s">
        <v>274</v>
      </c>
      <c r="G534" s="265" t="s">
        <v>92</v>
      </c>
      <c r="H534" s="369">
        <v>32500</v>
      </c>
      <c r="I534" s="369">
        <f>IF(Table1[[#This Row],[TYPE]]="Income",Table1[[#This Row],[AMOUNT (₹)]],-Table1[[#This Row],[AMOUNT (₹)]])</f>
        <v>-32500</v>
      </c>
      <c r="J534" s="265"/>
      <c r="K534" s="348"/>
      <c r="L534" s="265">
        <f t="shared" si="17"/>
        <v>2025</v>
      </c>
      <c r="M534" s="259">
        <f ca="1">IF(L534="","",COUNTIF($L$9:INDIRECT("K"&amp;ROW()),L534))</f>
        <v>136</v>
      </c>
    </row>
    <row r="535" spans="3:13" ht="18" hidden="1" customHeight="1" outlineLevel="1" x14ac:dyDescent="0.2">
      <c r="C535" s="252">
        <v>46071</v>
      </c>
      <c r="D535" s="248" t="s">
        <v>631</v>
      </c>
      <c r="E535" s="263">
        <f t="shared" si="16"/>
        <v>2026</v>
      </c>
      <c r="F535" s="266" t="s">
        <v>274</v>
      </c>
      <c r="G535" s="265" t="s">
        <v>82</v>
      </c>
      <c r="H535" s="369">
        <v>8500</v>
      </c>
      <c r="I535" s="369">
        <f>IF(Table1[[#This Row],[TYPE]]="Income",Table1[[#This Row],[AMOUNT (₹)]],-Table1[[#This Row],[AMOUNT (₹)]])</f>
        <v>-8500</v>
      </c>
      <c r="J535" s="265"/>
      <c r="K535" s="348"/>
      <c r="L535" s="265">
        <f t="shared" si="17"/>
        <v>2025</v>
      </c>
      <c r="M535" s="259">
        <f ca="1">IF(L535="","",COUNTIF($L$9:INDIRECT("K"&amp;ROW()),L535))</f>
        <v>137</v>
      </c>
    </row>
    <row r="536" spans="3:13" ht="18" hidden="1" customHeight="1" outlineLevel="1" x14ac:dyDescent="0.2">
      <c r="C536" s="252">
        <v>46072</v>
      </c>
      <c r="D536" s="248" t="s">
        <v>633</v>
      </c>
      <c r="E536" s="263">
        <f t="shared" si="16"/>
        <v>2026</v>
      </c>
      <c r="F536" s="266" t="s">
        <v>274</v>
      </c>
      <c r="G536" s="265" t="s">
        <v>84</v>
      </c>
      <c r="H536" s="369">
        <v>57100</v>
      </c>
      <c r="I536" s="369">
        <f>IF(Table1[[#This Row],[TYPE]]="Income",Table1[[#This Row],[AMOUNT (₹)]],-Table1[[#This Row],[AMOUNT (₹)]])</f>
        <v>-57100</v>
      </c>
      <c r="J536" s="265"/>
      <c r="K536" s="348"/>
      <c r="L536" s="265">
        <f t="shared" si="17"/>
        <v>2025</v>
      </c>
      <c r="M536" s="259">
        <f ca="1">IF(L536="","",COUNTIF($L$9:INDIRECT("K"&amp;ROW()),L536))</f>
        <v>138</v>
      </c>
    </row>
    <row r="537" spans="3:13" ht="18" hidden="1" customHeight="1" outlineLevel="1" x14ac:dyDescent="0.2">
      <c r="C537" s="252">
        <v>46075</v>
      </c>
      <c r="D537" s="248" t="s">
        <v>634</v>
      </c>
      <c r="E537" s="263">
        <f t="shared" si="16"/>
        <v>2026</v>
      </c>
      <c r="F537" s="266" t="s">
        <v>274</v>
      </c>
      <c r="G537" s="265" t="s">
        <v>90</v>
      </c>
      <c r="H537" s="369">
        <v>1796.8</v>
      </c>
      <c r="I537" s="369">
        <f>IF(Table1[[#This Row],[TYPE]]="Income",Table1[[#This Row],[AMOUNT (₹)]],-Table1[[#This Row],[AMOUNT (₹)]])</f>
        <v>-1796.8</v>
      </c>
      <c r="J537" s="265"/>
      <c r="K537" s="348"/>
      <c r="L537" s="265">
        <f t="shared" si="17"/>
        <v>2025</v>
      </c>
      <c r="M537" s="259">
        <f ca="1">IF(L537="","",COUNTIF($L$9:INDIRECT("K"&amp;ROW()),L537))</f>
        <v>139</v>
      </c>
    </row>
    <row r="538" spans="3:13" ht="18" hidden="1" customHeight="1" outlineLevel="1" x14ac:dyDescent="0.2">
      <c r="C538" s="252">
        <v>46081</v>
      </c>
      <c r="D538" s="248" t="s">
        <v>635</v>
      </c>
      <c r="E538" s="263">
        <f t="shared" si="16"/>
        <v>2026</v>
      </c>
      <c r="F538" s="266" t="s">
        <v>274</v>
      </c>
      <c r="G538" s="265" t="s">
        <v>76</v>
      </c>
      <c r="H538" s="369">
        <v>4968.8900000000003</v>
      </c>
      <c r="I538" s="369">
        <f>IF(Table1[[#This Row],[TYPE]]="Income",Table1[[#This Row],[AMOUNT (₹)]],-Table1[[#This Row],[AMOUNT (₹)]])</f>
        <v>-4968.8900000000003</v>
      </c>
      <c r="J538" s="265"/>
      <c r="K538" s="348"/>
      <c r="L538" s="265">
        <f t="shared" si="17"/>
        <v>2025</v>
      </c>
      <c r="M538" s="259">
        <f ca="1">IF(L538="","",COUNTIF($L$9:INDIRECT("K"&amp;ROW()),L538))</f>
        <v>140</v>
      </c>
    </row>
    <row r="539" spans="3:13" ht="18" hidden="1" customHeight="1" outlineLevel="1" x14ac:dyDescent="0.2">
      <c r="C539" s="252">
        <v>46081</v>
      </c>
      <c r="D539" s="248" t="s">
        <v>636</v>
      </c>
      <c r="E539" s="263">
        <f t="shared" si="16"/>
        <v>2026</v>
      </c>
      <c r="F539" s="266" t="s">
        <v>274</v>
      </c>
      <c r="G539" s="265" t="s">
        <v>82</v>
      </c>
      <c r="H539" s="369">
        <v>6195</v>
      </c>
      <c r="I539" s="369">
        <f>IF(Table1[[#This Row],[TYPE]]="Income",Table1[[#This Row],[AMOUNT (₹)]],-Table1[[#This Row],[AMOUNT (₹)]])</f>
        <v>-6195</v>
      </c>
      <c r="J539" s="265"/>
      <c r="K539" s="348"/>
      <c r="L539" s="265">
        <f t="shared" si="17"/>
        <v>2025</v>
      </c>
      <c r="M539" s="259">
        <f ca="1">IF(L539="","",COUNTIF($L$9:INDIRECT("K"&amp;ROW()),L539))</f>
        <v>141</v>
      </c>
    </row>
    <row r="540" spans="3:13" ht="18" hidden="1" customHeight="1" outlineLevel="1" x14ac:dyDescent="0.2">
      <c r="C540" s="252">
        <v>46081</v>
      </c>
      <c r="D540" s="248" t="s">
        <v>310</v>
      </c>
      <c r="E540" s="263">
        <f t="shared" si="16"/>
        <v>2026</v>
      </c>
      <c r="F540" s="266" t="s">
        <v>277</v>
      </c>
      <c r="G540" s="265" t="s">
        <v>111</v>
      </c>
      <c r="H540" s="369">
        <v>50500</v>
      </c>
      <c r="I540" s="369">
        <f>IF(Table1[[#This Row],[TYPE]]="Income",Table1[[#This Row],[AMOUNT (₹)]],-Table1[[#This Row],[AMOUNT (₹)]])</f>
        <v>50500</v>
      </c>
      <c r="J540" s="265"/>
      <c r="K540" s="348"/>
      <c r="L540" s="265">
        <f t="shared" si="17"/>
        <v>2025</v>
      </c>
      <c r="M540" s="259">
        <f ca="1">IF(L540="","",COUNTIF($L$9:INDIRECT("K"&amp;ROW()),L540))</f>
        <v>142</v>
      </c>
    </row>
    <row r="541" spans="3:13" ht="18" hidden="1" customHeight="1" outlineLevel="1" x14ac:dyDescent="0.2">
      <c r="C541" s="252">
        <v>46082</v>
      </c>
      <c r="D541" s="248" t="s">
        <v>637</v>
      </c>
      <c r="E541" s="263">
        <f t="shared" si="16"/>
        <v>2026</v>
      </c>
      <c r="F541" s="266" t="s">
        <v>274</v>
      </c>
      <c r="G541" s="265" t="s">
        <v>90</v>
      </c>
      <c r="H541" s="369">
        <v>2853.6</v>
      </c>
      <c r="I541" s="369">
        <f>IF(Table1[[#This Row],[TYPE]]="Income",Table1[[#This Row],[AMOUNT (₹)]],-Table1[[#This Row],[AMOUNT (₹)]])</f>
        <v>-2853.6</v>
      </c>
      <c r="J541" s="265"/>
      <c r="K541" s="348"/>
      <c r="L541" s="265">
        <f t="shared" si="17"/>
        <v>2025</v>
      </c>
      <c r="M541" s="259">
        <f ca="1">IF(L541="","",COUNTIF($L$9:INDIRECT("K"&amp;ROW()),L541))</f>
        <v>143</v>
      </c>
    </row>
    <row r="542" spans="3:13" ht="18" hidden="1" customHeight="1" outlineLevel="1" x14ac:dyDescent="0.2">
      <c r="C542" s="252">
        <v>46083</v>
      </c>
      <c r="D542" s="248" t="s">
        <v>638</v>
      </c>
      <c r="E542" s="263">
        <f t="shared" si="16"/>
        <v>2026</v>
      </c>
      <c r="F542" s="266" t="s">
        <v>274</v>
      </c>
      <c r="G542" s="265" t="s">
        <v>88</v>
      </c>
      <c r="H542" s="369">
        <v>6000</v>
      </c>
      <c r="I542" s="369">
        <f>IF(Table1[[#This Row],[TYPE]]="Income",Table1[[#This Row],[AMOUNT (₹)]],-Table1[[#This Row],[AMOUNT (₹)]])</f>
        <v>-6000</v>
      </c>
      <c r="J542" s="265"/>
      <c r="K542" s="348"/>
      <c r="L542" s="265">
        <f t="shared" si="17"/>
        <v>2025</v>
      </c>
      <c r="M542" s="259">
        <f ca="1">IF(L542="","",COUNTIF($L$9:INDIRECT("K"&amp;ROW()),L542))</f>
        <v>144</v>
      </c>
    </row>
    <row r="543" spans="3:13" ht="18" hidden="1" customHeight="1" outlineLevel="1" x14ac:dyDescent="0.2">
      <c r="C543" s="252">
        <v>46086</v>
      </c>
      <c r="D543" s="248" t="s">
        <v>639</v>
      </c>
      <c r="E543" s="263">
        <f t="shared" si="16"/>
        <v>2026</v>
      </c>
      <c r="F543" s="266" t="s">
        <v>274</v>
      </c>
      <c r="G543" s="265" t="s">
        <v>73</v>
      </c>
      <c r="H543" s="369">
        <v>8700</v>
      </c>
      <c r="I543" s="369">
        <f>IF(Table1[[#This Row],[TYPE]]="Income",Table1[[#This Row],[AMOUNT (₹)]],-Table1[[#This Row],[AMOUNT (₹)]])</f>
        <v>-8700</v>
      </c>
      <c r="J543" s="265"/>
      <c r="K543" s="348"/>
      <c r="L543" s="265">
        <f t="shared" si="17"/>
        <v>2025</v>
      </c>
      <c r="M543" s="259">
        <f ca="1">IF(L543="","",COUNTIF($L$9:INDIRECT("K"&amp;ROW()),L543))</f>
        <v>145</v>
      </c>
    </row>
    <row r="544" spans="3:13" ht="18" hidden="1" customHeight="1" outlineLevel="1" x14ac:dyDescent="0.2">
      <c r="C544" s="252">
        <v>46086</v>
      </c>
      <c r="D544" s="248" t="s">
        <v>598</v>
      </c>
      <c r="E544" s="263">
        <f t="shared" si="16"/>
        <v>2026</v>
      </c>
      <c r="F544" s="266" t="s">
        <v>274</v>
      </c>
      <c r="G544" s="265" t="s">
        <v>73</v>
      </c>
      <c r="H544" s="369">
        <v>1200</v>
      </c>
      <c r="I544" s="369">
        <f>IF(Table1[[#This Row],[TYPE]]="Income",Table1[[#This Row],[AMOUNT (₹)]],-Table1[[#This Row],[AMOUNT (₹)]])</f>
        <v>-1200</v>
      </c>
      <c r="J544" s="265"/>
      <c r="K544" s="348"/>
      <c r="L544" s="265">
        <f t="shared" si="17"/>
        <v>2025</v>
      </c>
      <c r="M544" s="259">
        <f ca="1">IF(L544="","",COUNTIF($L$9:INDIRECT("K"&amp;ROW()),L544))</f>
        <v>146</v>
      </c>
    </row>
    <row r="545" spans="3:13" ht="18" hidden="1" customHeight="1" outlineLevel="1" x14ac:dyDescent="0.2">
      <c r="C545" s="252">
        <v>46086</v>
      </c>
      <c r="D545" s="248" t="s">
        <v>640</v>
      </c>
      <c r="E545" s="263">
        <f t="shared" si="16"/>
        <v>2026</v>
      </c>
      <c r="F545" s="266" t="s">
        <v>274</v>
      </c>
      <c r="G545" s="265" t="s">
        <v>78</v>
      </c>
      <c r="H545" s="369">
        <v>1100</v>
      </c>
      <c r="I545" s="369">
        <f>IF(Table1[[#This Row],[TYPE]]="Income",Table1[[#This Row],[AMOUNT (₹)]],-Table1[[#This Row],[AMOUNT (₹)]])</f>
        <v>-1100</v>
      </c>
      <c r="J545" s="265"/>
      <c r="K545" s="348"/>
      <c r="L545" s="265">
        <f t="shared" si="17"/>
        <v>2025</v>
      </c>
      <c r="M545" s="259">
        <f ca="1">IF(L545="","",COUNTIF($L$9:INDIRECT("K"&amp;ROW()),L545))</f>
        <v>147</v>
      </c>
    </row>
    <row r="546" spans="3:13" ht="18" hidden="1" customHeight="1" outlineLevel="1" x14ac:dyDescent="0.2">
      <c r="C546" s="252">
        <v>46086</v>
      </c>
      <c r="D546" s="248" t="s">
        <v>641</v>
      </c>
      <c r="E546" s="263">
        <f t="shared" si="16"/>
        <v>2026</v>
      </c>
      <c r="F546" s="266" t="s">
        <v>274</v>
      </c>
      <c r="G546" s="265" t="s">
        <v>90</v>
      </c>
      <c r="H546" s="369">
        <v>1263.5999999999999</v>
      </c>
      <c r="I546" s="369">
        <f>IF(Table1[[#This Row],[TYPE]]="Income",Table1[[#This Row],[AMOUNT (₹)]],-Table1[[#This Row],[AMOUNT (₹)]])</f>
        <v>-1263.5999999999999</v>
      </c>
      <c r="J546" s="265"/>
      <c r="K546" s="348"/>
      <c r="L546" s="265">
        <f t="shared" si="17"/>
        <v>2025</v>
      </c>
      <c r="M546" s="259">
        <f ca="1">IF(L546="","",COUNTIF($L$9:INDIRECT("K"&amp;ROW()),L546))</f>
        <v>148</v>
      </c>
    </row>
    <row r="547" spans="3:13" ht="18" hidden="1" customHeight="1" outlineLevel="1" x14ac:dyDescent="0.2">
      <c r="C547" s="252">
        <v>46086</v>
      </c>
      <c r="D547" s="248" t="s">
        <v>642</v>
      </c>
      <c r="E547" s="263">
        <f t="shared" si="16"/>
        <v>2026</v>
      </c>
      <c r="F547" s="266" t="s">
        <v>274</v>
      </c>
      <c r="G547" s="265" t="s">
        <v>92</v>
      </c>
      <c r="H547" s="369">
        <v>450</v>
      </c>
      <c r="I547" s="369">
        <f>IF(Table1[[#This Row],[TYPE]]="Income",Table1[[#This Row],[AMOUNT (₹)]],-Table1[[#This Row],[AMOUNT (₹)]])</f>
        <v>-450</v>
      </c>
      <c r="J547" s="265"/>
      <c r="K547" s="348"/>
      <c r="L547" s="265">
        <f t="shared" si="17"/>
        <v>2025</v>
      </c>
      <c r="M547" s="259">
        <f ca="1">IF(L547="","",COUNTIF($L$9:INDIRECT("K"&amp;ROW()),L547))</f>
        <v>149</v>
      </c>
    </row>
    <row r="548" spans="3:13" ht="18" hidden="1" customHeight="1" outlineLevel="1" x14ac:dyDescent="0.2">
      <c r="C548" s="252">
        <v>46087</v>
      </c>
      <c r="D548" s="248" t="s">
        <v>643</v>
      </c>
      <c r="E548" s="263">
        <f t="shared" si="16"/>
        <v>2026</v>
      </c>
      <c r="F548" s="266" t="s">
        <v>274</v>
      </c>
      <c r="G548" s="265" t="s">
        <v>90</v>
      </c>
      <c r="H548" s="369">
        <v>1468.6</v>
      </c>
      <c r="I548" s="369">
        <f>IF(Table1[[#This Row],[TYPE]]="Income",Table1[[#This Row],[AMOUNT (₹)]],-Table1[[#This Row],[AMOUNT (₹)]])</f>
        <v>-1468.6</v>
      </c>
      <c r="J548" s="265"/>
      <c r="K548" s="348"/>
      <c r="L548" s="265">
        <f t="shared" si="17"/>
        <v>2025</v>
      </c>
      <c r="M548" s="259">
        <f ca="1">IF(L548="","",COUNTIF($L$9:INDIRECT("K"&amp;ROW()),L548))</f>
        <v>150</v>
      </c>
    </row>
    <row r="549" spans="3:13" ht="18" hidden="1" customHeight="1" outlineLevel="1" x14ac:dyDescent="0.2">
      <c r="C549" s="252">
        <v>46087</v>
      </c>
      <c r="D549" s="248" t="s">
        <v>644</v>
      </c>
      <c r="E549" s="263">
        <f t="shared" si="16"/>
        <v>2026</v>
      </c>
      <c r="F549" s="266" t="s">
        <v>274</v>
      </c>
      <c r="G549" s="265" t="s">
        <v>90</v>
      </c>
      <c r="H549" s="369">
        <v>1263.5999999999999</v>
      </c>
      <c r="I549" s="369">
        <f>IF(Table1[[#This Row],[TYPE]]="Income",Table1[[#This Row],[AMOUNT (₹)]],-Table1[[#This Row],[AMOUNT (₹)]])</f>
        <v>-1263.5999999999999</v>
      </c>
      <c r="J549" s="265"/>
      <c r="K549" s="348"/>
      <c r="L549" s="265">
        <f t="shared" si="17"/>
        <v>2025</v>
      </c>
      <c r="M549" s="259">
        <f ca="1">IF(L549="","",COUNTIF($L$9:INDIRECT("K"&amp;ROW()),L549))</f>
        <v>151</v>
      </c>
    </row>
    <row r="550" spans="3:13" ht="18" hidden="1" customHeight="1" outlineLevel="1" x14ac:dyDescent="0.2">
      <c r="C550" s="252">
        <v>46087</v>
      </c>
      <c r="D550" s="248" t="s">
        <v>645</v>
      </c>
      <c r="E550" s="263">
        <f t="shared" si="16"/>
        <v>2026</v>
      </c>
      <c r="F550" s="266" t="s">
        <v>274</v>
      </c>
      <c r="G550" s="265" t="s">
        <v>90</v>
      </c>
      <c r="H550" s="369">
        <v>1373.6</v>
      </c>
      <c r="I550" s="369">
        <f>IF(Table1[[#This Row],[TYPE]]="Income",Table1[[#This Row],[AMOUNT (₹)]],-Table1[[#This Row],[AMOUNT (₹)]])</f>
        <v>-1373.6</v>
      </c>
      <c r="J550" s="265"/>
      <c r="K550" s="348"/>
      <c r="L550" s="265">
        <f t="shared" si="17"/>
        <v>2025</v>
      </c>
      <c r="M550" s="259">
        <f ca="1">IF(L550="","",COUNTIF($L$9:INDIRECT("K"&amp;ROW()),L550))</f>
        <v>152</v>
      </c>
    </row>
    <row r="551" spans="3:13" ht="18" hidden="1" customHeight="1" outlineLevel="1" x14ac:dyDescent="0.2">
      <c r="C551" s="252">
        <v>46088</v>
      </c>
      <c r="D551" s="248" t="s">
        <v>646</v>
      </c>
      <c r="E551" s="263">
        <f t="shared" si="16"/>
        <v>2026</v>
      </c>
      <c r="F551" s="266" t="s">
        <v>274</v>
      </c>
      <c r="G551" s="265" t="s">
        <v>82</v>
      </c>
      <c r="H551" s="369">
        <v>1861</v>
      </c>
      <c r="I551" s="369">
        <f>IF(Table1[[#This Row],[TYPE]]="Income",Table1[[#This Row],[AMOUNT (₹)]],-Table1[[#This Row],[AMOUNT (₹)]])</f>
        <v>-1861</v>
      </c>
      <c r="J551" s="265"/>
      <c r="K551" s="348"/>
      <c r="L551" s="265">
        <f t="shared" si="17"/>
        <v>2025</v>
      </c>
      <c r="M551" s="259">
        <f ca="1">IF(L551="","",COUNTIF($L$9:INDIRECT("K"&amp;ROW()),L551))</f>
        <v>153</v>
      </c>
    </row>
    <row r="552" spans="3:13" ht="18" hidden="1" customHeight="1" outlineLevel="1" x14ac:dyDescent="0.2">
      <c r="C552" s="252">
        <v>46088</v>
      </c>
      <c r="D552" s="248" t="s">
        <v>647</v>
      </c>
      <c r="E552" s="263">
        <f t="shared" si="16"/>
        <v>2026</v>
      </c>
      <c r="F552" s="266" t="s">
        <v>274</v>
      </c>
      <c r="G552" s="265" t="s">
        <v>84</v>
      </c>
      <c r="H552" s="369">
        <v>12500</v>
      </c>
      <c r="I552" s="369">
        <f>IF(Table1[[#This Row],[TYPE]]="Income",Table1[[#This Row],[AMOUNT (₹)]],-Table1[[#This Row],[AMOUNT (₹)]])</f>
        <v>-12500</v>
      </c>
      <c r="J552" s="265"/>
      <c r="K552" s="348"/>
      <c r="L552" s="265">
        <f t="shared" si="17"/>
        <v>2025</v>
      </c>
      <c r="M552" s="259">
        <f ca="1">IF(L552="","",COUNTIF($L$9:INDIRECT("K"&amp;ROW()),L552))</f>
        <v>154</v>
      </c>
    </row>
    <row r="553" spans="3:13" ht="18" hidden="1" customHeight="1" outlineLevel="1" x14ac:dyDescent="0.2">
      <c r="C553" s="252">
        <v>46089</v>
      </c>
      <c r="D553" s="248" t="s">
        <v>648</v>
      </c>
      <c r="E553" s="263">
        <f t="shared" si="16"/>
        <v>2026</v>
      </c>
      <c r="F553" s="266" t="s">
        <v>274</v>
      </c>
      <c r="G553" s="265" t="s">
        <v>92</v>
      </c>
      <c r="H553" s="369">
        <v>500</v>
      </c>
      <c r="I553" s="369">
        <f>IF(Table1[[#This Row],[TYPE]]="Income",Table1[[#This Row],[AMOUNT (₹)]],-Table1[[#This Row],[AMOUNT (₹)]])</f>
        <v>-500</v>
      </c>
      <c r="J553" s="265"/>
      <c r="K553" s="348"/>
      <c r="L553" s="265">
        <f t="shared" si="17"/>
        <v>2025</v>
      </c>
      <c r="M553" s="259">
        <f ca="1">IF(L553="","",COUNTIF($L$9:INDIRECT("K"&amp;ROW()),L553))</f>
        <v>155</v>
      </c>
    </row>
    <row r="554" spans="3:13" ht="18" hidden="1" customHeight="1" outlineLevel="1" x14ac:dyDescent="0.2">
      <c r="C554" s="252">
        <v>46091</v>
      </c>
      <c r="D554" s="248" t="s">
        <v>649</v>
      </c>
      <c r="E554" s="263">
        <f t="shared" si="16"/>
        <v>2026</v>
      </c>
      <c r="F554" s="266" t="s">
        <v>30</v>
      </c>
      <c r="G554" s="265" t="s">
        <v>98</v>
      </c>
      <c r="H554" s="369">
        <v>1376</v>
      </c>
      <c r="I554" s="369">
        <f>IF(Table1[[#This Row],[TYPE]]="Income",Table1[[#This Row],[AMOUNT (₹)]],-Table1[[#This Row],[AMOUNT (₹)]])</f>
        <v>-1376</v>
      </c>
      <c r="J554" s="265"/>
      <c r="K554" s="348"/>
      <c r="L554" s="265">
        <f t="shared" si="17"/>
        <v>2025</v>
      </c>
      <c r="M554" s="259">
        <f ca="1">IF(L554="","",COUNTIF($L$9:INDIRECT("K"&amp;ROW()),L554))</f>
        <v>156</v>
      </c>
    </row>
    <row r="555" spans="3:13" ht="18" hidden="1" customHeight="1" outlineLevel="1" x14ac:dyDescent="0.2">
      <c r="C555" s="252">
        <v>46096</v>
      </c>
      <c r="D555" s="248" t="s">
        <v>650</v>
      </c>
      <c r="E555" s="263">
        <f t="shared" si="16"/>
        <v>2026</v>
      </c>
      <c r="F555" s="266" t="s">
        <v>274</v>
      </c>
      <c r="G555" s="265" t="s">
        <v>92</v>
      </c>
      <c r="H555" s="369">
        <v>1000</v>
      </c>
      <c r="I555" s="369">
        <f>IF(Table1[[#This Row],[TYPE]]="Income",Table1[[#This Row],[AMOUNT (₹)]],-Table1[[#This Row],[AMOUNT (₹)]])</f>
        <v>-1000</v>
      </c>
      <c r="J555" s="265"/>
      <c r="K555" s="348"/>
      <c r="L555" s="265">
        <f t="shared" si="17"/>
        <v>2025</v>
      </c>
      <c r="M555" s="259">
        <f ca="1">IF(L555="","",COUNTIF($L$9:INDIRECT("K"&amp;ROW()),L555))</f>
        <v>157</v>
      </c>
    </row>
    <row r="556" spans="3:13" ht="18" hidden="1" customHeight="1" outlineLevel="1" x14ac:dyDescent="0.2">
      <c r="C556" s="252">
        <v>46097</v>
      </c>
      <c r="D556" s="248" t="s">
        <v>651</v>
      </c>
      <c r="E556" s="263">
        <f t="shared" si="16"/>
        <v>2026</v>
      </c>
      <c r="F556" s="266" t="s">
        <v>274</v>
      </c>
      <c r="G556" s="265" t="s">
        <v>78</v>
      </c>
      <c r="H556" s="369">
        <v>12000</v>
      </c>
      <c r="I556" s="369">
        <f>IF(Table1[[#This Row],[TYPE]]="Income",Table1[[#This Row],[AMOUNT (₹)]],-Table1[[#This Row],[AMOUNT (₹)]])</f>
        <v>-12000</v>
      </c>
      <c r="J556" s="265"/>
      <c r="K556" s="348"/>
      <c r="L556" s="265">
        <f t="shared" si="17"/>
        <v>2025</v>
      </c>
      <c r="M556" s="259">
        <f ca="1">IF(L556="","",COUNTIF($L$9:INDIRECT("K"&amp;ROW()),L556))</f>
        <v>158</v>
      </c>
    </row>
    <row r="557" spans="3:13" ht="18" hidden="1" customHeight="1" outlineLevel="1" x14ac:dyDescent="0.2">
      <c r="C557" s="252">
        <v>46098</v>
      </c>
      <c r="D557" s="248" t="s">
        <v>652</v>
      </c>
      <c r="E557" s="263">
        <f t="shared" si="16"/>
        <v>2026</v>
      </c>
      <c r="F557" s="266" t="s">
        <v>274</v>
      </c>
      <c r="G557" s="265" t="s">
        <v>82</v>
      </c>
      <c r="H557" s="369">
        <v>236</v>
      </c>
      <c r="I557" s="369">
        <f>IF(Table1[[#This Row],[TYPE]]="Income",Table1[[#This Row],[AMOUNT (₹)]],-Table1[[#This Row],[AMOUNT (₹)]])</f>
        <v>-236</v>
      </c>
      <c r="J557" s="265"/>
      <c r="K557" s="348"/>
      <c r="L557" s="265">
        <f t="shared" si="17"/>
        <v>2025</v>
      </c>
      <c r="M557" s="259">
        <f ca="1">IF(L557="","",COUNTIF($L$9:INDIRECT("K"&amp;ROW()),L557))</f>
        <v>159</v>
      </c>
    </row>
    <row r="558" spans="3:13" ht="18" hidden="1" customHeight="1" outlineLevel="1" x14ac:dyDescent="0.2">
      <c r="C558" s="252">
        <v>46099</v>
      </c>
      <c r="D558" s="248" t="s">
        <v>653</v>
      </c>
      <c r="E558" s="263">
        <f t="shared" si="16"/>
        <v>2026</v>
      </c>
      <c r="F558" s="266" t="s">
        <v>274</v>
      </c>
      <c r="G558" s="265" t="s">
        <v>76</v>
      </c>
      <c r="H558" s="369">
        <v>8500</v>
      </c>
      <c r="I558" s="369">
        <f>IF(Table1[[#This Row],[TYPE]]="Income",Table1[[#This Row],[AMOUNT (₹)]],-Table1[[#This Row],[AMOUNT (₹)]])</f>
        <v>-8500</v>
      </c>
      <c r="J558" s="265"/>
      <c r="K558" s="348"/>
      <c r="L558" s="265">
        <f t="shared" si="17"/>
        <v>2025</v>
      </c>
      <c r="M558" s="259">
        <f ca="1">IF(L558="","",COUNTIF($L$9:INDIRECT("K"&amp;ROW()),L558))</f>
        <v>160</v>
      </c>
    </row>
    <row r="559" spans="3:13" ht="18" hidden="1" customHeight="1" outlineLevel="1" x14ac:dyDescent="0.2">
      <c r="C559" s="252">
        <v>46099</v>
      </c>
      <c r="D559" s="248" t="s">
        <v>654</v>
      </c>
      <c r="E559" s="263">
        <f t="shared" si="16"/>
        <v>2026</v>
      </c>
      <c r="F559" s="266" t="s">
        <v>274</v>
      </c>
      <c r="G559" s="265" t="s">
        <v>94</v>
      </c>
      <c r="H559" s="369">
        <v>2805</v>
      </c>
      <c r="I559" s="369">
        <f>IF(Table1[[#This Row],[TYPE]]="Income",Table1[[#This Row],[AMOUNT (₹)]],-Table1[[#This Row],[AMOUNT (₹)]])</f>
        <v>-2805</v>
      </c>
      <c r="J559" s="265"/>
      <c r="K559" s="348"/>
      <c r="L559" s="265">
        <f t="shared" si="17"/>
        <v>2025</v>
      </c>
      <c r="M559" s="259">
        <f ca="1">IF(L559="","",COUNTIF($L$9:INDIRECT("K"&amp;ROW()),L559))</f>
        <v>161</v>
      </c>
    </row>
    <row r="560" spans="3:13" ht="18" hidden="1" customHeight="1" outlineLevel="1" x14ac:dyDescent="0.2">
      <c r="C560" s="252">
        <v>46102</v>
      </c>
      <c r="D560" s="248" t="s">
        <v>655</v>
      </c>
      <c r="E560" s="263">
        <f t="shared" si="16"/>
        <v>2026</v>
      </c>
      <c r="F560" s="266" t="s">
        <v>274</v>
      </c>
      <c r="G560" s="265" t="s">
        <v>90</v>
      </c>
      <c r="H560" s="369">
        <v>536.79999999999995</v>
      </c>
      <c r="I560" s="369">
        <f>IF(Table1[[#This Row],[TYPE]]="Income",Table1[[#This Row],[AMOUNT (₹)]],-Table1[[#This Row],[AMOUNT (₹)]])</f>
        <v>-536.79999999999995</v>
      </c>
      <c r="J560" s="265"/>
      <c r="K560" s="348"/>
      <c r="L560" s="265">
        <f t="shared" si="17"/>
        <v>2025</v>
      </c>
      <c r="M560" s="259">
        <f ca="1">IF(L560="","",COUNTIF($L$9:INDIRECT("K"&amp;ROW()),L560))</f>
        <v>162</v>
      </c>
    </row>
    <row r="561" spans="3:13" ht="18" hidden="1" customHeight="1" outlineLevel="1" x14ac:dyDescent="0.2">
      <c r="C561" s="252">
        <v>46111</v>
      </c>
      <c r="D561" s="248" t="s">
        <v>316</v>
      </c>
      <c r="E561" s="263">
        <f t="shared" si="16"/>
        <v>2026</v>
      </c>
      <c r="F561" s="266" t="s">
        <v>277</v>
      </c>
      <c r="G561" s="265" t="s">
        <v>111</v>
      </c>
      <c r="H561" s="369">
        <v>50500</v>
      </c>
      <c r="I561" s="369">
        <f>IF(Table1[[#This Row],[TYPE]]="Income",Table1[[#This Row],[AMOUNT (₹)]],-Table1[[#This Row],[AMOUNT (₹)]])</f>
        <v>50500</v>
      </c>
      <c r="J561" s="265"/>
      <c r="K561" s="348"/>
      <c r="L561" s="265">
        <f t="shared" si="17"/>
        <v>2025</v>
      </c>
      <c r="M561" s="259">
        <f ca="1">IF(L561="","",COUNTIF($L$9:INDIRECT("K"&amp;ROW()),L561))</f>
        <v>163</v>
      </c>
    </row>
    <row r="562" spans="3:13" ht="18" hidden="1" customHeight="1" outlineLevel="1" x14ac:dyDescent="0.2">
      <c r="C562" s="252">
        <v>46111</v>
      </c>
      <c r="D562" s="248" t="s">
        <v>656</v>
      </c>
      <c r="E562" s="263">
        <f t="shared" si="16"/>
        <v>2026</v>
      </c>
      <c r="F562" s="266" t="s">
        <v>30</v>
      </c>
      <c r="G562" s="265" t="s">
        <v>98</v>
      </c>
      <c r="H562" s="369">
        <v>5000</v>
      </c>
      <c r="I562" s="369">
        <f>IF(Table1[[#This Row],[TYPE]]="Income",Table1[[#This Row],[AMOUNT (₹)]],-Table1[[#This Row],[AMOUNT (₹)]])</f>
        <v>-5000</v>
      </c>
      <c r="J562" s="265"/>
      <c r="K562" s="348"/>
      <c r="L562" s="265">
        <f t="shared" si="17"/>
        <v>2025</v>
      </c>
      <c r="M562" s="259">
        <f ca="1">IF(L562="","",COUNTIF($L$9:INDIRECT("K"&amp;ROW()),L562))</f>
        <v>164</v>
      </c>
    </row>
    <row r="563" spans="3:13" ht="18" hidden="1" customHeight="1" outlineLevel="1" x14ac:dyDescent="0.2">
      <c r="C563" s="252">
        <v>46111</v>
      </c>
      <c r="D563" s="248" t="s">
        <v>657</v>
      </c>
      <c r="E563" s="263">
        <f t="shared" si="16"/>
        <v>2026</v>
      </c>
      <c r="F563" s="266" t="s">
        <v>30</v>
      </c>
      <c r="G563" s="265" t="s">
        <v>98</v>
      </c>
      <c r="H563" s="369">
        <v>5500</v>
      </c>
      <c r="I563" s="369">
        <f>IF(Table1[[#This Row],[TYPE]]="Income",Table1[[#This Row],[AMOUNT (₹)]],-Table1[[#This Row],[AMOUNT (₹)]])</f>
        <v>-5500</v>
      </c>
      <c r="J563" s="265"/>
      <c r="K563" s="348"/>
      <c r="L563" s="265">
        <f t="shared" si="17"/>
        <v>2025</v>
      </c>
      <c r="M563" s="259">
        <f ca="1">IF(L563="","",COUNTIF($L$9:INDIRECT("K"&amp;ROW()),L563))</f>
        <v>165</v>
      </c>
    </row>
    <row r="564" spans="3:13" ht="18" hidden="1" customHeight="1" outlineLevel="1" x14ac:dyDescent="0.2">
      <c r="C564" s="252">
        <v>46112</v>
      </c>
      <c r="D564" s="248" t="s">
        <v>658</v>
      </c>
      <c r="E564" s="263">
        <f t="shared" si="16"/>
        <v>2026</v>
      </c>
      <c r="F564" s="266" t="s">
        <v>30</v>
      </c>
      <c r="G564" s="265" t="s">
        <v>98</v>
      </c>
      <c r="H564" s="369">
        <v>2000</v>
      </c>
      <c r="I564" s="369">
        <f>IF(Table1[[#This Row],[TYPE]]="Income",Table1[[#This Row],[AMOUNT (₹)]],-Table1[[#This Row],[AMOUNT (₹)]])</f>
        <v>-2000</v>
      </c>
      <c r="J564" s="265"/>
      <c r="K564" s="348"/>
      <c r="L564" s="265">
        <f t="shared" si="17"/>
        <v>2025</v>
      </c>
      <c r="M564" s="259">
        <f ca="1">IF(L564="","",COUNTIF($L$9:INDIRECT("K"&amp;ROW()),L564))</f>
        <v>166</v>
      </c>
    </row>
    <row r="565" spans="3:13" ht="18" hidden="1" customHeight="1" outlineLevel="1" x14ac:dyDescent="0.2">
      <c r="C565" s="252">
        <v>46114</v>
      </c>
      <c r="D565" s="248" t="s">
        <v>38</v>
      </c>
      <c r="E565" s="263">
        <f t="shared" si="16"/>
        <v>2026</v>
      </c>
      <c r="F565" s="266" t="s">
        <v>274</v>
      </c>
      <c r="G565" s="265" t="s">
        <v>78</v>
      </c>
      <c r="H565" s="369">
        <v>2200</v>
      </c>
      <c r="I565" s="369">
        <f>IF(Table1[[#This Row],[TYPE]]="Income",Table1[[#This Row],[AMOUNT (₹)]],-Table1[[#This Row],[AMOUNT (₹)]])</f>
        <v>-2200</v>
      </c>
      <c r="J565" s="265"/>
      <c r="K565" s="348"/>
      <c r="L565" s="265">
        <f t="shared" si="17"/>
        <v>2026</v>
      </c>
      <c r="M565" s="259">
        <f ca="1">IF(L565="","",COUNTIF($L$9:INDIRECT("K"&amp;ROW()),L565))</f>
        <v>1</v>
      </c>
    </row>
    <row r="566" spans="3:13" ht="18" hidden="1" customHeight="1" outlineLevel="1" x14ac:dyDescent="0.2">
      <c r="C566" s="252">
        <v>46114</v>
      </c>
      <c r="D566" s="248" t="s">
        <v>659</v>
      </c>
      <c r="E566" s="263">
        <f t="shared" si="16"/>
        <v>2026</v>
      </c>
      <c r="F566" s="266" t="s">
        <v>274</v>
      </c>
      <c r="G566" s="265" t="s">
        <v>82</v>
      </c>
      <c r="H566" s="369">
        <v>877</v>
      </c>
      <c r="I566" s="369">
        <f>IF(Table1[[#This Row],[TYPE]]="Income",Table1[[#This Row],[AMOUNT (₹)]],-Table1[[#This Row],[AMOUNT (₹)]])</f>
        <v>-877</v>
      </c>
      <c r="J566" s="265"/>
      <c r="K566" s="348"/>
      <c r="L566" s="265">
        <f t="shared" si="17"/>
        <v>2026</v>
      </c>
      <c r="M566" s="259">
        <f ca="1">IF(L566="","",COUNTIF($L$9:INDIRECT("K"&amp;ROW()),L566))</f>
        <v>2</v>
      </c>
    </row>
    <row r="567" spans="3:13" ht="18" hidden="1" customHeight="1" outlineLevel="1" x14ac:dyDescent="0.2">
      <c r="C567" s="252">
        <v>46114</v>
      </c>
      <c r="D567" s="248" t="s">
        <v>660</v>
      </c>
      <c r="E567" s="263">
        <f t="shared" si="16"/>
        <v>2026</v>
      </c>
      <c r="F567" s="266" t="s">
        <v>274</v>
      </c>
      <c r="G567" s="265" t="s">
        <v>88</v>
      </c>
      <c r="H567" s="369">
        <v>2485</v>
      </c>
      <c r="I567" s="369">
        <f>IF(Table1[[#This Row],[TYPE]]="Income",Table1[[#This Row],[AMOUNT (₹)]],-Table1[[#This Row],[AMOUNT (₹)]])</f>
        <v>-2485</v>
      </c>
      <c r="J567" s="265"/>
      <c r="K567" s="348"/>
      <c r="L567" s="265">
        <f t="shared" si="17"/>
        <v>2026</v>
      </c>
      <c r="M567" s="259">
        <f ca="1">IF(L567="","",COUNTIF($L$9:INDIRECT("K"&amp;ROW()),L567))</f>
        <v>3</v>
      </c>
    </row>
    <row r="568" spans="3:13" ht="18" hidden="1" customHeight="1" outlineLevel="1" x14ac:dyDescent="0.2">
      <c r="C568" s="252">
        <v>46114</v>
      </c>
      <c r="D568" s="248" t="s">
        <v>661</v>
      </c>
      <c r="E568" s="263">
        <f t="shared" si="16"/>
        <v>2026</v>
      </c>
      <c r="F568" s="266" t="s">
        <v>274</v>
      </c>
      <c r="G568" s="265" t="s">
        <v>92</v>
      </c>
      <c r="H568" s="369">
        <v>1250</v>
      </c>
      <c r="I568" s="369">
        <f>IF(Table1[[#This Row],[TYPE]]="Income",Table1[[#This Row],[AMOUNT (₹)]],-Table1[[#This Row],[AMOUNT (₹)]])</f>
        <v>-1250</v>
      </c>
      <c r="J568" s="265"/>
      <c r="K568" s="348"/>
      <c r="L568" s="265">
        <f t="shared" si="17"/>
        <v>2026</v>
      </c>
      <c r="M568" s="259">
        <f ca="1">IF(L568="","",COUNTIF($L$9:INDIRECT("K"&amp;ROW()),L568))</f>
        <v>4</v>
      </c>
    </row>
    <row r="569" spans="3:13" ht="18" hidden="1" customHeight="1" outlineLevel="1" x14ac:dyDescent="0.2">
      <c r="C569" s="252">
        <v>46114</v>
      </c>
      <c r="D569" s="248" t="s">
        <v>662</v>
      </c>
      <c r="E569" s="263">
        <f t="shared" si="16"/>
        <v>2026</v>
      </c>
      <c r="F569" s="266" t="s">
        <v>274</v>
      </c>
      <c r="G569" s="265" t="s">
        <v>84</v>
      </c>
      <c r="H569" s="369">
        <v>11500</v>
      </c>
      <c r="I569" s="369">
        <f>IF(Table1[[#This Row],[TYPE]]="Income",Table1[[#This Row],[AMOUNT (₹)]],-Table1[[#This Row],[AMOUNT (₹)]])</f>
        <v>-11500</v>
      </c>
      <c r="J569" s="265"/>
      <c r="K569" s="348"/>
      <c r="L569" s="265">
        <f t="shared" si="17"/>
        <v>2026</v>
      </c>
      <c r="M569" s="259">
        <f ca="1">IF(L569="","",COUNTIF($L$9:INDIRECT("K"&amp;ROW()),L569))</f>
        <v>5</v>
      </c>
    </row>
    <row r="570" spans="3:13" ht="18" hidden="1" customHeight="1" outlineLevel="1" x14ac:dyDescent="0.2">
      <c r="C570" s="252">
        <v>46115</v>
      </c>
      <c r="D570" s="248" t="s">
        <v>663</v>
      </c>
      <c r="E570" s="263">
        <f t="shared" si="16"/>
        <v>2026</v>
      </c>
      <c r="F570" s="266" t="s">
        <v>274</v>
      </c>
      <c r="G570" s="265" t="s">
        <v>88</v>
      </c>
      <c r="H570" s="369">
        <v>2000</v>
      </c>
      <c r="I570" s="369">
        <f>IF(Table1[[#This Row],[TYPE]]="Income",Table1[[#This Row],[AMOUNT (₹)]],-Table1[[#This Row],[AMOUNT (₹)]])</f>
        <v>-2000</v>
      </c>
      <c r="J570" s="265"/>
      <c r="K570" s="348"/>
      <c r="L570" s="265">
        <f t="shared" si="17"/>
        <v>2026</v>
      </c>
      <c r="M570" s="259">
        <f ca="1">IF(L570="","",COUNTIF($L$9:INDIRECT("K"&amp;ROW()),L570))</f>
        <v>6</v>
      </c>
    </row>
    <row r="571" spans="3:13" ht="18" hidden="1" customHeight="1" outlineLevel="1" x14ac:dyDescent="0.2">
      <c r="C571" s="252">
        <v>46122</v>
      </c>
      <c r="D571" s="248" t="s">
        <v>664</v>
      </c>
      <c r="E571" s="263">
        <f t="shared" si="16"/>
        <v>2026</v>
      </c>
      <c r="F571" s="266" t="s">
        <v>30</v>
      </c>
      <c r="G571" s="265" t="s">
        <v>98</v>
      </c>
      <c r="H571" s="369">
        <v>1376</v>
      </c>
      <c r="I571" s="369">
        <f>IF(Table1[[#This Row],[TYPE]]="Income",Table1[[#This Row],[AMOUNT (₹)]],-Table1[[#This Row],[AMOUNT (₹)]])</f>
        <v>-1376</v>
      </c>
      <c r="J571" s="265"/>
      <c r="K571" s="348"/>
      <c r="L571" s="265">
        <f t="shared" si="17"/>
        <v>2026</v>
      </c>
      <c r="M571" s="259">
        <f ca="1">IF(L571="","",COUNTIF($L$9:INDIRECT("K"&amp;ROW()),L571))</f>
        <v>7</v>
      </c>
    </row>
    <row r="572" spans="3:13" ht="18" hidden="1" customHeight="1" outlineLevel="1" x14ac:dyDescent="0.2">
      <c r="C572" s="252">
        <v>46123</v>
      </c>
      <c r="D572" s="248" t="s">
        <v>665</v>
      </c>
      <c r="E572" s="263">
        <f t="shared" si="16"/>
        <v>2026</v>
      </c>
      <c r="F572" s="266" t="s">
        <v>274</v>
      </c>
      <c r="G572" s="265" t="s">
        <v>73</v>
      </c>
      <c r="H572" s="369">
        <v>19000</v>
      </c>
      <c r="I572" s="369">
        <f>IF(Table1[[#This Row],[TYPE]]="Income",Table1[[#This Row],[AMOUNT (₹)]],-Table1[[#This Row],[AMOUNT (₹)]])</f>
        <v>-19000</v>
      </c>
      <c r="J572" s="265"/>
      <c r="K572" s="348"/>
      <c r="L572" s="265">
        <f t="shared" si="17"/>
        <v>2026</v>
      </c>
      <c r="M572" s="259">
        <f ca="1">IF(L572="","",COUNTIF($L$9:INDIRECT("K"&amp;ROW()),L572))</f>
        <v>8</v>
      </c>
    </row>
    <row r="573" spans="3:13" ht="18" hidden="1" customHeight="1" outlineLevel="1" x14ac:dyDescent="0.2">
      <c r="C573" s="252">
        <v>46127</v>
      </c>
      <c r="D573" s="248" t="s">
        <v>666</v>
      </c>
      <c r="E573" s="263">
        <f t="shared" si="16"/>
        <v>2026</v>
      </c>
      <c r="F573" s="266" t="s">
        <v>274</v>
      </c>
      <c r="G573" s="265" t="s">
        <v>78</v>
      </c>
      <c r="H573" s="369">
        <v>8120</v>
      </c>
      <c r="I573" s="369">
        <f>IF(Table1[[#This Row],[TYPE]]="Income",Table1[[#This Row],[AMOUNT (₹)]],-Table1[[#This Row],[AMOUNT (₹)]])</f>
        <v>-8120</v>
      </c>
      <c r="J573" s="265"/>
      <c r="K573" s="348"/>
      <c r="L573" s="265">
        <f t="shared" si="17"/>
        <v>2026</v>
      </c>
      <c r="M573" s="259">
        <f ca="1">IF(L573="","",COUNTIF($L$9:INDIRECT("K"&amp;ROW()),L573))</f>
        <v>9</v>
      </c>
    </row>
    <row r="574" spans="3:13" ht="18" hidden="1" customHeight="1" outlineLevel="1" x14ac:dyDescent="0.2">
      <c r="C574" s="252">
        <v>46129</v>
      </c>
      <c r="D574" s="248" t="s">
        <v>667</v>
      </c>
      <c r="E574" s="263">
        <f t="shared" si="16"/>
        <v>2026</v>
      </c>
      <c r="F574" s="266" t="s">
        <v>274</v>
      </c>
      <c r="G574" s="265" t="s">
        <v>92</v>
      </c>
      <c r="H574" s="369">
        <v>2400</v>
      </c>
      <c r="I574" s="369">
        <f>IF(Table1[[#This Row],[TYPE]]="Income",Table1[[#This Row],[AMOUNT (₹)]],-Table1[[#This Row],[AMOUNT (₹)]])</f>
        <v>-2400</v>
      </c>
      <c r="J574" s="265"/>
      <c r="K574" s="348"/>
      <c r="L574" s="265">
        <f t="shared" si="17"/>
        <v>2026</v>
      </c>
      <c r="M574" s="259">
        <f ca="1">IF(L574="","",COUNTIF($L$9:INDIRECT("K"&amp;ROW()),L574))</f>
        <v>10</v>
      </c>
    </row>
    <row r="575" spans="3:13" ht="18" hidden="1" customHeight="1" outlineLevel="1" x14ac:dyDescent="0.2">
      <c r="C575" s="252">
        <v>46131</v>
      </c>
      <c r="D575" s="248" t="s">
        <v>668</v>
      </c>
      <c r="E575" s="263">
        <f t="shared" si="16"/>
        <v>2026</v>
      </c>
      <c r="F575" s="266" t="s">
        <v>274</v>
      </c>
      <c r="G575" s="265" t="s">
        <v>94</v>
      </c>
      <c r="H575" s="369">
        <v>2190</v>
      </c>
      <c r="I575" s="369">
        <f>IF(Table1[[#This Row],[TYPE]]="Income",Table1[[#This Row],[AMOUNT (₹)]],-Table1[[#This Row],[AMOUNT (₹)]])</f>
        <v>-2190</v>
      </c>
      <c r="J575" s="265" t="s">
        <v>426</v>
      </c>
      <c r="K575" s="348"/>
      <c r="L575" s="265">
        <f t="shared" si="17"/>
        <v>2026</v>
      </c>
      <c r="M575" s="259">
        <f ca="1">IF(L575="","",COUNTIF($L$9:INDIRECT("K"&amp;ROW()),L575))</f>
        <v>11</v>
      </c>
    </row>
    <row r="576" spans="3:13" ht="18" hidden="1" customHeight="1" outlineLevel="1" x14ac:dyDescent="0.2">
      <c r="C576" s="252">
        <v>46133</v>
      </c>
      <c r="D576" s="248" t="s">
        <v>669</v>
      </c>
      <c r="E576" s="263">
        <f t="shared" si="16"/>
        <v>2026</v>
      </c>
      <c r="F576" s="266" t="s">
        <v>274</v>
      </c>
      <c r="G576" s="265" t="s">
        <v>90</v>
      </c>
      <c r="H576" s="369">
        <v>1748.6</v>
      </c>
      <c r="I576" s="369">
        <f>IF(Table1[[#This Row],[TYPE]]="Income",Table1[[#This Row],[AMOUNT (₹)]],-Table1[[#This Row],[AMOUNT (₹)]])</f>
        <v>-1748.6</v>
      </c>
      <c r="J576" s="265"/>
      <c r="K576" s="348"/>
      <c r="L576" s="265">
        <f t="shared" si="17"/>
        <v>2026</v>
      </c>
      <c r="M576" s="259">
        <f ca="1">IF(L576="","",COUNTIF($L$9:INDIRECT("K"&amp;ROW()),L576))</f>
        <v>12</v>
      </c>
    </row>
    <row r="577" spans="3:13" ht="18" hidden="1" customHeight="1" outlineLevel="1" x14ac:dyDescent="0.2">
      <c r="C577" s="252">
        <v>46133</v>
      </c>
      <c r="D577" s="248" t="s">
        <v>670</v>
      </c>
      <c r="E577" s="263">
        <f t="shared" si="16"/>
        <v>2026</v>
      </c>
      <c r="F577" s="266" t="s">
        <v>274</v>
      </c>
      <c r="G577" s="265" t="s">
        <v>92</v>
      </c>
      <c r="H577" s="369">
        <v>8000</v>
      </c>
      <c r="I577" s="369">
        <f>IF(Table1[[#This Row],[TYPE]]="Income",Table1[[#This Row],[AMOUNT (₹)]],-Table1[[#This Row],[AMOUNT (₹)]])</f>
        <v>-8000</v>
      </c>
      <c r="J577" s="265"/>
      <c r="K577" s="348"/>
      <c r="L577" s="265">
        <f t="shared" si="17"/>
        <v>2026</v>
      </c>
      <c r="M577" s="259">
        <f ca="1">IF(L577="","",COUNTIF($L$9:INDIRECT("K"&amp;ROW()),L577))</f>
        <v>13</v>
      </c>
    </row>
    <row r="578" spans="3:13" ht="18" hidden="1" customHeight="1" outlineLevel="1" x14ac:dyDescent="0.2">
      <c r="C578" s="252">
        <v>46134</v>
      </c>
      <c r="D578" s="248" t="s">
        <v>671</v>
      </c>
      <c r="E578" s="263">
        <f t="shared" si="16"/>
        <v>2026</v>
      </c>
      <c r="F578" s="266" t="s">
        <v>277</v>
      </c>
      <c r="G578" s="265" t="s">
        <v>90</v>
      </c>
      <c r="H578" s="369">
        <v>1380</v>
      </c>
      <c r="I578" s="369">
        <f>IF(Table1[[#This Row],[TYPE]]="Income",Table1[[#This Row],[AMOUNT (₹)]],-Table1[[#This Row],[AMOUNT (₹)]])</f>
        <v>1380</v>
      </c>
      <c r="J578" s="265"/>
      <c r="K578" s="348" t="s">
        <v>497</v>
      </c>
      <c r="L578" s="265">
        <f t="shared" si="17"/>
        <v>2026</v>
      </c>
      <c r="M578" s="259">
        <f ca="1">IF(L578="","",COUNTIF($L$9:INDIRECT("K"&amp;ROW()),L578))</f>
        <v>14</v>
      </c>
    </row>
    <row r="579" spans="3:13" ht="18" hidden="1" customHeight="1" outlineLevel="1" x14ac:dyDescent="0.2">
      <c r="C579" s="252">
        <v>46139</v>
      </c>
      <c r="D579" s="248" t="s">
        <v>672</v>
      </c>
      <c r="E579" s="263">
        <f t="shared" si="16"/>
        <v>2026</v>
      </c>
      <c r="F579" s="266" t="s">
        <v>274</v>
      </c>
      <c r="G579" s="265" t="s">
        <v>88</v>
      </c>
      <c r="H579" s="369">
        <v>10000</v>
      </c>
      <c r="I579" s="369">
        <f>IF(Table1[[#This Row],[TYPE]]="Income",Table1[[#This Row],[AMOUNT (₹)]],-Table1[[#This Row],[AMOUNT (₹)]])</f>
        <v>-10000</v>
      </c>
      <c r="J579" s="265"/>
      <c r="K579" s="348"/>
      <c r="L579" s="265">
        <f t="shared" si="17"/>
        <v>2026</v>
      </c>
      <c r="M579" s="259">
        <f ca="1">IF(L579="","",COUNTIF($L$9:INDIRECT("K"&amp;ROW()),L579))</f>
        <v>15</v>
      </c>
    </row>
    <row r="580" spans="3:13" ht="18" hidden="1" customHeight="1" outlineLevel="1" x14ac:dyDescent="0.2">
      <c r="C580" s="252">
        <v>46141</v>
      </c>
      <c r="D580" s="248" t="s">
        <v>673</v>
      </c>
      <c r="E580" s="263">
        <f t="shared" si="16"/>
        <v>2026</v>
      </c>
      <c r="F580" s="266" t="s">
        <v>274</v>
      </c>
      <c r="G580" s="265" t="s">
        <v>90</v>
      </c>
      <c r="H580" s="369">
        <v>1458.6</v>
      </c>
      <c r="I580" s="369">
        <f>IF(Table1[[#This Row],[TYPE]]="Income",Table1[[#This Row],[AMOUNT (₹)]],-Table1[[#This Row],[AMOUNT (₹)]])</f>
        <v>-1458.6</v>
      </c>
      <c r="J580" s="265"/>
      <c r="K580" s="348"/>
      <c r="L580" s="265">
        <f t="shared" si="17"/>
        <v>2026</v>
      </c>
      <c r="M580" s="259">
        <f ca="1">IF(L580="","",COUNTIF($L$9:INDIRECT("K"&amp;ROW()),L580))</f>
        <v>16</v>
      </c>
    </row>
    <row r="581" spans="3:13" ht="18" hidden="1" customHeight="1" outlineLevel="1" x14ac:dyDescent="0.2">
      <c r="C581" s="252">
        <v>46141</v>
      </c>
      <c r="D581" s="248" t="s">
        <v>674</v>
      </c>
      <c r="E581" s="263">
        <f t="shared" si="16"/>
        <v>2026</v>
      </c>
      <c r="F581" s="266" t="s">
        <v>277</v>
      </c>
      <c r="G581" s="265" t="s">
        <v>90</v>
      </c>
      <c r="H581" s="369">
        <v>1175</v>
      </c>
      <c r="I581" s="369">
        <f>IF(Table1[[#This Row],[TYPE]]="Income",Table1[[#This Row],[AMOUNT (₹)]],-Table1[[#This Row],[AMOUNT (₹)]])</f>
        <v>1175</v>
      </c>
      <c r="J581" s="265"/>
      <c r="K581" s="348" t="s">
        <v>497</v>
      </c>
      <c r="L581" s="265">
        <f t="shared" si="17"/>
        <v>2026</v>
      </c>
      <c r="M581" s="259">
        <f ca="1">IF(L581="","",COUNTIF($L$9:INDIRECT("K"&amp;ROW()),L581))</f>
        <v>17</v>
      </c>
    </row>
    <row r="582" spans="3:13" ht="18" hidden="1" customHeight="1" outlineLevel="1" x14ac:dyDescent="0.2">
      <c r="C582" s="252">
        <v>46142</v>
      </c>
      <c r="D582" s="248" t="s">
        <v>675</v>
      </c>
      <c r="E582" s="263">
        <f t="shared" si="16"/>
        <v>2026</v>
      </c>
      <c r="F582" s="266" t="s">
        <v>274</v>
      </c>
      <c r="G582" s="265" t="s">
        <v>76</v>
      </c>
      <c r="H582" s="369">
        <v>4239</v>
      </c>
      <c r="I582" s="369">
        <f>IF(Table1[[#This Row],[TYPE]]="Income",Table1[[#This Row],[AMOUNT (₹)]],-Table1[[#This Row],[AMOUNT (₹)]])</f>
        <v>-4239</v>
      </c>
      <c r="J582" s="265"/>
      <c r="K582" s="348"/>
      <c r="L582" s="265">
        <f t="shared" si="17"/>
        <v>2026</v>
      </c>
      <c r="M582" s="259">
        <f ca="1">IF(L582="","",COUNTIF($L$9:INDIRECT("K"&amp;ROW()),L582))</f>
        <v>18</v>
      </c>
    </row>
    <row r="583" spans="3:13" ht="18" hidden="1" customHeight="1" outlineLevel="1" x14ac:dyDescent="0.2">
      <c r="C583" s="252">
        <v>46142</v>
      </c>
      <c r="D583" s="248" t="s">
        <v>676</v>
      </c>
      <c r="E583" s="263">
        <f t="shared" si="16"/>
        <v>2026</v>
      </c>
      <c r="F583" s="266" t="s">
        <v>274</v>
      </c>
      <c r="G583" s="265" t="s">
        <v>82</v>
      </c>
      <c r="H583" s="369">
        <v>2500</v>
      </c>
      <c r="I583" s="369">
        <f>IF(Table1[[#This Row],[TYPE]]="Income",Table1[[#This Row],[AMOUNT (₹)]],-Table1[[#This Row],[AMOUNT (₹)]])</f>
        <v>-2500</v>
      </c>
      <c r="J583" s="265"/>
      <c r="K583" s="348"/>
      <c r="L583" s="265">
        <f t="shared" si="17"/>
        <v>2026</v>
      </c>
      <c r="M583" s="259">
        <f ca="1">IF(L583="","",COUNTIF($L$9:INDIRECT("K"&amp;ROW()),L583))</f>
        <v>19</v>
      </c>
    </row>
    <row r="584" spans="3:13" ht="18" hidden="1" customHeight="1" outlineLevel="1" x14ac:dyDescent="0.2">
      <c r="C584" s="252">
        <v>46142</v>
      </c>
      <c r="D584" s="248" t="s">
        <v>320</v>
      </c>
      <c r="E584" s="263">
        <f t="shared" si="16"/>
        <v>2026</v>
      </c>
      <c r="F584" s="266" t="s">
        <v>277</v>
      </c>
      <c r="G584" s="265" t="s">
        <v>111</v>
      </c>
      <c r="H584" s="369">
        <v>50500</v>
      </c>
      <c r="I584" s="369">
        <f>IF(Table1[[#This Row],[TYPE]]="Income",Table1[[#This Row],[AMOUNT (₹)]],-Table1[[#This Row],[AMOUNT (₹)]])</f>
        <v>50500</v>
      </c>
      <c r="J584" s="265"/>
      <c r="K584" s="348"/>
      <c r="L584" s="265">
        <f t="shared" si="17"/>
        <v>2026</v>
      </c>
      <c r="M584" s="259">
        <f ca="1">IF(L584="","",COUNTIF($L$9:INDIRECT("K"&amp;ROW()),L584))</f>
        <v>20</v>
      </c>
    </row>
    <row r="585" spans="3:13" ht="18" hidden="1" customHeight="1" outlineLevel="1" x14ac:dyDescent="0.2">
      <c r="C585" s="252">
        <v>46146</v>
      </c>
      <c r="D585" s="248" t="s">
        <v>677</v>
      </c>
      <c r="E585" s="263">
        <f t="shared" ref="E585:E621" si="18">IFERROR(YEAR(C585),"")</f>
        <v>2026</v>
      </c>
      <c r="F585" s="266" t="s">
        <v>274</v>
      </c>
      <c r="G585" s="265" t="s">
        <v>78</v>
      </c>
      <c r="H585" s="369">
        <v>2900</v>
      </c>
      <c r="I585" s="369">
        <f>IF(Table1[[#This Row],[TYPE]]="Income",Table1[[#This Row],[AMOUNT (₹)]],-Table1[[#This Row],[AMOUNT (₹)]])</f>
        <v>-2900</v>
      </c>
      <c r="J585" s="265" t="s">
        <v>426</v>
      </c>
      <c r="K585" s="348"/>
      <c r="L585" s="265">
        <f t="shared" ref="L585:L621" si="19">IFERROR(IF(MONTH(C585)&lt;=3,YEAR(C585)-1,YEAR(C585)),"")</f>
        <v>2026</v>
      </c>
      <c r="M585" s="259">
        <f ca="1">IF(L585="","",COUNTIF($L$9:INDIRECT("K"&amp;ROW()),L585))</f>
        <v>21</v>
      </c>
    </row>
    <row r="586" spans="3:13" ht="18" hidden="1" customHeight="1" outlineLevel="1" x14ac:dyDescent="0.2">
      <c r="C586" s="252">
        <v>46146</v>
      </c>
      <c r="D586" s="248" t="s">
        <v>678</v>
      </c>
      <c r="E586" s="263">
        <f t="shared" si="18"/>
        <v>2026</v>
      </c>
      <c r="F586" s="266" t="s">
        <v>274</v>
      </c>
      <c r="G586" s="265" t="s">
        <v>82</v>
      </c>
      <c r="H586" s="369">
        <v>1075</v>
      </c>
      <c r="I586" s="369">
        <f>IF(Table1[[#This Row],[TYPE]]="Income",Table1[[#This Row],[AMOUNT (₹)]],-Table1[[#This Row],[AMOUNT (₹)]])</f>
        <v>-1075</v>
      </c>
      <c r="J586" s="265" t="s">
        <v>426</v>
      </c>
      <c r="K586" s="348"/>
      <c r="L586" s="265">
        <f t="shared" si="19"/>
        <v>2026</v>
      </c>
      <c r="M586" s="259">
        <f ca="1">IF(L586="","",COUNTIF($L$9:INDIRECT("K"&amp;ROW()),L586))</f>
        <v>22</v>
      </c>
    </row>
    <row r="587" spans="3:13" ht="18" hidden="1" customHeight="1" outlineLevel="1" x14ac:dyDescent="0.2">
      <c r="C587" s="252">
        <v>46147</v>
      </c>
      <c r="D587" s="248" t="s">
        <v>679</v>
      </c>
      <c r="E587" s="263">
        <f t="shared" si="18"/>
        <v>2026</v>
      </c>
      <c r="F587" s="266" t="s">
        <v>274</v>
      </c>
      <c r="G587" s="265" t="s">
        <v>84</v>
      </c>
      <c r="H587" s="369">
        <v>11800</v>
      </c>
      <c r="I587" s="369">
        <f>IF(Table1[[#This Row],[TYPE]]="Income",Table1[[#This Row],[AMOUNT (₹)]],-Table1[[#This Row],[AMOUNT (₹)]])</f>
        <v>-11800</v>
      </c>
      <c r="J587" s="265"/>
      <c r="K587" s="348"/>
      <c r="L587" s="265">
        <f t="shared" si="19"/>
        <v>2026</v>
      </c>
      <c r="M587" s="259">
        <f ca="1">IF(L587="","",COUNTIF($L$9:INDIRECT("K"&amp;ROW()),L587))</f>
        <v>23</v>
      </c>
    </row>
    <row r="588" spans="3:13" ht="18" hidden="1" customHeight="1" outlineLevel="1" x14ac:dyDescent="0.2">
      <c r="C588" s="252">
        <v>46148</v>
      </c>
      <c r="D588" s="248" t="s">
        <v>680</v>
      </c>
      <c r="E588" s="263">
        <f t="shared" si="18"/>
        <v>2026</v>
      </c>
      <c r="F588" s="266" t="s">
        <v>274</v>
      </c>
      <c r="G588" s="265" t="s">
        <v>88</v>
      </c>
      <c r="H588" s="369">
        <v>24686</v>
      </c>
      <c r="I588" s="369">
        <f>IF(Table1[[#This Row],[TYPE]]="Income",Table1[[#This Row],[AMOUNT (₹)]],-Table1[[#This Row],[AMOUNT (₹)]])</f>
        <v>-24686</v>
      </c>
      <c r="J588" s="265"/>
      <c r="K588" s="348"/>
      <c r="L588" s="265">
        <f t="shared" si="19"/>
        <v>2026</v>
      </c>
      <c r="M588" s="259">
        <f ca="1">IF(L588="","",COUNTIF($L$9:INDIRECT("K"&amp;ROW()),L588))</f>
        <v>24</v>
      </c>
    </row>
    <row r="589" spans="3:13" ht="18" hidden="1" customHeight="1" outlineLevel="1" x14ac:dyDescent="0.2">
      <c r="C589" s="252">
        <v>46148</v>
      </c>
      <c r="D589" s="248" t="s">
        <v>681</v>
      </c>
      <c r="E589" s="263">
        <f t="shared" si="18"/>
        <v>2026</v>
      </c>
      <c r="F589" s="266" t="s">
        <v>274</v>
      </c>
      <c r="G589" s="265" t="s">
        <v>92</v>
      </c>
      <c r="H589" s="369">
        <v>24760</v>
      </c>
      <c r="I589" s="369">
        <f>IF(Table1[[#This Row],[TYPE]]="Income",Table1[[#This Row],[AMOUNT (₹)]],-Table1[[#This Row],[AMOUNT (₹)]])</f>
        <v>-24760</v>
      </c>
      <c r="J589" s="265"/>
      <c r="K589" s="348"/>
      <c r="L589" s="265">
        <f t="shared" si="19"/>
        <v>2026</v>
      </c>
      <c r="M589" s="259">
        <f ca="1">IF(L589="","",COUNTIF($L$9:INDIRECT("K"&amp;ROW()),L589))</f>
        <v>25</v>
      </c>
    </row>
    <row r="590" spans="3:13" ht="18" hidden="1" customHeight="1" outlineLevel="1" x14ac:dyDescent="0.2">
      <c r="C590" s="252">
        <v>46149</v>
      </c>
      <c r="D590" s="248" t="s">
        <v>682</v>
      </c>
      <c r="E590" s="263">
        <f t="shared" si="18"/>
        <v>2026</v>
      </c>
      <c r="F590" s="266" t="s">
        <v>274</v>
      </c>
      <c r="G590" s="265" t="s">
        <v>82</v>
      </c>
      <c r="H590" s="369">
        <v>1000</v>
      </c>
      <c r="I590" s="369">
        <f>IF(Table1[[#This Row],[TYPE]]="Income",Table1[[#This Row],[AMOUNT (₹)]],-Table1[[#This Row],[AMOUNT (₹)]])</f>
        <v>-1000</v>
      </c>
      <c r="J590" s="265"/>
      <c r="K590" s="348"/>
      <c r="L590" s="265">
        <f t="shared" si="19"/>
        <v>2026</v>
      </c>
      <c r="M590" s="259">
        <f ca="1">IF(L590="","",COUNTIF($L$9:INDIRECT("K"&amp;ROW()),L590))</f>
        <v>26</v>
      </c>
    </row>
    <row r="591" spans="3:13" ht="18" hidden="1" customHeight="1" outlineLevel="1" x14ac:dyDescent="0.2">
      <c r="C591" s="252">
        <v>46151</v>
      </c>
      <c r="D591" s="248" t="s">
        <v>683</v>
      </c>
      <c r="E591" s="263">
        <f t="shared" si="18"/>
        <v>2026</v>
      </c>
      <c r="F591" s="266" t="s">
        <v>274</v>
      </c>
      <c r="G591" s="265" t="s">
        <v>90</v>
      </c>
      <c r="H591" s="369">
        <v>1373.6</v>
      </c>
      <c r="I591" s="369">
        <f>IF(Table1[[#This Row],[TYPE]]="Income",Table1[[#This Row],[AMOUNT (₹)]],-Table1[[#This Row],[AMOUNT (₹)]])</f>
        <v>-1373.6</v>
      </c>
      <c r="J591" s="265"/>
      <c r="K591" s="348"/>
      <c r="L591" s="265">
        <f t="shared" si="19"/>
        <v>2026</v>
      </c>
      <c r="M591" s="259">
        <f ca="1">IF(L591="","",COUNTIF($L$9:INDIRECT("K"&amp;ROW()),L591))</f>
        <v>27</v>
      </c>
    </row>
    <row r="592" spans="3:13" ht="18" hidden="1" customHeight="1" outlineLevel="1" x14ac:dyDescent="0.2">
      <c r="C592" s="252">
        <v>46158</v>
      </c>
      <c r="D592" s="248" t="s">
        <v>684</v>
      </c>
      <c r="E592" s="263">
        <f t="shared" si="18"/>
        <v>2026</v>
      </c>
      <c r="F592" s="266" t="s">
        <v>274</v>
      </c>
      <c r="G592" s="265" t="s">
        <v>82</v>
      </c>
      <c r="H592" s="369">
        <v>885</v>
      </c>
      <c r="I592" s="369">
        <f>IF(Table1[[#This Row],[TYPE]]="Income",Table1[[#This Row],[AMOUNT (₹)]],-Table1[[#This Row],[AMOUNT (₹)]])</f>
        <v>-885</v>
      </c>
      <c r="J592" s="265"/>
      <c r="K592" s="348"/>
      <c r="L592" s="265">
        <f t="shared" si="19"/>
        <v>2026</v>
      </c>
      <c r="M592" s="259">
        <f ca="1">IF(L592="","",COUNTIF($L$9:INDIRECT("K"&amp;ROW()),L592))</f>
        <v>28</v>
      </c>
    </row>
    <row r="593" spans="3:13" ht="18" hidden="1" customHeight="1" outlineLevel="1" x14ac:dyDescent="0.2">
      <c r="C593" s="252">
        <v>46159</v>
      </c>
      <c r="D593" s="248" t="s">
        <v>685</v>
      </c>
      <c r="E593" s="263">
        <f t="shared" si="18"/>
        <v>2026</v>
      </c>
      <c r="F593" s="266" t="s">
        <v>274</v>
      </c>
      <c r="G593" s="265" t="s">
        <v>82</v>
      </c>
      <c r="H593" s="369">
        <v>1040</v>
      </c>
      <c r="I593" s="369">
        <f>IF(Table1[[#This Row],[TYPE]]="Income",Table1[[#This Row],[AMOUNT (₹)]],-Table1[[#This Row],[AMOUNT (₹)]])</f>
        <v>-1040</v>
      </c>
      <c r="J593" s="265"/>
      <c r="K593" s="348"/>
      <c r="L593" s="265">
        <f t="shared" si="19"/>
        <v>2026</v>
      </c>
      <c r="M593" s="259">
        <f ca="1">IF(L593="","",COUNTIF($L$9:INDIRECT("K"&amp;ROW()),L593))</f>
        <v>29</v>
      </c>
    </row>
    <row r="594" spans="3:13" ht="18" hidden="1" customHeight="1" outlineLevel="1" x14ac:dyDescent="0.2">
      <c r="C594" s="252">
        <v>46161</v>
      </c>
      <c r="D594" s="248" t="s">
        <v>686</v>
      </c>
      <c r="E594" s="263">
        <f t="shared" si="18"/>
        <v>2026</v>
      </c>
      <c r="F594" s="266" t="s">
        <v>274</v>
      </c>
      <c r="G594" s="265" t="s">
        <v>78</v>
      </c>
      <c r="H594" s="369">
        <v>8120</v>
      </c>
      <c r="I594" s="369">
        <f>IF(Table1[[#This Row],[TYPE]]="Income",Table1[[#This Row],[AMOUNT (₹)]],-Table1[[#This Row],[AMOUNT (₹)]])</f>
        <v>-8120</v>
      </c>
      <c r="J594" s="265"/>
      <c r="K594" s="348"/>
      <c r="L594" s="265">
        <f t="shared" si="19"/>
        <v>2026</v>
      </c>
      <c r="M594" s="259">
        <f ca="1">IF(L594="","",COUNTIF($L$9:INDIRECT("K"&amp;ROW()),L594))</f>
        <v>30</v>
      </c>
    </row>
    <row r="595" spans="3:13" ht="18" hidden="1" customHeight="1" outlineLevel="1" x14ac:dyDescent="0.2">
      <c r="C595" s="252">
        <v>46161</v>
      </c>
      <c r="D595" s="248" t="s">
        <v>687</v>
      </c>
      <c r="E595" s="263">
        <f t="shared" si="18"/>
        <v>2026</v>
      </c>
      <c r="F595" s="266" t="s">
        <v>274</v>
      </c>
      <c r="G595" s="265" t="s">
        <v>82</v>
      </c>
      <c r="H595" s="369">
        <v>3110</v>
      </c>
      <c r="I595" s="369">
        <f>IF(Table1[[#This Row],[TYPE]]="Income",Table1[[#This Row],[AMOUNT (₹)]],-Table1[[#This Row],[AMOUNT (₹)]])</f>
        <v>-3110</v>
      </c>
      <c r="J595" s="265" t="s">
        <v>426</v>
      </c>
      <c r="K595" s="348"/>
      <c r="L595" s="265">
        <f t="shared" si="19"/>
        <v>2026</v>
      </c>
      <c r="M595" s="259">
        <f ca="1">IF(L595="","",COUNTIF($L$9:INDIRECT("K"&amp;ROW()),L595))</f>
        <v>31</v>
      </c>
    </row>
    <row r="596" spans="3:13" ht="18" hidden="1" customHeight="1" outlineLevel="1" x14ac:dyDescent="0.2">
      <c r="C596" s="252">
        <v>46161</v>
      </c>
      <c r="D596" s="248" t="s">
        <v>688</v>
      </c>
      <c r="E596" s="263">
        <f t="shared" si="18"/>
        <v>2026</v>
      </c>
      <c r="F596" s="266" t="s">
        <v>274</v>
      </c>
      <c r="G596" s="265" t="s">
        <v>94</v>
      </c>
      <c r="H596" s="369">
        <v>767</v>
      </c>
      <c r="I596" s="369">
        <f>IF(Table1[[#This Row],[TYPE]]="Income",Table1[[#This Row],[AMOUNT (₹)]],-Table1[[#This Row],[AMOUNT (₹)]])</f>
        <v>-767</v>
      </c>
      <c r="J596" s="265" t="s">
        <v>426</v>
      </c>
      <c r="K596" s="348"/>
      <c r="L596" s="265">
        <f t="shared" si="19"/>
        <v>2026</v>
      </c>
      <c r="M596" s="259">
        <f ca="1">IF(L596="","",COUNTIF($L$9:INDIRECT("K"&amp;ROW()),L596))</f>
        <v>32</v>
      </c>
    </row>
    <row r="597" spans="3:13" ht="18" hidden="1" customHeight="1" outlineLevel="1" x14ac:dyDescent="0.2">
      <c r="C597" s="252">
        <v>46162</v>
      </c>
      <c r="D597" s="248" t="s">
        <v>689</v>
      </c>
      <c r="E597" s="263">
        <f t="shared" si="18"/>
        <v>2026</v>
      </c>
      <c r="F597" s="266" t="s">
        <v>30</v>
      </c>
      <c r="G597" s="265" t="s">
        <v>98</v>
      </c>
      <c r="H597" s="369">
        <v>376</v>
      </c>
      <c r="I597" s="369">
        <f>IF(Table1[[#This Row],[TYPE]]="Income",Table1[[#This Row],[AMOUNT (₹)]],-Table1[[#This Row],[AMOUNT (₹)]])</f>
        <v>-376</v>
      </c>
      <c r="J597" s="265"/>
      <c r="K597" s="348"/>
      <c r="L597" s="265">
        <f t="shared" si="19"/>
        <v>2026</v>
      </c>
      <c r="M597" s="259">
        <f ca="1">IF(L597="","",COUNTIF($L$9:INDIRECT("K"&amp;ROW()),L597))</f>
        <v>33</v>
      </c>
    </row>
    <row r="598" spans="3:13" ht="18" hidden="1" customHeight="1" outlineLevel="1" x14ac:dyDescent="0.2">
      <c r="C598" s="252">
        <v>46171</v>
      </c>
      <c r="D598" s="248" t="s">
        <v>292</v>
      </c>
      <c r="E598" s="263">
        <f t="shared" si="18"/>
        <v>2026</v>
      </c>
      <c r="F598" s="266" t="s">
        <v>274</v>
      </c>
      <c r="G598" s="265" t="s">
        <v>73</v>
      </c>
      <c r="H598" s="369">
        <v>200</v>
      </c>
      <c r="I598" s="369">
        <f>IF(Table1[[#This Row],[TYPE]]="Income",Table1[[#This Row],[AMOUNT (₹)]],-Table1[[#This Row],[AMOUNT (₹)]])</f>
        <v>-200</v>
      </c>
      <c r="J598" s="265"/>
      <c r="K598" s="348"/>
      <c r="L598" s="265">
        <f t="shared" si="19"/>
        <v>2026</v>
      </c>
      <c r="M598" s="259">
        <f ca="1">IF(L598="","",COUNTIF($L$9:INDIRECT("K"&amp;ROW()),L598))</f>
        <v>34</v>
      </c>
    </row>
    <row r="599" spans="3:13" ht="18" hidden="1" customHeight="1" outlineLevel="1" x14ac:dyDescent="0.2">
      <c r="C599" s="252">
        <v>46171</v>
      </c>
      <c r="D599" s="248" t="s">
        <v>690</v>
      </c>
      <c r="E599" s="263">
        <f t="shared" si="18"/>
        <v>2026</v>
      </c>
      <c r="F599" s="266" t="s">
        <v>274</v>
      </c>
      <c r="G599" s="265" t="s">
        <v>82</v>
      </c>
      <c r="H599" s="369">
        <v>500</v>
      </c>
      <c r="I599" s="369">
        <f>IF(Table1[[#This Row],[TYPE]]="Income",Table1[[#This Row],[AMOUNT (₹)]],-Table1[[#This Row],[AMOUNT (₹)]])</f>
        <v>-500</v>
      </c>
      <c r="J599" s="265"/>
      <c r="K599" s="348"/>
      <c r="L599" s="265">
        <f t="shared" si="19"/>
        <v>2026</v>
      </c>
      <c r="M599" s="259">
        <f ca="1">IF(L599="","",COUNTIF($L$9:INDIRECT("K"&amp;ROW()),L599))</f>
        <v>35</v>
      </c>
    </row>
    <row r="600" spans="3:13" ht="18" hidden="1" customHeight="1" outlineLevel="1" x14ac:dyDescent="0.2">
      <c r="C600" s="252">
        <v>46171</v>
      </c>
      <c r="D600" s="248" t="s">
        <v>327</v>
      </c>
      <c r="E600" s="263">
        <f t="shared" si="18"/>
        <v>2026</v>
      </c>
      <c r="F600" s="266" t="s">
        <v>277</v>
      </c>
      <c r="G600" s="265" t="s">
        <v>111</v>
      </c>
      <c r="H600" s="369">
        <v>50500</v>
      </c>
      <c r="I600" s="369">
        <f>IF(Table1[[#This Row],[TYPE]]="Income",Table1[[#This Row],[AMOUNT (₹)]],-Table1[[#This Row],[AMOUNT (₹)]])</f>
        <v>50500</v>
      </c>
      <c r="J600" s="265"/>
      <c r="K600" s="348"/>
      <c r="L600" s="265">
        <f t="shared" si="19"/>
        <v>2026</v>
      </c>
      <c r="M600" s="259">
        <f ca="1">IF(L600="","",COUNTIF($L$9:INDIRECT("K"&amp;ROW()),L600))</f>
        <v>36</v>
      </c>
    </row>
    <row r="601" spans="3:13" ht="18" hidden="1" customHeight="1" outlineLevel="1" x14ac:dyDescent="0.2">
      <c r="C601" s="252">
        <v>46172</v>
      </c>
      <c r="D601" s="248" t="s">
        <v>691</v>
      </c>
      <c r="E601" s="263">
        <f t="shared" si="18"/>
        <v>2026</v>
      </c>
      <c r="F601" s="266" t="s">
        <v>274</v>
      </c>
      <c r="G601" s="265" t="s">
        <v>73</v>
      </c>
      <c r="H601" s="369">
        <v>5000</v>
      </c>
      <c r="I601" s="369">
        <f>IF(Table1[[#This Row],[TYPE]]="Income",Table1[[#This Row],[AMOUNT (₹)]],-Table1[[#This Row],[AMOUNT (₹)]])</f>
        <v>-5000</v>
      </c>
      <c r="J601" s="265"/>
      <c r="K601" s="348"/>
      <c r="L601" s="265">
        <f t="shared" si="19"/>
        <v>2026</v>
      </c>
      <c r="M601" s="259">
        <f ca="1">IF(L601="","",COUNTIF($L$9:INDIRECT("K"&amp;ROW()),L601))</f>
        <v>37</v>
      </c>
    </row>
    <row r="602" spans="3:13" ht="18" hidden="1" customHeight="1" outlineLevel="1" x14ac:dyDescent="0.2">
      <c r="C602" s="252">
        <v>46172</v>
      </c>
      <c r="D602" s="248" t="s">
        <v>692</v>
      </c>
      <c r="E602" s="263">
        <f t="shared" si="18"/>
        <v>2026</v>
      </c>
      <c r="F602" s="266" t="s">
        <v>274</v>
      </c>
      <c r="G602" s="265" t="s">
        <v>82</v>
      </c>
      <c r="H602" s="369">
        <v>6710</v>
      </c>
      <c r="I602" s="369">
        <f>IF(Table1[[#This Row],[TYPE]]="Income",Table1[[#This Row],[AMOUNT (₹)]],-Table1[[#This Row],[AMOUNT (₹)]])</f>
        <v>-6710</v>
      </c>
      <c r="J602" s="265" t="s">
        <v>426</v>
      </c>
      <c r="K602" s="348"/>
      <c r="L602" s="265">
        <f t="shared" si="19"/>
        <v>2026</v>
      </c>
      <c r="M602" s="259">
        <f ca="1">IF(L602="","",COUNTIF($L$9:INDIRECT("K"&amp;ROW()),L602))</f>
        <v>38</v>
      </c>
    </row>
    <row r="603" spans="3:13" ht="18" hidden="1" customHeight="1" outlineLevel="1" x14ac:dyDescent="0.2">
      <c r="C603" s="252">
        <v>46173</v>
      </c>
      <c r="D603" s="248" t="s">
        <v>693</v>
      </c>
      <c r="E603" s="263">
        <f t="shared" si="18"/>
        <v>2026</v>
      </c>
      <c r="F603" s="266" t="s">
        <v>274</v>
      </c>
      <c r="G603" s="265" t="s">
        <v>76</v>
      </c>
      <c r="H603" s="369">
        <v>2100</v>
      </c>
      <c r="I603" s="369">
        <f>IF(Table1[[#This Row],[TYPE]]="Income",Table1[[#This Row],[AMOUNT (₹)]],-Table1[[#This Row],[AMOUNT (₹)]])</f>
        <v>-2100</v>
      </c>
      <c r="J603" s="265"/>
      <c r="K603" s="348"/>
      <c r="L603" s="265">
        <f t="shared" si="19"/>
        <v>2026</v>
      </c>
      <c r="M603" s="259">
        <f ca="1">IF(L603="","",COUNTIF($L$9:INDIRECT("K"&amp;ROW()),L603))</f>
        <v>39</v>
      </c>
    </row>
    <row r="604" spans="3:13" ht="18" hidden="1" customHeight="1" outlineLevel="1" x14ac:dyDescent="0.2">
      <c r="C604" s="252">
        <v>46173</v>
      </c>
      <c r="D604" s="248" t="s">
        <v>694</v>
      </c>
      <c r="E604" s="263">
        <f t="shared" si="18"/>
        <v>2026</v>
      </c>
      <c r="F604" s="266" t="s">
        <v>274</v>
      </c>
      <c r="G604" s="265" t="s">
        <v>82</v>
      </c>
      <c r="H604" s="369">
        <v>7400</v>
      </c>
      <c r="I604" s="369">
        <f>IF(Table1[[#This Row],[TYPE]]="Income",Table1[[#This Row],[AMOUNT (₹)]],-Table1[[#This Row],[AMOUNT (₹)]])</f>
        <v>-7400</v>
      </c>
      <c r="J604" s="265"/>
      <c r="K604" s="348"/>
      <c r="L604" s="265">
        <f t="shared" si="19"/>
        <v>2026</v>
      </c>
      <c r="M604" s="259">
        <f ca="1">IF(L604="","",COUNTIF($L$9:INDIRECT("K"&amp;ROW()),L604))</f>
        <v>40</v>
      </c>
    </row>
    <row r="605" spans="3:13" ht="18" customHeight="1" collapsed="1" x14ac:dyDescent="0.2">
      <c r="C605" s="252">
        <v>46174</v>
      </c>
      <c r="D605" s="248" t="s">
        <v>695</v>
      </c>
      <c r="E605" s="263">
        <f t="shared" si="18"/>
        <v>2026</v>
      </c>
      <c r="F605" s="266" t="s">
        <v>274</v>
      </c>
      <c r="G605" s="265" t="s">
        <v>84</v>
      </c>
      <c r="H605" s="369">
        <v>11000</v>
      </c>
      <c r="I605" s="369">
        <f>IF(Table1[[#This Row],[TYPE]]="Income",Table1[[#This Row],[AMOUNT (₹)]],-Table1[[#This Row],[AMOUNT (₹)]])</f>
        <v>-11000</v>
      </c>
      <c r="J605" s="265"/>
      <c r="K605" s="348"/>
      <c r="L605" s="265">
        <f t="shared" si="19"/>
        <v>2026</v>
      </c>
      <c r="M605" s="259">
        <f ca="1">IF(L605="","",COUNTIF($L$9:INDIRECT("K"&amp;ROW()),L605))</f>
        <v>41</v>
      </c>
    </row>
    <row r="606" spans="3:13" ht="18" customHeight="1" x14ac:dyDescent="0.2">
      <c r="C606" s="252">
        <v>46178</v>
      </c>
      <c r="D606" s="248" t="s">
        <v>696</v>
      </c>
      <c r="E606" s="263">
        <f t="shared" si="18"/>
        <v>2026</v>
      </c>
      <c r="F606" s="266" t="s">
        <v>30</v>
      </c>
      <c r="G606" s="265" t="s">
        <v>98</v>
      </c>
      <c r="H606" s="369">
        <v>376</v>
      </c>
      <c r="I606" s="369">
        <f>IF(Table1[[#This Row],[TYPE]]="Income",Table1[[#This Row],[AMOUNT (₹)]],-Table1[[#This Row],[AMOUNT (₹)]])</f>
        <v>-376</v>
      </c>
      <c r="J606" s="265"/>
      <c r="K606" s="348"/>
      <c r="L606" s="265">
        <f t="shared" si="19"/>
        <v>2026</v>
      </c>
      <c r="M606" s="259">
        <f ca="1">IF(L606="","",COUNTIF($L$9:INDIRECT("K"&amp;ROW()),L606))</f>
        <v>42</v>
      </c>
    </row>
    <row r="607" spans="3:13" ht="18" customHeight="1" x14ac:dyDescent="0.2">
      <c r="C607" s="252">
        <v>46184</v>
      </c>
      <c r="D607" s="248" t="s">
        <v>697</v>
      </c>
      <c r="E607" s="263">
        <f t="shared" si="18"/>
        <v>2026</v>
      </c>
      <c r="F607" s="266" t="s">
        <v>274</v>
      </c>
      <c r="G607" s="265" t="s">
        <v>76</v>
      </c>
      <c r="H607" s="369">
        <v>9100</v>
      </c>
      <c r="I607" s="369">
        <f>IF(Table1[[#This Row],[TYPE]]="Income",Table1[[#This Row],[AMOUNT (₹)]],-Table1[[#This Row],[AMOUNT (₹)]])</f>
        <v>-9100</v>
      </c>
      <c r="J607" s="265" t="s">
        <v>333</v>
      </c>
      <c r="K607" s="348" t="s">
        <v>698</v>
      </c>
      <c r="L607" s="265">
        <f t="shared" si="19"/>
        <v>2026</v>
      </c>
      <c r="M607" s="259">
        <f ca="1">IF(L607="","",COUNTIF($L$9:INDIRECT("K"&amp;ROW()),L607))</f>
        <v>43</v>
      </c>
    </row>
    <row r="608" spans="3:13" ht="18" customHeight="1" x14ac:dyDescent="0.2">
      <c r="C608" s="252">
        <v>46190</v>
      </c>
      <c r="D608" s="248" t="s">
        <v>370</v>
      </c>
      <c r="E608" s="263">
        <f t="shared" si="18"/>
        <v>2026</v>
      </c>
      <c r="F608" s="266" t="s">
        <v>274</v>
      </c>
      <c r="G608" s="265" t="s">
        <v>82</v>
      </c>
      <c r="H608" s="369">
        <v>500</v>
      </c>
      <c r="I608" s="369">
        <f>IF(Table1[[#This Row],[TYPE]]="Income",Table1[[#This Row],[AMOUNT (₹)]],-Table1[[#This Row],[AMOUNT (₹)]])</f>
        <v>-500</v>
      </c>
      <c r="J608" s="265" t="s">
        <v>333</v>
      </c>
      <c r="K608" s="348" t="s">
        <v>39</v>
      </c>
      <c r="L608" s="265">
        <f t="shared" si="19"/>
        <v>2026</v>
      </c>
      <c r="M608" s="259">
        <f ca="1">IF(L608="","",COUNTIF($L$9:INDIRECT("K"&amp;ROW()),L608))</f>
        <v>44</v>
      </c>
    </row>
    <row r="609" spans="1:13" ht="18" customHeight="1" x14ac:dyDescent="0.2">
      <c r="C609" s="252">
        <v>46190</v>
      </c>
      <c r="D609" s="248" t="s">
        <v>699</v>
      </c>
      <c r="E609" s="263">
        <f t="shared" si="18"/>
        <v>2026</v>
      </c>
      <c r="F609" s="266" t="s">
        <v>274</v>
      </c>
      <c r="G609" s="265" t="s">
        <v>78</v>
      </c>
      <c r="H609" s="369">
        <v>8200</v>
      </c>
      <c r="I609" s="369">
        <f>IF(Table1[[#This Row],[TYPE]]="Income",Table1[[#This Row],[AMOUNT (₹)]],-Table1[[#This Row],[AMOUNT (₹)]])</f>
        <v>-8200</v>
      </c>
      <c r="J609" s="265" t="s">
        <v>533</v>
      </c>
      <c r="K609" s="348"/>
      <c r="L609" s="265">
        <f t="shared" si="19"/>
        <v>2026</v>
      </c>
      <c r="M609" s="259">
        <f ca="1">IF(L609="","",COUNTIF($L$9:INDIRECT("K"&amp;ROW()),L609))</f>
        <v>45</v>
      </c>
    </row>
    <row r="610" spans="1:13" ht="18" customHeight="1" x14ac:dyDescent="0.2">
      <c r="C610" s="252">
        <v>46191</v>
      </c>
      <c r="D610" s="248" t="s">
        <v>700</v>
      </c>
      <c r="E610" s="263">
        <f t="shared" si="18"/>
        <v>2026</v>
      </c>
      <c r="F610" s="266" t="s">
        <v>30</v>
      </c>
      <c r="G610" s="265" t="s">
        <v>98</v>
      </c>
      <c r="H610" s="369">
        <v>50000</v>
      </c>
      <c r="I610" s="369">
        <f>IF(Table1[[#This Row],[TYPE]]="Income",Table1[[#This Row],[AMOUNT (₹)]],-Table1[[#This Row],[AMOUNT (₹)]])</f>
        <v>-50000</v>
      </c>
      <c r="J610" s="265" t="s">
        <v>333</v>
      </c>
      <c r="K610" s="348" t="s">
        <v>701</v>
      </c>
      <c r="L610" s="265">
        <f t="shared" si="19"/>
        <v>2026</v>
      </c>
      <c r="M610" s="259">
        <f ca="1">IF(L610="","",COUNTIF($L$9:INDIRECT("K"&amp;ROW()),L610))</f>
        <v>46</v>
      </c>
    </row>
    <row r="611" spans="1:13" ht="18" customHeight="1" x14ac:dyDescent="0.2">
      <c r="C611" s="252">
        <v>46191</v>
      </c>
      <c r="D611" s="248" t="s">
        <v>412</v>
      </c>
      <c r="E611" s="263">
        <f t="shared" si="18"/>
        <v>2026</v>
      </c>
      <c r="F611" s="266" t="s">
        <v>274</v>
      </c>
      <c r="G611" s="265" t="s">
        <v>82</v>
      </c>
      <c r="H611" s="369">
        <v>200</v>
      </c>
      <c r="I611" s="369">
        <f>IF(Table1[[#This Row],[TYPE]]="Income",Table1[[#This Row],[AMOUNT (₹)]],-Table1[[#This Row],[AMOUNT (₹)]])</f>
        <v>-200</v>
      </c>
      <c r="J611" s="265" t="s">
        <v>333</v>
      </c>
      <c r="K611" s="348"/>
      <c r="L611" s="265">
        <f t="shared" si="19"/>
        <v>2026</v>
      </c>
      <c r="M611" s="259">
        <f ca="1">IF(L611="","",COUNTIF($L$9:INDIRECT("K"&amp;ROW()),L611))</f>
        <v>47</v>
      </c>
    </row>
    <row r="612" spans="1:13" ht="18" customHeight="1" x14ac:dyDescent="0.2">
      <c r="C612" s="252">
        <v>46191</v>
      </c>
      <c r="D612" s="248" t="s">
        <v>702</v>
      </c>
      <c r="E612" s="263">
        <f t="shared" si="18"/>
        <v>2026</v>
      </c>
      <c r="F612" s="266" t="s">
        <v>274</v>
      </c>
      <c r="G612" s="265" t="s">
        <v>94</v>
      </c>
      <c r="H612" s="369">
        <v>1784</v>
      </c>
      <c r="I612" s="369">
        <f>IF(Table1[[#This Row],[TYPE]]="Income",Table1[[#This Row],[AMOUNT (₹)]],-Table1[[#This Row],[AMOUNT (₹)]])</f>
        <v>-1784</v>
      </c>
      <c r="J612" s="265" t="s">
        <v>426</v>
      </c>
      <c r="K612" s="348"/>
      <c r="L612" s="265">
        <f t="shared" si="19"/>
        <v>2026</v>
      </c>
      <c r="M612" s="259">
        <f ca="1">IF(L612="","",COUNTIF($L$9:INDIRECT("K"&amp;ROW()),L612))</f>
        <v>48</v>
      </c>
    </row>
    <row r="613" spans="1:13" ht="18" customHeight="1" x14ac:dyDescent="0.2">
      <c r="C613" s="252">
        <v>46192</v>
      </c>
      <c r="D613" s="248" t="s">
        <v>703</v>
      </c>
      <c r="E613" s="263">
        <f t="shared" si="18"/>
        <v>2026</v>
      </c>
      <c r="F613" s="266" t="s">
        <v>274</v>
      </c>
      <c r="G613" s="265" t="s">
        <v>84</v>
      </c>
      <c r="H613" s="369">
        <v>4000</v>
      </c>
      <c r="I613" s="369">
        <f>IF(Table1[[#This Row],[TYPE]]="Income",Table1[[#This Row],[AMOUNT (₹)]],-Table1[[#This Row],[AMOUNT (₹)]])</f>
        <v>-4000</v>
      </c>
      <c r="J613" s="265" t="s">
        <v>333</v>
      </c>
      <c r="K613" s="348"/>
      <c r="L613" s="265">
        <f t="shared" si="19"/>
        <v>2026</v>
      </c>
      <c r="M613" s="259">
        <f ca="1">IF(L613="","",COUNTIF($L$9:INDIRECT("K"&amp;ROW()),L613))</f>
        <v>49</v>
      </c>
    </row>
    <row r="614" spans="1:13" ht="18" customHeight="1" x14ac:dyDescent="0.2">
      <c r="C614" s="252">
        <v>46203</v>
      </c>
      <c r="D614" s="248" t="s">
        <v>556</v>
      </c>
      <c r="E614" s="263">
        <f t="shared" si="18"/>
        <v>2026</v>
      </c>
      <c r="F614" s="266" t="s">
        <v>277</v>
      </c>
      <c r="G614" s="265" t="s">
        <v>111</v>
      </c>
      <c r="H614" s="369">
        <v>50500</v>
      </c>
      <c r="I614" s="369">
        <f>IF(Table1[[#This Row],[TYPE]]="Income",Table1[[#This Row],[AMOUNT (₹)]],-Table1[[#This Row],[AMOUNT (₹)]])</f>
        <v>50500</v>
      </c>
      <c r="J614" s="265" t="s">
        <v>275</v>
      </c>
      <c r="K614" s="348"/>
      <c r="L614" s="265">
        <f t="shared" si="19"/>
        <v>2026</v>
      </c>
      <c r="M614" s="259">
        <f ca="1">IF(L614="","",COUNTIF($L$9:INDIRECT("K"&amp;ROW()),L614))</f>
        <v>50</v>
      </c>
    </row>
    <row r="615" spans="1:13" ht="18" customHeight="1" x14ac:dyDescent="0.2">
      <c r="C615" s="252">
        <v>46204</v>
      </c>
      <c r="D615" s="248" t="s">
        <v>432</v>
      </c>
      <c r="E615" s="263">
        <f t="shared" si="18"/>
        <v>2026</v>
      </c>
      <c r="F615" s="266" t="s">
        <v>274</v>
      </c>
      <c r="G615" s="265" t="s">
        <v>92</v>
      </c>
      <c r="H615" s="369">
        <v>3860</v>
      </c>
      <c r="I615" s="369">
        <f>IF(Table1[[#This Row],[TYPE]]="Income",Table1[[#This Row],[AMOUNT (₹)]],-Table1[[#This Row],[AMOUNT (₹)]])</f>
        <v>-3860</v>
      </c>
      <c r="J615" s="265" t="s">
        <v>333</v>
      </c>
      <c r="K615" s="348"/>
      <c r="L615" s="265">
        <f t="shared" si="19"/>
        <v>2026</v>
      </c>
      <c r="M615" s="259">
        <f ca="1">IF(L615="","",COUNTIF($L$9:INDIRECT("K"&amp;ROW()),L615))</f>
        <v>51</v>
      </c>
    </row>
    <row r="616" spans="1:13" ht="18" customHeight="1" x14ac:dyDescent="0.2">
      <c r="C616" s="252">
        <v>46204</v>
      </c>
      <c r="D616" s="248" t="s">
        <v>412</v>
      </c>
      <c r="E616" s="263">
        <f t="shared" si="18"/>
        <v>2026</v>
      </c>
      <c r="F616" s="266" t="s">
        <v>274</v>
      </c>
      <c r="G616" s="265" t="s">
        <v>82</v>
      </c>
      <c r="H616" s="369">
        <v>200</v>
      </c>
      <c r="I616" s="369">
        <f>IF(Table1[[#This Row],[TYPE]]="Income",Table1[[#This Row],[AMOUNT (₹)]],-Table1[[#This Row],[AMOUNT (₹)]])</f>
        <v>-200</v>
      </c>
      <c r="J616" s="265" t="s">
        <v>333</v>
      </c>
      <c r="K616" s="348"/>
      <c r="L616" s="265">
        <f t="shared" si="19"/>
        <v>2026</v>
      </c>
      <c r="M616" s="259">
        <f ca="1">IF(L616="","",COUNTIF($L$9:INDIRECT("K"&amp;ROW()),L616))</f>
        <v>52</v>
      </c>
    </row>
    <row r="617" spans="1:13" ht="18" customHeight="1" x14ac:dyDescent="0.2">
      <c r="C617" s="252">
        <v>46204</v>
      </c>
      <c r="D617" s="248" t="s">
        <v>697</v>
      </c>
      <c r="E617" s="263">
        <f t="shared" si="18"/>
        <v>2026</v>
      </c>
      <c r="F617" s="266" t="s">
        <v>274</v>
      </c>
      <c r="G617" s="265" t="s">
        <v>76</v>
      </c>
      <c r="H617" s="369">
        <v>9632</v>
      </c>
      <c r="I617" s="369">
        <f>IF(Table1[[#This Row],[TYPE]]="Income",Table1[[#This Row],[AMOUNT (₹)]],-Table1[[#This Row],[AMOUNT (₹)]])</f>
        <v>-9632</v>
      </c>
      <c r="J617" s="265" t="s">
        <v>333</v>
      </c>
      <c r="K617" s="348"/>
      <c r="L617" s="265">
        <f t="shared" si="19"/>
        <v>2026</v>
      </c>
      <c r="M617" s="259">
        <f ca="1">IF(L617="","",COUNTIF($L$9:INDIRECT("K"&amp;ROW()),L617))</f>
        <v>53</v>
      </c>
    </row>
    <row r="618" spans="1:13" ht="18" customHeight="1" x14ac:dyDescent="0.2">
      <c r="C618" s="252">
        <v>46205</v>
      </c>
      <c r="D618" s="248" t="s">
        <v>704</v>
      </c>
      <c r="E618" s="263">
        <f t="shared" si="18"/>
        <v>2026</v>
      </c>
      <c r="F618" s="266" t="s">
        <v>274</v>
      </c>
      <c r="G618" s="265" t="s">
        <v>73</v>
      </c>
      <c r="H618" s="369">
        <v>5000</v>
      </c>
      <c r="I618" s="369">
        <f>IF(Table1[[#This Row],[TYPE]]="Income",Table1[[#This Row],[AMOUNT (₹)]],-Table1[[#This Row],[AMOUNT (₹)]])</f>
        <v>-5000</v>
      </c>
      <c r="J618" s="265"/>
      <c r="K618" s="348"/>
      <c r="L618" s="265">
        <f t="shared" si="19"/>
        <v>2026</v>
      </c>
      <c r="M618" s="259">
        <f ca="1">IF(L618="","",COUNTIF($L$9:INDIRECT("K"&amp;ROW()),L618))</f>
        <v>54</v>
      </c>
    </row>
    <row r="619" spans="1:13" ht="18" customHeight="1" x14ac:dyDescent="0.2">
      <c r="C619" s="252">
        <v>46265</v>
      </c>
      <c r="D619" s="248" t="s">
        <v>705</v>
      </c>
      <c r="E619" s="263">
        <f t="shared" si="18"/>
        <v>2026</v>
      </c>
      <c r="F619" s="266" t="s">
        <v>277</v>
      </c>
      <c r="G619" s="265" t="s">
        <v>112</v>
      </c>
      <c r="H619" s="369">
        <v>9188</v>
      </c>
      <c r="I619" s="369">
        <f>IF(Table1[[#This Row],[TYPE]]="Income",Table1[[#This Row],[AMOUNT (₹)]],-Table1[[#This Row],[AMOUNT (₹)]])</f>
        <v>9188</v>
      </c>
      <c r="J619" s="265"/>
      <c r="K619" s="348"/>
      <c r="L619" s="265">
        <f t="shared" si="19"/>
        <v>2026</v>
      </c>
      <c r="M619" s="259">
        <f ca="1">IF(L619="","",COUNTIF($L$9:INDIRECT("K"&amp;ROW()),L619))</f>
        <v>55</v>
      </c>
    </row>
    <row r="620" spans="1:13" ht="18" customHeight="1" x14ac:dyDescent="0.2">
      <c r="C620" s="252">
        <v>46265</v>
      </c>
      <c r="D620" s="248" t="s">
        <v>706</v>
      </c>
      <c r="E620" s="263">
        <f t="shared" si="18"/>
        <v>2026</v>
      </c>
      <c r="F620" s="266" t="s">
        <v>277</v>
      </c>
      <c r="G620" s="265" t="s">
        <v>76</v>
      </c>
      <c r="H620" s="369">
        <f>4779-575</f>
        <v>4204</v>
      </c>
      <c r="I620" s="369">
        <f>IF(Table1[[#This Row],[TYPE]]="Income",Table1[[#This Row],[AMOUNT (₹)]],-Table1[[#This Row],[AMOUNT (₹)]])</f>
        <v>4204</v>
      </c>
      <c r="J620" s="265"/>
      <c r="K620" s="348" t="s">
        <v>707</v>
      </c>
      <c r="L620" s="265">
        <f t="shared" si="19"/>
        <v>2026</v>
      </c>
      <c r="M620" s="259">
        <f ca="1">IF(L620="","",COUNTIF($L$9:INDIRECT("K"&amp;ROW()),L620))</f>
        <v>56</v>
      </c>
    </row>
    <row r="621" spans="1:13" ht="18" customHeight="1" x14ac:dyDescent="0.2">
      <c r="C621" s="252">
        <v>46205</v>
      </c>
      <c r="D621" s="248" t="s">
        <v>84</v>
      </c>
      <c r="E621" s="263">
        <f t="shared" si="18"/>
        <v>2026</v>
      </c>
      <c r="F621" s="266" t="s">
        <v>274</v>
      </c>
      <c r="G621" s="265" t="s">
        <v>84</v>
      </c>
      <c r="H621" s="369">
        <v>300</v>
      </c>
      <c r="I621" s="369">
        <f>IF(Table1[[#This Row],[TYPE]]="Income",Table1[[#This Row],[AMOUNT (₹)]],-Table1[[#This Row],[AMOUNT (₹)]])</f>
        <v>-300</v>
      </c>
      <c r="J621" s="265"/>
      <c r="K621" s="348" t="s">
        <v>434</v>
      </c>
      <c r="L621" s="265">
        <f t="shared" si="19"/>
        <v>2026</v>
      </c>
      <c r="M621" s="259">
        <f ca="1">IF(L621="","",COUNTIF($L$9:INDIRECT("K"&amp;ROW()),L621))</f>
        <v>57</v>
      </c>
    </row>
    <row r="622" spans="1:13" ht="18" customHeight="1" x14ac:dyDescent="0.2">
      <c r="A622" s="348" t="s">
        <v>1032</v>
      </c>
      <c r="E622" s="263"/>
      <c r="F622" s="266"/>
      <c r="G622" s="265"/>
      <c r="H622" s="369"/>
      <c r="I622" s="369"/>
      <c r="J622" s="265"/>
      <c r="K622" s="348"/>
      <c r="L622" s="265"/>
    </row>
    <row r="623" spans="1:13" ht="18" customHeight="1" x14ac:dyDescent="0.2">
      <c r="E623" s="348"/>
      <c r="F623" s="348"/>
      <c r="G623" s="348"/>
      <c r="H623" s="369"/>
      <c r="I623" s="369"/>
      <c r="J623" s="348"/>
      <c r="K623" s="348"/>
      <c r="L623" s="270"/>
    </row>
    <row r="624" spans="1:13" ht="18" customHeight="1" x14ac:dyDescent="0.2">
      <c r="E624" s="348"/>
      <c r="F624" s="348"/>
      <c r="G624" s="348"/>
      <c r="H624" s="369"/>
      <c r="I624" s="369"/>
      <c r="J624" s="348"/>
      <c r="K624" s="348"/>
      <c r="L624" s="270"/>
    </row>
    <row r="625" spans="12:12" ht="18" customHeight="1" x14ac:dyDescent="0.2">
      <c r="L625" s="270"/>
    </row>
    <row r="626" spans="12:12" ht="18" customHeight="1" x14ac:dyDescent="0.2">
      <c r="L626" s="270"/>
    </row>
    <row r="627" spans="12:12" ht="18" customHeight="1" x14ac:dyDescent="0.2">
      <c r="L627" s="270"/>
    </row>
    <row r="628" spans="12:12" ht="18" customHeight="1" x14ac:dyDescent="0.2">
      <c r="L628" s="270"/>
    </row>
    <row r="629" spans="12:12" ht="18" customHeight="1" x14ac:dyDescent="0.2">
      <c r="L629" s="270"/>
    </row>
    <row r="630" spans="12:12" ht="18" customHeight="1" x14ac:dyDescent="0.2">
      <c r="L630" s="270"/>
    </row>
    <row r="631" spans="12:12" ht="18" customHeight="1" x14ac:dyDescent="0.2">
      <c r="L631" s="270"/>
    </row>
    <row r="632" spans="12:12" ht="18" customHeight="1" x14ac:dyDescent="0.2">
      <c r="L632" s="270"/>
    </row>
    <row r="633" spans="12:12" ht="18" customHeight="1" x14ac:dyDescent="0.2">
      <c r="L633" s="270"/>
    </row>
    <row r="634" spans="12:12" ht="18" customHeight="1" x14ac:dyDescent="0.2">
      <c r="L634" s="270"/>
    </row>
    <row r="635" spans="12:12" ht="18" customHeight="1" x14ac:dyDescent="0.2">
      <c r="L635" s="270"/>
    </row>
    <row r="636" spans="12:12" ht="18" customHeight="1" x14ac:dyDescent="0.2">
      <c r="L636" s="270"/>
    </row>
    <row r="637" spans="12:12" ht="18" customHeight="1" x14ac:dyDescent="0.2">
      <c r="L637" s="270"/>
    </row>
    <row r="638" spans="12:12" ht="18" customHeight="1" x14ac:dyDescent="0.2">
      <c r="L638" s="270"/>
    </row>
    <row r="639" spans="12:12" ht="18" customHeight="1" x14ac:dyDescent="0.2">
      <c r="L639" s="270"/>
    </row>
    <row r="640" spans="12:12" ht="18" customHeight="1" x14ac:dyDescent="0.2">
      <c r="L640" s="270"/>
    </row>
    <row r="641" spans="12:12" ht="18" customHeight="1" x14ac:dyDescent="0.2">
      <c r="L641" s="270"/>
    </row>
    <row r="642" spans="12:12" ht="18" customHeight="1" x14ac:dyDescent="0.2">
      <c r="L642" s="270"/>
    </row>
    <row r="643" spans="12:12" ht="18" customHeight="1" x14ac:dyDescent="0.2">
      <c r="L643" s="270"/>
    </row>
    <row r="644" spans="12:12" ht="18" customHeight="1" x14ac:dyDescent="0.2">
      <c r="L644" s="270"/>
    </row>
    <row r="645" spans="12:12" ht="18" customHeight="1" x14ac:dyDescent="0.2">
      <c r="L645" s="270"/>
    </row>
    <row r="646" spans="12:12" ht="18" customHeight="1" x14ac:dyDescent="0.2">
      <c r="L646" s="270"/>
    </row>
    <row r="647" spans="12:12" ht="18" customHeight="1" x14ac:dyDescent="0.2">
      <c r="L647" s="270"/>
    </row>
    <row r="648" spans="12:12" ht="18" customHeight="1" x14ac:dyDescent="0.2">
      <c r="L648" s="270"/>
    </row>
    <row r="649" spans="12:12" ht="18" customHeight="1" x14ac:dyDescent="0.2">
      <c r="L649" s="270"/>
    </row>
    <row r="650" spans="12:12" ht="18" customHeight="1" x14ac:dyDescent="0.2">
      <c r="L650" s="270"/>
    </row>
    <row r="651" spans="12:12" ht="18" customHeight="1" x14ac:dyDescent="0.2">
      <c r="L651" s="270"/>
    </row>
    <row r="652" spans="12:12" ht="18" customHeight="1" x14ac:dyDescent="0.2">
      <c r="L652" s="270"/>
    </row>
    <row r="653" spans="12:12" ht="18" customHeight="1" x14ac:dyDescent="0.2">
      <c r="L653" s="270"/>
    </row>
    <row r="654" spans="12:12" ht="18" customHeight="1" x14ac:dyDescent="0.2">
      <c r="L654" s="270"/>
    </row>
    <row r="655" spans="12:12" ht="18" customHeight="1" x14ac:dyDescent="0.2">
      <c r="L655" s="270"/>
    </row>
    <row r="656" spans="12:12" ht="18" customHeight="1" x14ac:dyDescent="0.2">
      <c r="L656" s="270"/>
    </row>
    <row r="657" spans="12:12" ht="18" customHeight="1" x14ac:dyDescent="0.2">
      <c r="L657" s="270"/>
    </row>
    <row r="658" spans="12:12" ht="18" customHeight="1" x14ac:dyDescent="0.2">
      <c r="L658" s="270"/>
    </row>
    <row r="659" spans="12:12" ht="18" customHeight="1" x14ac:dyDescent="0.2">
      <c r="L659" s="270"/>
    </row>
    <row r="660" spans="12:12" ht="18" customHeight="1" x14ac:dyDescent="0.2">
      <c r="L660" s="270"/>
    </row>
    <row r="661" spans="12:12" ht="18" customHeight="1" x14ac:dyDescent="0.2">
      <c r="L661" s="270"/>
    </row>
    <row r="662" spans="12:12" ht="18" customHeight="1" x14ac:dyDescent="0.2">
      <c r="L662" s="270"/>
    </row>
    <row r="663" spans="12:12" ht="18" customHeight="1" x14ac:dyDescent="0.2">
      <c r="L663" s="270"/>
    </row>
    <row r="664" spans="12:12" ht="18" customHeight="1" x14ac:dyDescent="0.2">
      <c r="L664" s="270"/>
    </row>
    <row r="665" spans="12:12" ht="18" customHeight="1" x14ac:dyDescent="0.2">
      <c r="L665" s="270"/>
    </row>
    <row r="666" spans="12:12" ht="18" customHeight="1" x14ac:dyDescent="0.2">
      <c r="L666" s="270"/>
    </row>
    <row r="667" spans="12:12" ht="18" customHeight="1" x14ac:dyDescent="0.2">
      <c r="L667" s="270"/>
    </row>
    <row r="668" spans="12:12" ht="18" customHeight="1" x14ac:dyDescent="0.2">
      <c r="L668" s="270"/>
    </row>
    <row r="669" spans="12:12" ht="18" customHeight="1" x14ac:dyDescent="0.2">
      <c r="L669" s="270"/>
    </row>
    <row r="670" spans="12:12" ht="18" customHeight="1" x14ac:dyDescent="0.2">
      <c r="L670" s="270"/>
    </row>
    <row r="671" spans="12:12" ht="18" customHeight="1" x14ac:dyDescent="0.2">
      <c r="L671" s="270"/>
    </row>
    <row r="672" spans="12:12" ht="18" customHeight="1" x14ac:dyDescent="0.2">
      <c r="L672" s="270"/>
    </row>
    <row r="673" spans="12:12" ht="18" customHeight="1" x14ac:dyDescent="0.2">
      <c r="L673" s="270"/>
    </row>
    <row r="674" spans="12:12" ht="18" customHeight="1" x14ac:dyDescent="0.2">
      <c r="L674" s="270"/>
    </row>
    <row r="675" spans="12:12" ht="18" customHeight="1" x14ac:dyDescent="0.2">
      <c r="L675" s="270"/>
    </row>
    <row r="676" spans="12:12" ht="18" customHeight="1" x14ac:dyDescent="0.2">
      <c r="L676" s="270"/>
    </row>
    <row r="677" spans="12:12" ht="18" customHeight="1" x14ac:dyDescent="0.2">
      <c r="L677" s="270"/>
    </row>
    <row r="678" spans="12:12" ht="18" customHeight="1" x14ac:dyDescent="0.2">
      <c r="L678" s="270"/>
    </row>
    <row r="679" spans="12:12" ht="18" customHeight="1" x14ac:dyDescent="0.2">
      <c r="L679" s="270"/>
    </row>
    <row r="680" spans="12:12" ht="18" customHeight="1" x14ac:dyDescent="0.2">
      <c r="L680" s="270"/>
    </row>
    <row r="681" spans="12:12" ht="18" customHeight="1" x14ac:dyDescent="0.2">
      <c r="L681" s="270"/>
    </row>
    <row r="682" spans="12:12" ht="18" customHeight="1" x14ac:dyDescent="0.2">
      <c r="L682" s="270"/>
    </row>
    <row r="683" spans="12:12" ht="18" customHeight="1" x14ac:dyDescent="0.2">
      <c r="L683" s="270"/>
    </row>
    <row r="684" spans="12:12" ht="18" customHeight="1" x14ac:dyDescent="0.2">
      <c r="L684" s="270"/>
    </row>
    <row r="685" spans="12:12" ht="18" customHeight="1" x14ac:dyDescent="0.2">
      <c r="L685" s="270"/>
    </row>
    <row r="686" spans="12:12" ht="18" customHeight="1" x14ac:dyDescent="0.2">
      <c r="L686" s="270"/>
    </row>
    <row r="687" spans="12:12" ht="18" customHeight="1" x14ac:dyDescent="0.2">
      <c r="L687" s="270"/>
    </row>
    <row r="688" spans="12:12" ht="18" customHeight="1" x14ac:dyDescent="0.2">
      <c r="L688" s="270"/>
    </row>
    <row r="689" spans="12:12" ht="18" customHeight="1" x14ac:dyDescent="0.2">
      <c r="L689" s="270"/>
    </row>
    <row r="690" spans="12:12" ht="18" customHeight="1" x14ac:dyDescent="0.2">
      <c r="L690" s="270"/>
    </row>
    <row r="691" spans="12:12" ht="18" customHeight="1" x14ac:dyDescent="0.2">
      <c r="L691" s="270"/>
    </row>
    <row r="692" spans="12:12" ht="18" customHeight="1" x14ac:dyDescent="0.2">
      <c r="L692" s="270"/>
    </row>
    <row r="693" spans="12:12" ht="18" customHeight="1" x14ac:dyDescent="0.2">
      <c r="L693" s="270"/>
    </row>
    <row r="694" spans="12:12" ht="18" customHeight="1" x14ac:dyDescent="0.2">
      <c r="L694" s="270"/>
    </row>
    <row r="695" spans="12:12" ht="18" customHeight="1" x14ac:dyDescent="0.2">
      <c r="L695" s="270"/>
    </row>
    <row r="696" spans="12:12" ht="18" customHeight="1" x14ac:dyDescent="0.2">
      <c r="L696" s="270"/>
    </row>
    <row r="697" spans="12:12" ht="18" customHeight="1" x14ac:dyDescent="0.2">
      <c r="L697" s="270"/>
    </row>
    <row r="698" spans="12:12" ht="18" customHeight="1" x14ac:dyDescent="0.2">
      <c r="L698" s="270"/>
    </row>
    <row r="699" spans="12:12" ht="18" customHeight="1" x14ac:dyDescent="0.2">
      <c r="L699" s="270"/>
    </row>
    <row r="700" spans="12:12" ht="18" customHeight="1" x14ac:dyDescent="0.2">
      <c r="L700" s="270"/>
    </row>
    <row r="701" spans="12:12" ht="18" customHeight="1" x14ac:dyDescent="0.2">
      <c r="L701" s="270"/>
    </row>
    <row r="702" spans="12:12" ht="18" customHeight="1" x14ac:dyDescent="0.2">
      <c r="L702" s="270"/>
    </row>
    <row r="703" spans="12:12" ht="18" customHeight="1" x14ac:dyDescent="0.2">
      <c r="L703" s="270"/>
    </row>
    <row r="704" spans="12:12" ht="18" customHeight="1" x14ac:dyDescent="0.2">
      <c r="L704" s="270"/>
    </row>
    <row r="705" spans="12:12" ht="18" customHeight="1" x14ac:dyDescent="0.2">
      <c r="L705" s="270"/>
    </row>
    <row r="706" spans="12:12" ht="18" customHeight="1" x14ac:dyDescent="0.2">
      <c r="L706" s="270"/>
    </row>
    <row r="707" spans="12:12" ht="18" customHeight="1" x14ac:dyDescent="0.2">
      <c r="L707" s="270"/>
    </row>
    <row r="708" spans="12:12" ht="18" customHeight="1" x14ac:dyDescent="0.2">
      <c r="L708" s="270"/>
    </row>
    <row r="709" spans="12:12" ht="18" customHeight="1" x14ac:dyDescent="0.2">
      <c r="L709" s="270"/>
    </row>
    <row r="710" spans="12:12" ht="18" customHeight="1" x14ac:dyDescent="0.2">
      <c r="L710" s="270"/>
    </row>
    <row r="711" spans="12:12" ht="18" customHeight="1" x14ac:dyDescent="0.2">
      <c r="L711" s="270"/>
    </row>
    <row r="712" spans="12:12" ht="18" customHeight="1" x14ac:dyDescent="0.2">
      <c r="L712" s="270"/>
    </row>
    <row r="713" spans="12:12" ht="18" customHeight="1" x14ac:dyDescent="0.2">
      <c r="L713" s="270"/>
    </row>
    <row r="714" spans="12:12" ht="18" customHeight="1" x14ac:dyDescent="0.2">
      <c r="L714" s="270"/>
    </row>
    <row r="715" spans="12:12" ht="18" customHeight="1" x14ac:dyDescent="0.2">
      <c r="L715" s="270"/>
    </row>
    <row r="716" spans="12:12" ht="18" customHeight="1" x14ac:dyDescent="0.2">
      <c r="L716" s="270"/>
    </row>
    <row r="717" spans="12:12" ht="18" customHeight="1" x14ac:dyDescent="0.2">
      <c r="L717" s="270"/>
    </row>
    <row r="718" spans="12:12" ht="18" customHeight="1" x14ac:dyDescent="0.2">
      <c r="L718" s="270"/>
    </row>
    <row r="719" spans="12:12" ht="18" customHeight="1" x14ac:dyDescent="0.2">
      <c r="L719" s="270"/>
    </row>
    <row r="720" spans="12:12" ht="18" customHeight="1" x14ac:dyDescent="0.2">
      <c r="L720" s="270"/>
    </row>
    <row r="721" spans="12:12" ht="18" customHeight="1" x14ac:dyDescent="0.2">
      <c r="L721" s="270"/>
    </row>
    <row r="722" spans="12:12" ht="18" customHeight="1" x14ac:dyDescent="0.2">
      <c r="L722" s="270"/>
    </row>
    <row r="723" spans="12:12" ht="18" customHeight="1" x14ac:dyDescent="0.2">
      <c r="L723" s="270"/>
    </row>
    <row r="724" spans="12:12" ht="18" customHeight="1" x14ac:dyDescent="0.2">
      <c r="L724" s="270"/>
    </row>
    <row r="725" spans="12:12" ht="18" customHeight="1" x14ac:dyDescent="0.2">
      <c r="L725" s="270"/>
    </row>
    <row r="726" spans="12:12" ht="18" customHeight="1" x14ac:dyDescent="0.2">
      <c r="L726" s="270"/>
    </row>
    <row r="727" spans="12:12" ht="18" customHeight="1" x14ac:dyDescent="0.2">
      <c r="L727" s="270"/>
    </row>
    <row r="728" spans="12:12" ht="18" customHeight="1" x14ac:dyDescent="0.2">
      <c r="L728" s="270"/>
    </row>
    <row r="729" spans="12:12" ht="18" customHeight="1" x14ac:dyDescent="0.2">
      <c r="L729" s="270"/>
    </row>
    <row r="730" spans="12:12" ht="18" customHeight="1" x14ac:dyDescent="0.2">
      <c r="L730" s="270"/>
    </row>
    <row r="731" spans="12:12" ht="18" customHeight="1" x14ac:dyDescent="0.2">
      <c r="L731" s="270"/>
    </row>
    <row r="732" spans="12:12" ht="18" customHeight="1" x14ac:dyDescent="0.2">
      <c r="L732" s="270"/>
    </row>
    <row r="733" spans="12:12" ht="18" customHeight="1" x14ac:dyDescent="0.2">
      <c r="L733" s="270"/>
    </row>
    <row r="734" spans="12:12" ht="18" customHeight="1" x14ac:dyDescent="0.2">
      <c r="L734" s="270"/>
    </row>
    <row r="735" spans="12:12" ht="18" customHeight="1" x14ac:dyDescent="0.2">
      <c r="L735" s="270"/>
    </row>
    <row r="736" spans="12:12" ht="18" customHeight="1" x14ac:dyDescent="0.2">
      <c r="L736" s="270"/>
    </row>
    <row r="737" spans="12:12" ht="18" customHeight="1" x14ac:dyDescent="0.2">
      <c r="L737" s="270"/>
    </row>
    <row r="738" spans="12:12" ht="18" customHeight="1" x14ac:dyDescent="0.2">
      <c r="L738" s="270"/>
    </row>
    <row r="739" spans="12:12" ht="18" customHeight="1" x14ac:dyDescent="0.2">
      <c r="L739" s="270"/>
    </row>
    <row r="740" spans="12:12" ht="18" customHeight="1" x14ac:dyDescent="0.2">
      <c r="L740" s="270"/>
    </row>
    <row r="741" spans="12:12" ht="18" customHeight="1" x14ac:dyDescent="0.2">
      <c r="L741" s="270"/>
    </row>
    <row r="742" spans="12:12" ht="18" customHeight="1" x14ac:dyDescent="0.2">
      <c r="L742" s="270"/>
    </row>
    <row r="743" spans="12:12" ht="18" customHeight="1" x14ac:dyDescent="0.2">
      <c r="L743" s="270"/>
    </row>
    <row r="744" spans="12:12" ht="18" customHeight="1" x14ac:dyDescent="0.2">
      <c r="L744" s="270"/>
    </row>
    <row r="745" spans="12:12" ht="18" customHeight="1" x14ac:dyDescent="0.2">
      <c r="L745" s="270"/>
    </row>
    <row r="746" spans="12:12" ht="18" customHeight="1" x14ac:dyDescent="0.2">
      <c r="L746" s="270"/>
    </row>
    <row r="747" spans="12:12" ht="18" customHeight="1" x14ac:dyDescent="0.2">
      <c r="L747" s="270"/>
    </row>
    <row r="748" spans="12:12" ht="18" customHeight="1" x14ac:dyDescent="0.2">
      <c r="L748" s="270"/>
    </row>
    <row r="749" spans="12:12" ht="18" customHeight="1" x14ac:dyDescent="0.2">
      <c r="L749" s="270"/>
    </row>
    <row r="750" spans="12:12" ht="18" customHeight="1" x14ac:dyDescent="0.2">
      <c r="L750" s="270"/>
    </row>
    <row r="751" spans="12:12" ht="18" customHeight="1" x14ac:dyDescent="0.2">
      <c r="L751" s="270"/>
    </row>
    <row r="752" spans="12:12" ht="18" customHeight="1" x14ac:dyDescent="0.2">
      <c r="L752" s="270"/>
    </row>
    <row r="753" spans="12:12" ht="18" customHeight="1" x14ac:dyDescent="0.2">
      <c r="L753" s="270"/>
    </row>
    <row r="754" spans="12:12" ht="18" customHeight="1" x14ac:dyDescent="0.2">
      <c r="L754" s="270"/>
    </row>
    <row r="755" spans="12:12" ht="18" customHeight="1" x14ac:dyDescent="0.2">
      <c r="L755" s="270"/>
    </row>
    <row r="756" spans="12:12" ht="18" customHeight="1" x14ac:dyDescent="0.2">
      <c r="L756" s="270"/>
    </row>
    <row r="757" spans="12:12" ht="18" customHeight="1" x14ac:dyDescent="0.2">
      <c r="L757" s="270"/>
    </row>
    <row r="758" spans="12:12" ht="18" customHeight="1" x14ac:dyDescent="0.2">
      <c r="L758" s="270"/>
    </row>
    <row r="759" spans="12:12" ht="18" customHeight="1" x14ac:dyDescent="0.2">
      <c r="L759" s="270"/>
    </row>
    <row r="760" spans="12:12" ht="18" customHeight="1" x14ac:dyDescent="0.2">
      <c r="L760" s="270"/>
    </row>
    <row r="761" spans="12:12" ht="18" customHeight="1" x14ac:dyDescent="0.2">
      <c r="L761" s="270"/>
    </row>
    <row r="762" spans="12:12" ht="18" customHeight="1" x14ac:dyDescent="0.2">
      <c r="L762" s="270"/>
    </row>
    <row r="763" spans="12:12" ht="18" customHeight="1" x14ac:dyDescent="0.2">
      <c r="L763" s="270"/>
    </row>
    <row r="764" spans="12:12" ht="18" customHeight="1" x14ac:dyDescent="0.2">
      <c r="L764" s="270"/>
    </row>
    <row r="765" spans="12:12" ht="18" customHeight="1" x14ac:dyDescent="0.2">
      <c r="L765" s="270"/>
    </row>
    <row r="766" spans="12:12" ht="18" customHeight="1" x14ac:dyDescent="0.2">
      <c r="L766" s="270"/>
    </row>
    <row r="767" spans="12:12" ht="18" customHeight="1" x14ac:dyDescent="0.2">
      <c r="L767" s="270"/>
    </row>
    <row r="768" spans="12:12" ht="18" customHeight="1" x14ac:dyDescent="0.2">
      <c r="L768" s="270"/>
    </row>
    <row r="769" spans="12:12" ht="18" customHeight="1" x14ac:dyDescent="0.2">
      <c r="L769" s="270"/>
    </row>
    <row r="770" spans="12:12" ht="18" customHeight="1" x14ac:dyDescent="0.2">
      <c r="L770" s="270"/>
    </row>
    <row r="771" spans="12:12" ht="18" customHeight="1" x14ac:dyDescent="0.2">
      <c r="L771" s="270"/>
    </row>
    <row r="772" spans="12:12" ht="18" customHeight="1" x14ac:dyDescent="0.2">
      <c r="L772" s="270"/>
    </row>
    <row r="773" spans="12:12" ht="18" customHeight="1" x14ac:dyDescent="0.2">
      <c r="L773" s="270"/>
    </row>
    <row r="774" spans="12:12" ht="18" customHeight="1" x14ac:dyDescent="0.2">
      <c r="L774" s="270"/>
    </row>
    <row r="775" spans="12:12" ht="18" customHeight="1" x14ac:dyDescent="0.2">
      <c r="L775" s="270"/>
    </row>
    <row r="776" spans="12:12" ht="18" customHeight="1" x14ac:dyDescent="0.2">
      <c r="L776" s="270"/>
    </row>
    <row r="777" spans="12:12" ht="18" customHeight="1" x14ac:dyDescent="0.2">
      <c r="L777" s="270"/>
    </row>
    <row r="778" spans="12:12" ht="18" customHeight="1" x14ac:dyDescent="0.2">
      <c r="L778" s="270"/>
    </row>
    <row r="779" spans="12:12" ht="18" customHeight="1" x14ac:dyDescent="0.2">
      <c r="L779" s="270"/>
    </row>
    <row r="780" spans="12:12" ht="18" customHeight="1" x14ac:dyDescent="0.2">
      <c r="L780" s="270"/>
    </row>
    <row r="781" spans="12:12" ht="18" customHeight="1" x14ac:dyDescent="0.2">
      <c r="L781" s="270"/>
    </row>
    <row r="782" spans="12:12" ht="18" customHeight="1" x14ac:dyDescent="0.2">
      <c r="L782" s="270"/>
    </row>
    <row r="783" spans="12:12" ht="18" customHeight="1" x14ac:dyDescent="0.2">
      <c r="L783" s="270"/>
    </row>
    <row r="784" spans="12:12" ht="18" customHeight="1" x14ac:dyDescent="0.2">
      <c r="L784" s="270"/>
    </row>
    <row r="785" spans="12:12" ht="18" customHeight="1" x14ac:dyDescent="0.2">
      <c r="L785" s="270"/>
    </row>
    <row r="786" spans="12:12" ht="18" customHeight="1" x14ac:dyDescent="0.2">
      <c r="L786" s="270"/>
    </row>
    <row r="787" spans="12:12" ht="18" customHeight="1" x14ac:dyDescent="0.2">
      <c r="L787" s="270"/>
    </row>
    <row r="788" spans="12:12" ht="18" customHeight="1" x14ac:dyDescent="0.2">
      <c r="L788" s="270"/>
    </row>
    <row r="789" spans="12:12" ht="18" customHeight="1" x14ac:dyDescent="0.2">
      <c r="L789" s="270"/>
    </row>
    <row r="790" spans="12:12" ht="18" customHeight="1" x14ac:dyDescent="0.2">
      <c r="L790" s="270"/>
    </row>
    <row r="791" spans="12:12" ht="18" customHeight="1" x14ac:dyDescent="0.2">
      <c r="L791" s="270"/>
    </row>
    <row r="792" spans="12:12" ht="18" customHeight="1" x14ac:dyDescent="0.2">
      <c r="L792" s="270"/>
    </row>
    <row r="793" spans="12:12" ht="18" customHeight="1" x14ac:dyDescent="0.2">
      <c r="L793" s="270"/>
    </row>
    <row r="794" spans="12:12" ht="18" customHeight="1" x14ac:dyDescent="0.2">
      <c r="L794" s="270"/>
    </row>
    <row r="795" spans="12:12" ht="18" customHeight="1" x14ac:dyDescent="0.2">
      <c r="L795" s="270"/>
    </row>
    <row r="796" spans="12:12" ht="18" customHeight="1" x14ac:dyDescent="0.2">
      <c r="L796" s="270"/>
    </row>
    <row r="797" spans="12:12" ht="18" customHeight="1" x14ac:dyDescent="0.2">
      <c r="L797" s="270"/>
    </row>
    <row r="798" spans="12:12" ht="18" customHeight="1" x14ac:dyDescent="0.2">
      <c r="L798" s="270"/>
    </row>
    <row r="799" spans="12:12" ht="18" customHeight="1" x14ac:dyDescent="0.2">
      <c r="L799" s="270"/>
    </row>
    <row r="800" spans="12:12" ht="18" customHeight="1" x14ac:dyDescent="0.2">
      <c r="L800" s="270"/>
    </row>
    <row r="801" spans="12:12" ht="18" customHeight="1" x14ac:dyDescent="0.2">
      <c r="L801" s="270"/>
    </row>
    <row r="802" spans="12:12" ht="18" customHeight="1" x14ac:dyDescent="0.2">
      <c r="L802" s="270"/>
    </row>
    <row r="803" spans="12:12" ht="18" customHeight="1" x14ac:dyDescent="0.2">
      <c r="L803" s="270"/>
    </row>
    <row r="804" spans="12:12" ht="18" customHeight="1" x14ac:dyDescent="0.2">
      <c r="L804" s="270"/>
    </row>
    <row r="805" spans="12:12" ht="18" customHeight="1" x14ac:dyDescent="0.2">
      <c r="L805" s="270"/>
    </row>
    <row r="806" spans="12:12" ht="18" customHeight="1" x14ac:dyDescent="0.2">
      <c r="L806" s="270"/>
    </row>
    <row r="807" spans="12:12" ht="18" customHeight="1" x14ac:dyDescent="0.2">
      <c r="L807" s="270"/>
    </row>
    <row r="808" spans="12:12" ht="18" customHeight="1" x14ac:dyDescent="0.2">
      <c r="L808" s="270"/>
    </row>
    <row r="809" spans="12:12" ht="18" customHeight="1" x14ac:dyDescent="0.2">
      <c r="L809" s="270"/>
    </row>
    <row r="810" spans="12:12" ht="18" customHeight="1" x14ac:dyDescent="0.2">
      <c r="L810" s="270"/>
    </row>
    <row r="811" spans="12:12" ht="18" customHeight="1" x14ac:dyDescent="0.2">
      <c r="L811" s="270"/>
    </row>
    <row r="812" spans="12:12" ht="18" customHeight="1" x14ac:dyDescent="0.2">
      <c r="L812" s="270"/>
    </row>
    <row r="813" spans="12:12" ht="18" customHeight="1" x14ac:dyDescent="0.2">
      <c r="L813" s="270"/>
    </row>
    <row r="814" spans="12:12" ht="18" customHeight="1" x14ac:dyDescent="0.2">
      <c r="L814" s="270"/>
    </row>
    <row r="815" spans="12:12" ht="18" customHeight="1" x14ac:dyDescent="0.2">
      <c r="L815" s="270"/>
    </row>
    <row r="816" spans="12:12" ht="18" customHeight="1" x14ac:dyDescent="0.2">
      <c r="L816" s="270"/>
    </row>
    <row r="817" spans="12:12" ht="18" customHeight="1" x14ac:dyDescent="0.2">
      <c r="L817" s="270"/>
    </row>
    <row r="818" spans="12:12" ht="18" customHeight="1" x14ac:dyDescent="0.2">
      <c r="L818" s="270"/>
    </row>
    <row r="819" spans="12:12" ht="18" customHeight="1" x14ac:dyDescent="0.2">
      <c r="L819" s="270"/>
    </row>
    <row r="820" spans="12:12" ht="18" customHeight="1" x14ac:dyDescent="0.2">
      <c r="L820" s="270"/>
    </row>
    <row r="821" spans="12:12" ht="18" customHeight="1" x14ac:dyDescent="0.2">
      <c r="L821" s="270"/>
    </row>
    <row r="822" spans="12:12" ht="18" customHeight="1" x14ac:dyDescent="0.2">
      <c r="L822" s="270"/>
    </row>
    <row r="823" spans="12:12" ht="18" customHeight="1" x14ac:dyDescent="0.2">
      <c r="L823" s="270"/>
    </row>
    <row r="824" spans="12:12" ht="18" customHeight="1" x14ac:dyDescent="0.2">
      <c r="L824" s="270"/>
    </row>
    <row r="825" spans="12:12" ht="18" customHeight="1" x14ac:dyDescent="0.2">
      <c r="L825" s="270"/>
    </row>
    <row r="826" spans="12:12" ht="18" customHeight="1" x14ac:dyDescent="0.2">
      <c r="L826" s="270"/>
    </row>
    <row r="827" spans="12:12" ht="18" customHeight="1" x14ac:dyDescent="0.2">
      <c r="L827" s="270"/>
    </row>
    <row r="828" spans="12:12" ht="18" customHeight="1" x14ac:dyDescent="0.2">
      <c r="L828" s="270"/>
    </row>
    <row r="829" spans="12:12" ht="18" customHeight="1" x14ac:dyDescent="0.2">
      <c r="L829" s="270"/>
    </row>
    <row r="830" spans="12:12" ht="18" customHeight="1" x14ac:dyDescent="0.2">
      <c r="L830" s="270"/>
    </row>
    <row r="831" spans="12:12" ht="18" customHeight="1" x14ac:dyDescent="0.2">
      <c r="L831" s="270"/>
    </row>
    <row r="832" spans="12:12" ht="18" customHeight="1" x14ac:dyDescent="0.2">
      <c r="L832" s="270"/>
    </row>
    <row r="833" spans="12:12" ht="18" customHeight="1" x14ac:dyDescent="0.2">
      <c r="L833" s="270"/>
    </row>
    <row r="834" spans="12:12" ht="18" customHeight="1" x14ac:dyDescent="0.2">
      <c r="L834" s="270"/>
    </row>
    <row r="835" spans="12:12" ht="18" customHeight="1" x14ac:dyDescent="0.2">
      <c r="L835" s="270"/>
    </row>
    <row r="836" spans="12:12" ht="18" customHeight="1" x14ac:dyDescent="0.2">
      <c r="L836" s="270"/>
    </row>
    <row r="837" spans="12:12" ht="18" customHeight="1" x14ac:dyDescent="0.2">
      <c r="L837" s="270"/>
    </row>
    <row r="838" spans="12:12" ht="18" customHeight="1" x14ac:dyDescent="0.2">
      <c r="L838" s="270"/>
    </row>
    <row r="839" spans="12:12" ht="18" customHeight="1" x14ac:dyDescent="0.2">
      <c r="L839" s="270"/>
    </row>
    <row r="840" spans="12:12" ht="18" customHeight="1" x14ac:dyDescent="0.2">
      <c r="L840" s="270"/>
    </row>
    <row r="841" spans="12:12" ht="18" customHeight="1" x14ac:dyDescent="0.2">
      <c r="L841" s="270"/>
    </row>
    <row r="842" spans="12:12" ht="18" customHeight="1" x14ac:dyDescent="0.2">
      <c r="L842" s="270"/>
    </row>
    <row r="843" spans="12:12" ht="18" customHeight="1" x14ac:dyDescent="0.2">
      <c r="L843" s="270"/>
    </row>
    <row r="844" spans="12:12" ht="18" customHeight="1" x14ac:dyDescent="0.2">
      <c r="L844" s="270"/>
    </row>
    <row r="845" spans="12:12" ht="18" customHeight="1" x14ac:dyDescent="0.2">
      <c r="L845" s="270"/>
    </row>
    <row r="846" spans="12:12" ht="18" customHeight="1" x14ac:dyDescent="0.2">
      <c r="L846" s="270"/>
    </row>
    <row r="847" spans="12:12" ht="18" customHeight="1" x14ac:dyDescent="0.2">
      <c r="L847" s="270"/>
    </row>
    <row r="848" spans="12:12" ht="18" customHeight="1" x14ac:dyDescent="0.2">
      <c r="L848" s="270"/>
    </row>
    <row r="849" spans="12:12" ht="18" customHeight="1" x14ac:dyDescent="0.2">
      <c r="L849" s="270"/>
    </row>
    <row r="850" spans="12:12" ht="18" customHeight="1" x14ac:dyDescent="0.2">
      <c r="L850" s="270"/>
    </row>
    <row r="851" spans="12:12" ht="18" customHeight="1" x14ac:dyDescent="0.2">
      <c r="L851" s="270"/>
    </row>
    <row r="852" spans="12:12" ht="18" customHeight="1" x14ac:dyDescent="0.2">
      <c r="L852" s="270"/>
    </row>
    <row r="853" spans="12:12" ht="18" customHeight="1" x14ac:dyDescent="0.2">
      <c r="L853" s="270"/>
    </row>
    <row r="854" spans="12:12" ht="18" customHeight="1" x14ac:dyDescent="0.2">
      <c r="L854" s="270"/>
    </row>
    <row r="855" spans="12:12" ht="18" customHeight="1" x14ac:dyDescent="0.2">
      <c r="L855" s="270"/>
    </row>
    <row r="856" spans="12:12" ht="18" customHeight="1" x14ac:dyDescent="0.2">
      <c r="L856" s="270"/>
    </row>
    <row r="857" spans="12:12" ht="18" customHeight="1" x14ac:dyDescent="0.2">
      <c r="L857" s="270"/>
    </row>
    <row r="858" spans="12:12" ht="18" customHeight="1" x14ac:dyDescent="0.2">
      <c r="L858" s="270"/>
    </row>
    <row r="859" spans="12:12" ht="18" customHeight="1" x14ac:dyDescent="0.2">
      <c r="L859" s="270"/>
    </row>
    <row r="860" spans="12:12" ht="18" customHeight="1" x14ac:dyDescent="0.2">
      <c r="L860" s="270"/>
    </row>
    <row r="861" spans="12:12" ht="18" customHeight="1" x14ac:dyDescent="0.2">
      <c r="L861" s="270"/>
    </row>
    <row r="862" spans="12:12" ht="18" customHeight="1" x14ac:dyDescent="0.2">
      <c r="L862" s="270"/>
    </row>
    <row r="863" spans="12:12" ht="18" customHeight="1" x14ac:dyDescent="0.2">
      <c r="L863" s="270"/>
    </row>
    <row r="864" spans="12:12" ht="18" customHeight="1" x14ac:dyDescent="0.2">
      <c r="L864" s="270"/>
    </row>
    <row r="865" spans="12:12" ht="18" customHeight="1" x14ac:dyDescent="0.2">
      <c r="L865" s="270"/>
    </row>
    <row r="866" spans="12:12" ht="18" customHeight="1" x14ac:dyDescent="0.2">
      <c r="L866" s="270"/>
    </row>
    <row r="867" spans="12:12" ht="18" customHeight="1" x14ac:dyDescent="0.2">
      <c r="L867" s="270"/>
    </row>
    <row r="868" spans="12:12" ht="18" customHeight="1" x14ac:dyDescent="0.2">
      <c r="L868" s="270"/>
    </row>
    <row r="869" spans="12:12" ht="18" customHeight="1" x14ac:dyDescent="0.2">
      <c r="L869" s="270"/>
    </row>
    <row r="870" spans="12:12" ht="18" customHeight="1" x14ac:dyDescent="0.2">
      <c r="L870" s="270"/>
    </row>
    <row r="871" spans="12:12" ht="18" customHeight="1" x14ac:dyDescent="0.2">
      <c r="L871" s="270"/>
    </row>
    <row r="872" spans="12:12" ht="18" customHeight="1" x14ac:dyDescent="0.2">
      <c r="L872" s="270"/>
    </row>
    <row r="873" spans="12:12" ht="18" customHeight="1" x14ac:dyDescent="0.2">
      <c r="L873" s="270"/>
    </row>
    <row r="874" spans="12:12" ht="18" customHeight="1" x14ac:dyDescent="0.2">
      <c r="L874" s="270"/>
    </row>
    <row r="875" spans="12:12" ht="18" customHeight="1" x14ac:dyDescent="0.2">
      <c r="L875" s="270"/>
    </row>
    <row r="876" spans="12:12" ht="18" customHeight="1" x14ac:dyDescent="0.2">
      <c r="L876" s="270"/>
    </row>
    <row r="877" spans="12:12" ht="18" customHeight="1" x14ac:dyDescent="0.2">
      <c r="L877" s="270"/>
    </row>
    <row r="878" spans="12:12" ht="18" customHeight="1" x14ac:dyDescent="0.2">
      <c r="L878" s="270"/>
    </row>
    <row r="879" spans="12:12" ht="18" customHeight="1" x14ac:dyDescent="0.2">
      <c r="L879" s="270"/>
    </row>
    <row r="880" spans="12:12" ht="18" customHeight="1" x14ac:dyDescent="0.2">
      <c r="L880" s="270"/>
    </row>
    <row r="881" spans="12:12" ht="18" customHeight="1" x14ac:dyDescent="0.2">
      <c r="L881" s="270"/>
    </row>
    <row r="882" spans="12:12" ht="18" customHeight="1" x14ac:dyDescent="0.2">
      <c r="L882" s="270"/>
    </row>
    <row r="883" spans="12:12" ht="18" customHeight="1" x14ac:dyDescent="0.2">
      <c r="L883" s="270"/>
    </row>
    <row r="884" spans="12:12" ht="18" customHeight="1" x14ac:dyDescent="0.2">
      <c r="L884" s="270"/>
    </row>
    <row r="885" spans="12:12" ht="18" customHeight="1" x14ac:dyDescent="0.2">
      <c r="L885" s="270"/>
    </row>
    <row r="886" spans="12:12" ht="18" customHeight="1" x14ac:dyDescent="0.2">
      <c r="L886" s="270"/>
    </row>
    <row r="887" spans="12:12" ht="18" customHeight="1" x14ac:dyDescent="0.2">
      <c r="L887" s="270"/>
    </row>
    <row r="888" spans="12:12" ht="18" customHeight="1" x14ac:dyDescent="0.2">
      <c r="L888" s="270"/>
    </row>
    <row r="889" spans="12:12" ht="18" customHeight="1" x14ac:dyDescent="0.2">
      <c r="L889" s="270"/>
    </row>
    <row r="890" spans="12:12" ht="18" customHeight="1" x14ac:dyDescent="0.2">
      <c r="L890" s="270"/>
    </row>
    <row r="891" spans="12:12" ht="18" customHeight="1" x14ac:dyDescent="0.2">
      <c r="L891" s="270"/>
    </row>
    <row r="892" spans="12:12" ht="18" customHeight="1" x14ac:dyDescent="0.2">
      <c r="L892" s="270"/>
    </row>
    <row r="893" spans="12:12" ht="18" customHeight="1" x14ac:dyDescent="0.2">
      <c r="L893" s="270"/>
    </row>
    <row r="894" spans="12:12" ht="18" customHeight="1" x14ac:dyDescent="0.2">
      <c r="L894" s="270"/>
    </row>
    <row r="895" spans="12:12" ht="18" customHeight="1" x14ac:dyDescent="0.2">
      <c r="L895" s="270"/>
    </row>
    <row r="896" spans="12:12" ht="18" customHeight="1" x14ac:dyDescent="0.2">
      <c r="L896" s="270"/>
    </row>
    <row r="897" spans="12:12" ht="18" customHeight="1" x14ac:dyDescent="0.2">
      <c r="L897" s="270"/>
    </row>
    <row r="898" spans="12:12" ht="18" customHeight="1" x14ac:dyDescent="0.2">
      <c r="L898" s="270"/>
    </row>
    <row r="899" spans="12:12" ht="18" customHeight="1" x14ac:dyDescent="0.2">
      <c r="L899" s="270"/>
    </row>
    <row r="900" spans="12:12" ht="18" customHeight="1" x14ac:dyDescent="0.2">
      <c r="L900" s="270"/>
    </row>
    <row r="901" spans="12:12" ht="18" customHeight="1" x14ac:dyDescent="0.2">
      <c r="L901" s="270"/>
    </row>
    <row r="902" spans="12:12" ht="18" customHeight="1" x14ac:dyDescent="0.2">
      <c r="L902" s="270"/>
    </row>
    <row r="903" spans="12:12" ht="18" customHeight="1" x14ac:dyDescent="0.2">
      <c r="L903" s="270"/>
    </row>
    <row r="904" spans="12:12" ht="18" customHeight="1" x14ac:dyDescent="0.2">
      <c r="L904" s="270"/>
    </row>
    <row r="905" spans="12:12" ht="18" customHeight="1" x14ac:dyDescent="0.2">
      <c r="L905" s="270"/>
    </row>
    <row r="906" spans="12:12" ht="18" customHeight="1" x14ac:dyDescent="0.2">
      <c r="L906" s="270"/>
    </row>
    <row r="907" spans="12:12" ht="18" customHeight="1" x14ac:dyDescent="0.2">
      <c r="L907" s="270"/>
    </row>
    <row r="908" spans="12:12" ht="18" customHeight="1" x14ac:dyDescent="0.2">
      <c r="L908" s="270"/>
    </row>
    <row r="909" spans="12:12" ht="18" customHeight="1" x14ac:dyDescent="0.2">
      <c r="L909" s="270"/>
    </row>
    <row r="910" spans="12:12" ht="18" customHeight="1" x14ac:dyDescent="0.2">
      <c r="L910" s="270"/>
    </row>
    <row r="911" spans="12:12" ht="18" customHeight="1" x14ac:dyDescent="0.2">
      <c r="L911" s="270"/>
    </row>
    <row r="912" spans="12:12" ht="18" customHeight="1" x14ac:dyDescent="0.2">
      <c r="L912" s="270"/>
    </row>
    <row r="913" spans="12:12" ht="18" customHeight="1" x14ac:dyDescent="0.2">
      <c r="L913" s="270"/>
    </row>
    <row r="914" spans="12:12" ht="18" customHeight="1" x14ac:dyDescent="0.2">
      <c r="L914" s="270"/>
    </row>
    <row r="915" spans="12:12" ht="18" customHeight="1" x14ac:dyDescent="0.2">
      <c r="L915" s="270"/>
    </row>
    <row r="916" spans="12:12" ht="18" customHeight="1" x14ac:dyDescent="0.2">
      <c r="L916" s="270"/>
    </row>
    <row r="917" spans="12:12" ht="18" customHeight="1" x14ac:dyDescent="0.2">
      <c r="L917" s="270"/>
    </row>
    <row r="918" spans="12:12" ht="18" customHeight="1" x14ac:dyDescent="0.2">
      <c r="L918" s="270"/>
    </row>
    <row r="919" spans="12:12" ht="18" customHeight="1" x14ac:dyDescent="0.2">
      <c r="L919" s="270"/>
    </row>
    <row r="920" spans="12:12" ht="18" customHeight="1" x14ac:dyDescent="0.2">
      <c r="L920" s="270"/>
    </row>
    <row r="921" spans="12:12" ht="18" customHeight="1" x14ac:dyDescent="0.2">
      <c r="L921" s="270"/>
    </row>
    <row r="922" spans="12:12" ht="18" customHeight="1" x14ac:dyDescent="0.2">
      <c r="L922" s="270"/>
    </row>
    <row r="923" spans="12:12" ht="18" customHeight="1" x14ac:dyDescent="0.2">
      <c r="L923" s="270"/>
    </row>
    <row r="924" spans="12:12" ht="18" customHeight="1" x14ac:dyDescent="0.2">
      <c r="L924" s="270"/>
    </row>
    <row r="925" spans="12:12" ht="18" customHeight="1" x14ac:dyDescent="0.2">
      <c r="L925" s="270"/>
    </row>
    <row r="926" spans="12:12" ht="18" customHeight="1" x14ac:dyDescent="0.2">
      <c r="L926" s="270"/>
    </row>
    <row r="927" spans="12:12" ht="18" customHeight="1" x14ac:dyDescent="0.2">
      <c r="L927" s="270"/>
    </row>
    <row r="928" spans="12:12" ht="18" customHeight="1" x14ac:dyDescent="0.2">
      <c r="L928" s="270"/>
    </row>
    <row r="929" spans="12:12" ht="18" customHeight="1" x14ac:dyDescent="0.2">
      <c r="L929" s="270"/>
    </row>
    <row r="930" spans="12:12" ht="18" customHeight="1" x14ac:dyDescent="0.2">
      <c r="L930" s="270"/>
    </row>
    <row r="931" spans="12:12" ht="18" customHeight="1" x14ac:dyDescent="0.2">
      <c r="L931" s="270"/>
    </row>
    <row r="932" spans="12:12" ht="18" customHeight="1" x14ac:dyDescent="0.2">
      <c r="L932" s="270"/>
    </row>
    <row r="933" spans="12:12" ht="18" customHeight="1" x14ac:dyDescent="0.2">
      <c r="L933" s="270"/>
    </row>
    <row r="934" spans="12:12" ht="18" customHeight="1" x14ac:dyDescent="0.2">
      <c r="L934" s="270"/>
    </row>
    <row r="935" spans="12:12" ht="18" customHeight="1" x14ac:dyDescent="0.2">
      <c r="L935" s="270"/>
    </row>
    <row r="936" spans="12:12" ht="18" customHeight="1" x14ac:dyDescent="0.2">
      <c r="L936" s="270"/>
    </row>
    <row r="937" spans="12:12" ht="18" customHeight="1" x14ac:dyDescent="0.2">
      <c r="L937" s="270"/>
    </row>
    <row r="938" spans="12:12" ht="18" customHeight="1" x14ac:dyDescent="0.2">
      <c r="L938" s="270"/>
    </row>
    <row r="939" spans="12:12" ht="18" customHeight="1" x14ac:dyDescent="0.2">
      <c r="L939" s="270"/>
    </row>
    <row r="940" spans="12:12" ht="18" customHeight="1" x14ac:dyDescent="0.2">
      <c r="L940" s="270"/>
    </row>
    <row r="941" spans="12:12" ht="18" customHeight="1" x14ac:dyDescent="0.2">
      <c r="L941" s="270"/>
    </row>
    <row r="942" spans="12:12" ht="18" customHeight="1" x14ac:dyDescent="0.2">
      <c r="L942" s="270"/>
    </row>
    <row r="943" spans="12:12" ht="18" customHeight="1" x14ac:dyDescent="0.2">
      <c r="L943" s="270"/>
    </row>
    <row r="944" spans="12:12" ht="18" customHeight="1" x14ac:dyDescent="0.2">
      <c r="L944" s="270"/>
    </row>
    <row r="945" spans="12:12" ht="18" customHeight="1" x14ac:dyDescent="0.2">
      <c r="L945" s="270"/>
    </row>
    <row r="946" spans="12:12" ht="18" customHeight="1" x14ac:dyDescent="0.2">
      <c r="L946" s="270"/>
    </row>
    <row r="947" spans="12:12" ht="18" customHeight="1" x14ac:dyDescent="0.2">
      <c r="L947" s="270"/>
    </row>
    <row r="948" spans="12:12" ht="18" customHeight="1" x14ac:dyDescent="0.2">
      <c r="L948" s="270"/>
    </row>
    <row r="949" spans="12:12" ht="18" customHeight="1" x14ac:dyDescent="0.2">
      <c r="L949" s="270"/>
    </row>
    <row r="950" spans="12:12" ht="18" customHeight="1" x14ac:dyDescent="0.2">
      <c r="L950" s="270"/>
    </row>
    <row r="951" spans="12:12" ht="18" customHeight="1" x14ac:dyDescent="0.2">
      <c r="L951" s="270"/>
    </row>
    <row r="952" spans="12:12" ht="18" customHeight="1" x14ac:dyDescent="0.2">
      <c r="L952" s="270"/>
    </row>
    <row r="953" spans="12:12" ht="18" customHeight="1" x14ac:dyDescent="0.2">
      <c r="L953" s="270"/>
    </row>
    <row r="954" spans="12:12" ht="18" customHeight="1" x14ac:dyDescent="0.2">
      <c r="L954" s="270"/>
    </row>
    <row r="955" spans="12:12" ht="18" customHeight="1" x14ac:dyDescent="0.2">
      <c r="L955" s="270"/>
    </row>
    <row r="956" spans="12:12" ht="18" customHeight="1" x14ac:dyDescent="0.2">
      <c r="L956" s="270"/>
    </row>
    <row r="957" spans="12:12" ht="18" customHeight="1" x14ac:dyDescent="0.2">
      <c r="L957" s="270"/>
    </row>
    <row r="958" spans="12:12" ht="18" customHeight="1" x14ac:dyDescent="0.2">
      <c r="L958" s="270"/>
    </row>
    <row r="959" spans="12:12" ht="18" customHeight="1" x14ac:dyDescent="0.2">
      <c r="L959" s="270"/>
    </row>
    <row r="960" spans="12:12" ht="18" customHeight="1" x14ac:dyDescent="0.2">
      <c r="L960" s="270"/>
    </row>
    <row r="961" spans="12:12" ht="18" customHeight="1" x14ac:dyDescent="0.2">
      <c r="L961" s="270"/>
    </row>
    <row r="962" spans="12:12" ht="18" customHeight="1" x14ac:dyDescent="0.2">
      <c r="L962" s="270"/>
    </row>
    <row r="963" spans="12:12" ht="18" customHeight="1" x14ac:dyDescent="0.2">
      <c r="L963" s="270"/>
    </row>
    <row r="964" spans="12:12" ht="18" customHeight="1" x14ac:dyDescent="0.2">
      <c r="L964" s="270"/>
    </row>
    <row r="965" spans="12:12" ht="18" customHeight="1" x14ac:dyDescent="0.2">
      <c r="L965" s="270"/>
    </row>
    <row r="966" spans="12:12" ht="18" customHeight="1" x14ac:dyDescent="0.2">
      <c r="L966" s="270"/>
    </row>
    <row r="967" spans="12:12" ht="18" customHeight="1" x14ac:dyDescent="0.2">
      <c r="L967" s="270"/>
    </row>
    <row r="968" spans="12:12" ht="18" customHeight="1" x14ac:dyDescent="0.2">
      <c r="L968" s="270"/>
    </row>
    <row r="969" spans="12:12" ht="18" customHeight="1" x14ac:dyDescent="0.2">
      <c r="L969" s="270"/>
    </row>
    <row r="970" spans="12:12" ht="18" customHeight="1" x14ac:dyDescent="0.2">
      <c r="L970" s="270"/>
    </row>
    <row r="971" spans="12:12" ht="18" customHeight="1" x14ac:dyDescent="0.2">
      <c r="L971" s="270"/>
    </row>
    <row r="972" spans="12:12" ht="18" customHeight="1" x14ac:dyDescent="0.2">
      <c r="L972" s="270"/>
    </row>
    <row r="973" spans="12:12" ht="18" customHeight="1" x14ac:dyDescent="0.2">
      <c r="L973" s="270"/>
    </row>
    <row r="974" spans="12:12" ht="18" customHeight="1" x14ac:dyDescent="0.2">
      <c r="L974" s="270"/>
    </row>
    <row r="975" spans="12:12" ht="18" customHeight="1" x14ac:dyDescent="0.2">
      <c r="L975" s="270"/>
    </row>
    <row r="976" spans="12:12" ht="18" customHeight="1" x14ac:dyDescent="0.2">
      <c r="L976" s="270"/>
    </row>
    <row r="977" spans="12:12" ht="18" customHeight="1" x14ac:dyDescent="0.2">
      <c r="L977" s="270"/>
    </row>
    <row r="978" spans="12:12" ht="18" customHeight="1" x14ac:dyDescent="0.2">
      <c r="L978" s="270"/>
    </row>
    <row r="979" spans="12:12" ht="18" customHeight="1" x14ac:dyDescent="0.2">
      <c r="L979" s="270"/>
    </row>
    <row r="980" spans="12:12" ht="18" customHeight="1" x14ac:dyDescent="0.2">
      <c r="L980" s="270"/>
    </row>
    <row r="981" spans="12:12" ht="18" customHeight="1" x14ac:dyDescent="0.2">
      <c r="L981" s="270"/>
    </row>
    <row r="982" spans="12:12" ht="18" customHeight="1" x14ac:dyDescent="0.2">
      <c r="L982" s="270"/>
    </row>
    <row r="983" spans="12:12" ht="18" customHeight="1" x14ac:dyDescent="0.2">
      <c r="L983" s="270"/>
    </row>
    <row r="984" spans="12:12" ht="18" customHeight="1" x14ac:dyDescent="0.2">
      <c r="L984" s="270"/>
    </row>
    <row r="985" spans="12:12" ht="18" customHeight="1" x14ac:dyDescent="0.2">
      <c r="L985" s="270"/>
    </row>
    <row r="986" spans="12:12" ht="18" customHeight="1" x14ac:dyDescent="0.2">
      <c r="L986" s="270"/>
    </row>
    <row r="987" spans="12:12" ht="18" customHeight="1" x14ac:dyDescent="0.2">
      <c r="L987" s="270"/>
    </row>
    <row r="988" spans="12:12" ht="18" customHeight="1" x14ac:dyDescent="0.2">
      <c r="L988" s="270"/>
    </row>
    <row r="989" spans="12:12" ht="18" customHeight="1" x14ac:dyDescent="0.2">
      <c r="L989" s="270"/>
    </row>
    <row r="990" spans="12:12" ht="18" customHeight="1" x14ac:dyDescent="0.2">
      <c r="L990" s="270"/>
    </row>
    <row r="991" spans="12:12" ht="18" customHeight="1" x14ac:dyDescent="0.2">
      <c r="L991" s="270"/>
    </row>
    <row r="992" spans="12:12" ht="18" customHeight="1" x14ac:dyDescent="0.2">
      <c r="L992" s="270"/>
    </row>
    <row r="993" spans="12:12" ht="18" customHeight="1" x14ac:dyDescent="0.2">
      <c r="L993" s="270"/>
    </row>
    <row r="994" spans="12:12" ht="18" customHeight="1" x14ac:dyDescent="0.2">
      <c r="L994" s="270"/>
    </row>
    <row r="995" spans="12:12" ht="18" customHeight="1" x14ac:dyDescent="0.2">
      <c r="L995" s="270"/>
    </row>
    <row r="996" spans="12:12" ht="18" customHeight="1" x14ac:dyDescent="0.2">
      <c r="L996" s="270"/>
    </row>
    <row r="997" spans="12:12" ht="18" customHeight="1" x14ac:dyDescent="0.2">
      <c r="L997" s="270"/>
    </row>
    <row r="998" spans="12:12" ht="18" customHeight="1" x14ac:dyDescent="0.2">
      <c r="L998" s="270"/>
    </row>
    <row r="999" spans="12:12" ht="18" customHeight="1" x14ac:dyDescent="0.2">
      <c r="L999" s="270"/>
    </row>
    <row r="1000" spans="12:12" ht="18" customHeight="1" x14ac:dyDescent="0.2">
      <c r="L1000" s="270"/>
    </row>
    <row r="1001" spans="12:12" ht="18" customHeight="1" x14ac:dyDescent="0.2">
      <c r="L1001" s="270"/>
    </row>
    <row r="1002" spans="12:12" ht="18" customHeight="1" x14ac:dyDescent="0.2">
      <c r="L1002" s="270"/>
    </row>
    <row r="1003" spans="12:12" ht="18" customHeight="1" x14ac:dyDescent="0.2">
      <c r="L1003" s="270"/>
    </row>
    <row r="1004" spans="12:12" ht="18" customHeight="1" x14ac:dyDescent="0.2">
      <c r="L1004" s="270"/>
    </row>
    <row r="1005" spans="12:12" ht="18" customHeight="1" x14ac:dyDescent="0.2">
      <c r="L1005" s="270"/>
    </row>
    <row r="1006" spans="12:12" ht="18" customHeight="1" x14ac:dyDescent="0.2">
      <c r="L1006" s="270"/>
    </row>
    <row r="1007" spans="12:12" ht="18" customHeight="1" x14ac:dyDescent="0.2">
      <c r="L1007" s="270"/>
    </row>
    <row r="1008" spans="12:12" ht="18" customHeight="1" x14ac:dyDescent="0.2">
      <c r="L1008" s="270"/>
    </row>
    <row r="1009" spans="12:12" ht="18" customHeight="1" x14ac:dyDescent="0.2">
      <c r="L1009" s="270"/>
    </row>
    <row r="1010" spans="12:12" ht="18" customHeight="1" x14ac:dyDescent="0.2">
      <c r="L1010" s="270"/>
    </row>
    <row r="1011" spans="12:12" ht="18" customHeight="1" x14ac:dyDescent="0.2">
      <c r="L1011" s="270"/>
    </row>
    <row r="1012" spans="12:12" ht="18" customHeight="1" x14ac:dyDescent="0.2">
      <c r="L1012" s="270"/>
    </row>
    <row r="1013" spans="12:12" ht="18" customHeight="1" x14ac:dyDescent="0.2">
      <c r="L1013" s="270"/>
    </row>
    <row r="1014" spans="12:12" ht="18" customHeight="1" x14ac:dyDescent="0.2">
      <c r="L1014" s="270"/>
    </row>
    <row r="1015" spans="12:12" ht="18" customHeight="1" x14ac:dyDescent="0.2">
      <c r="L1015" s="270"/>
    </row>
    <row r="1016" spans="12:12" ht="18" customHeight="1" x14ac:dyDescent="0.2">
      <c r="L1016" s="270"/>
    </row>
    <row r="1017" spans="12:12" ht="18" customHeight="1" x14ac:dyDescent="0.2">
      <c r="L1017" s="270"/>
    </row>
    <row r="1018" spans="12:12" ht="18" customHeight="1" x14ac:dyDescent="0.2">
      <c r="L1018" s="270"/>
    </row>
    <row r="1019" spans="12:12" ht="18" customHeight="1" x14ac:dyDescent="0.2">
      <c r="L1019" s="270"/>
    </row>
    <row r="1020" spans="12:12" ht="18" customHeight="1" x14ac:dyDescent="0.2">
      <c r="L1020" s="270"/>
    </row>
    <row r="1021" spans="12:12" ht="18" customHeight="1" x14ac:dyDescent="0.2">
      <c r="L1021" s="270"/>
    </row>
    <row r="1022" spans="12:12" ht="18" customHeight="1" x14ac:dyDescent="0.2">
      <c r="L1022" s="270"/>
    </row>
    <row r="1023" spans="12:12" ht="18" customHeight="1" x14ac:dyDescent="0.2">
      <c r="L1023" s="270"/>
    </row>
    <row r="1024" spans="12:12" ht="18" customHeight="1" x14ac:dyDescent="0.2">
      <c r="L1024" s="270"/>
    </row>
    <row r="1025" spans="12:12" ht="18" customHeight="1" x14ac:dyDescent="0.2">
      <c r="L1025" s="270"/>
    </row>
    <row r="1026" spans="12:12" ht="18" customHeight="1" x14ac:dyDescent="0.2">
      <c r="L1026" s="270"/>
    </row>
    <row r="1027" spans="12:12" ht="18" customHeight="1" x14ac:dyDescent="0.2">
      <c r="L1027" s="270"/>
    </row>
    <row r="1028" spans="12:12" ht="18" customHeight="1" x14ac:dyDescent="0.2">
      <c r="L1028" s="270"/>
    </row>
    <row r="1029" spans="12:12" ht="18" customHeight="1" x14ac:dyDescent="0.2">
      <c r="L1029" s="270"/>
    </row>
    <row r="1030" spans="12:12" ht="18" customHeight="1" x14ac:dyDescent="0.2">
      <c r="L1030" s="270"/>
    </row>
    <row r="1031" spans="12:12" ht="18" customHeight="1" x14ac:dyDescent="0.2">
      <c r="L1031" s="270"/>
    </row>
    <row r="1032" spans="12:12" ht="18" customHeight="1" x14ac:dyDescent="0.2">
      <c r="L1032" s="270"/>
    </row>
    <row r="1033" spans="12:12" ht="18" customHeight="1" x14ac:dyDescent="0.2">
      <c r="L1033" s="270"/>
    </row>
    <row r="1034" spans="12:12" ht="18" customHeight="1" x14ac:dyDescent="0.2">
      <c r="L1034" s="270"/>
    </row>
    <row r="1035" spans="12:12" ht="18" customHeight="1" x14ac:dyDescent="0.2">
      <c r="L1035" s="270"/>
    </row>
    <row r="1036" spans="12:12" ht="18" customHeight="1" x14ac:dyDescent="0.2">
      <c r="L1036" s="270"/>
    </row>
    <row r="1037" spans="12:12" ht="18" customHeight="1" x14ac:dyDescent="0.2">
      <c r="L1037" s="270"/>
    </row>
    <row r="1038" spans="12:12" ht="18" customHeight="1" x14ac:dyDescent="0.2">
      <c r="L1038" s="270"/>
    </row>
    <row r="1039" spans="12:12" ht="18" customHeight="1" x14ac:dyDescent="0.2">
      <c r="L1039" s="270"/>
    </row>
    <row r="1040" spans="12:12" ht="18" customHeight="1" x14ac:dyDescent="0.2">
      <c r="L1040" s="270"/>
    </row>
    <row r="1041" spans="12:12" ht="18" customHeight="1" x14ac:dyDescent="0.2">
      <c r="L1041" s="270"/>
    </row>
    <row r="1042" spans="12:12" ht="18" customHeight="1" x14ac:dyDescent="0.2">
      <c r="L1042" s="270"/>
    </row>
    <row r="1043" spans="12:12" ht="18" customHeight="1" x14ac:dyDescent="0.2">
      <c r="L1043" s="270"/>
    </row>
    <row r="1044" spans="12:12" ht="18" customHeight="1" x14ac:dyDescent="0.2">
      <c r="L1044" s="270"/>
    </row>
    <row r="1045" spans="12:12" ht="18" customHeight="1" x14ac:dyDescent="0.2">
      <c r="L1045" s="270"/>
    </row>
    <row r="1046" spans="12:12" ht="18" customHeight="1" x14ac:dyDescent="0.2">
      <c r="L1046" s="270"/>
    </row>
    <row r="1047" spans="12:12" ht="18" customHeight="1" x14ac:dyDescent="0.2">
      <c r="L1047" s="270"/>
    </row>
    <row r="1048" spans="12:12" ht="18" customHeight="1" x14ac:dyDescent="0.2">
      <c r="L1048" s="270"/>
    </row>
    <row r="1049" spans="12:12" ht="18" customHeight="1" x14ac:dyDescent="0.2">
      <c r="L1049" s="270"/>
    </row>
    <row r="1050" spans="12:12" ht="18" customHeight="1" x14ac:dyDescent="0.2">
      <c r="L1050" s="270"/>
    </row>
    <row r="1051" spans="12:12" ht="18" customHeight="1" x14ac:dyDescent="0.2">
      <c r="L1051" s="270"/>
    </row>
    <row r="1052" spans="12:12" ht="18" customHeight="1" x14ac:dyDescent="0.2">
      <c r="L1052" s="270"/>
    </row>
    <row r="1053" spans="12:12" ht="18" customHeight="1" x14ac:dyDescent="0.2">
      <c r="L1053" s="270"/>
    </row>
    <row r="1054" spans="12:12" ht="18" customHeight="1" x14ac:dyDescent="0.2">
      <c r="L1054" s="270"/>
    </row>
    <row r="1055" spans="12:12" ht="18" customHeight="1" x14ac:dyDescent="0.2">
      <c r="L1055" s="270"/>
    </row>
    <row r="1056" spans="12:12" ht="18" customHeight="1" x14ac:dyDescent="0.2">
      <c r="L1056" s="270"/>
    </row>
    <row r="1057" spans="12:12" ht="18" customHeight="1" x14ac:dyDescent="0.2">
      <c r="L1057" s="270"/>
    </row>
    <row r="1058" spans="12:12" ht="18" customHeight="1" x14ac:dyDescent="0.2">
      <c r="L1058" s="270"/>
    </row>
    <row r="1059" spans="12:12" ht="18" customHeight="1" x14ac:dyDescent="0.2">
      <c r="L1059" s="270"/>
    </row>
    <row r="1060" spans="12:12" ht="18" customHeight="1" x14ac:dyDescent="0.2">
      <c r="L1060" s="270"/>
    </row>
    <row r="1061" spans="12:12" ht="18" customHeight="1" x14ac:dyDescent="0.2">
      <c r="L1061" s="270"/>
    </row>
    <row r="1062" spans="12:12" ht="18" customHeight="1" x14ac:dyDescent="0.2">
      <c r="L1062" s="270"/>
    </row>
    <row r="1063" spans="12:12" ht="18" customHeight="1" x14ac:dyDescent="0.2">
      <c r="L1063" s="270"/>
    </row>
    <row r="1064" spans="12:12" ht="18" customHeight="1" x14ac:dyDescent="0.2">
      <c r="L1064" s="270"/>
    </row>
    <row r="1065" spans="12:12" ht="18" customHeight="1" x14ac:dyDescent="0.2">
      <c r="L1065" s="270"/>
    </row>
    <row r="1066" spans="12:12" ht="18" customHeight="1" x14ac:dyDescent="0.2">
      <c r="L1066" s="270"/>
    </row>
    <row r="1067" spans="12:12" ht="18" customHeight="1" x14ac:dyDescent="0.2">
      <c r="L1067" s="270"/>
    </row>
    <row r="1068" spans="12:12" ht="18" customHeight="1" x14ac:dyDescent="0.2">
      <c r="L1068" s="270"/>
    </row>
    <row r="1069" spans="12:12" ht="18" customHeight="1" x14ac:dyDescent="0.2">
      <c r="L1069" s="270"/>
    </row>
    <row r="1070" spans="12:12" ht="18" customHeight="1" x14ac:dyDescent="0.2">
      <c r="L1070" s="270"/>
    </row>
    <row r="1071" spans="12:12" ht="18" customHeight="1" x14ac:dyDescent="0.2">
      <c r="L1071" s="270"/>
    </row>
    <row r="1072" spans="12:12" ht="18" customHeight="1" x14ac:dyDescent="0.2">
      <c r="L1072" s="270"/>
    </row>
    <row r="1073" spans="12:12" ht="18" customHeight="1" x14ac:dyDescent="0.2">
      <c r="L1073" s="270"/>
    </row>
    <row r="1074" spans="12:12" ht="18" customHeight="1" x14ac:dyDescent="0.2">
      <c r="L1074" s="270"/>
    </row>
    <row r="1075" spans="12:12" ht="18" customHeight="1" x14ac:dyDescent="0.2">
      <c r="L1075" s="270"/>
    </row>
    <row r="1076" spans="12:12" ht="18" customHeight="1" x14ac:dyDescent="0.2">
      <c r="L1076" s="270"/>
    </row>
    <row r="1077" spans="12:12" ht="18" customHeight="1" x14ac:dyDescent="0.2">
      <c r="L1077" s="270"/>
    </row>
    <row r="1078" spans="12:12" ht="18" customHeight="1" x14ac:dyDescent="0.2">
      <c r="L1078" s="270"/>
    </row>
    <row r="1079" spans="12:12" ht="18" customHeight="1" x14ac:dyDescent="0.2">
      <c r="L1079" s="270"/>
    </row>
    <row r="1080" spans="12:12" ht="18" customHeight="1" x14ac:dyDescent="0.2">
      <c r="L1080" s="270"/>
    </row>
    <row r="1081" spans="12:12" ht="18" customHeight="1" x14ac:dyDescent="0.2">
      <c r="L1081" s="270"/>
    </row>
    <row r="1082" spans="12:12" ht="18" customHeight="1" x14ac:dyDescent="0.2">
      <c r="L1082" s="270"/>
    </row>
    <row r="1083" spans="12:12" ht="18" customHeight="1" x14ac:dyDescent="0.2">
      <c r="L1083" s="270"/>
    </row>
    <row r="1084" spans="12:12" ht="18" customHeight="1" x14ac:dyDescent="0.2">
      <c r="L1084" s="270"/>
    </row>
    <row r="1085" spans="12:12" ht="18" customHeight="1" x14ac:dyDescent="0.2">
      <c r="L1085" s="270"/>
    </row>
    <row r="1086" spans="12:12" ht="18" customHeight="1" x14ac:dyDescent="0.2">
      <c r="L1086" s="270"/>
    </row>
    <row r="1087" spans="12:12" ht="18" customHeight="1" x14ac:dyDescent="0.2">
      <c r="L1087" s="270"/>
    </row>
    <row r="1088" spans="12:12" ht="18" customHeight="1" x14ac:dyDescent="0.2">
      <c r="L1088" s="270"/>
    </row>
    <row r="1089" spans="12:12" ht="18" customHeight="1" x14ac:dyDescent="0.2">
      <c r="L1089" s="270"/>
    </row>
    <row r="1090" spans="12:12" ht="18" customHeight="1" x14ac:dyDescent="0.2">
      <c r="L1090" s="270"/>
    </row>
    <row r="1091" spans="12:12" ht="18" customHeight="1" x14ac:dyDescent="0.2">
      <c r="L1091" s="270"/>
    </row>
    <row r="1092" spans="12:12" ht="18" customHeight="1" x14ac:dyDescent="0.2">
      <c r="L1092" s="270"/>
    </row>
    <row r="1093" spans="12:12" ht="18" customHeight="1" x14ac:dyDescent="0.2">
      <c r="L1093" s="270"/>
    </row>
    <row r="1094" spans="12:12" ht="18" customHeight="1" x14ac:dyDescent="0.2">
      <c r="L1094" s="270"/>
    </row>
    <row r="1095" spans="12:12" ht="18" customHeight="1" x14ac:dyDescent="0.2">
      <c r="L1095" s="270"/>
    </row>
    <row r="1096" spans="12:12" ht="18" customHeight="1" x14ac:dyDescent="0.2">
      <c r="L1096" s="270"/>
    </row>
    <row r="1097" spans="12:12" ht="18" customHeight="1" x14ac:dyDescent="0.2">
      <c r="L1097" s="270"/>
    </row>
    <row r="1098" spans="12:12" ht="18" customHeight="1" x14ac:dyDescent="0.2">
      <c r="L1098" s="270"/>
    </row>
    <row r="1099" spans="12:12" ht="18" customHeight="1" x14ac:dyDescent="0.2">
      <c r="L1099" s="270"/>
    </row>
    <row r="1100" spans="12:12" ht="18" customHeight="1" x14ac:dyDescent="0.2">
      <c r="L1100" s="270"/>
    </row>
    <row r="1101" spans="12:12" ht="18" customHeight="1" x14ac:dyDescent="0.2">
      <c r="L1101" s="270"/>
    </row>
    <row r="1102" spans="12:12" ht="18" customHeight="1" x14ac:dyDescent="0.2">
      <c r="L1102" s="270"/>
    </row>
    <row r="1103" spans="12:12" ht="18" customHeight="1" x14ac:dyDescent="0.2">
      <c r="L1103" s="270"/>
    </row>
    <row r="1104" spans="12:12" ht="18" customHeight="1" x14ac:dyDescent="0.2">
      <c r="L1104" s="270"/>
    </row>
    <row r="1105" spans="12:12" ht="18" customHeight="1" x14ac:dyDescent="0.2">
      <c r="L1105" s="270"/>
    </row>
    <row r="1106" spans="12:12" ht="18" customHeight="1" x14ac:dyDescent="0.2">
      <c r="L1106" s="270"/>
    </row>
    <row r="1107" spans="12:12" ht="18" customHeight="1" x14ac:dyDescent="0.2">
      <c r="L1107" s="270"/>
    </row>
    <row r="1108" spans="12:12" ht="18" customHeight="1" x14ac:dyDescent="0.2">
      <c r="L1108" s="270"/>
    </row>
    <row r="1109" spans="12:12" ht="18" customHeight="1" x14ac:dyDescent="0.2">
      <c r="L1109" s="270"/>
    </row>
    <row r="1110" spans="12:12" ht="18" customHeight="1" x14ac:dyDescent="0.2">
      <c r="L1110" s="270"/>
    </row>
    <row r="1111" spans="12:12" ht="18" customHeight="1" x14ac:dyDescent="0.2">
      <c r="L1111" s="270"/>
    </row>
    <row r="1112" spans="12:12" ht="18" customHeight="1" x14ac:dyDescent="0.2">
      <c r="L1112" s="270"/>
    </row>
    <row r="1113" spans="12:12" ht="18" customHeight="1" x14ac:dyDescent="0.2">
      <c r="L1113" s="270"/>
    </row>
    <row r="1114" spans="12:12" ht="18" customHeight="1" x14ac:dyDescent="0.2">
      <c r="L1114" s="270"/>
    </row>
    <row r="1115" spans="12:12" ht="18" customHeight="1" x14ac:dyDescent="0.2">
      <c r="L1115" s="270"/>
    </row>
    <row r="1116" spans="12:12" ht="18" customHeight="1" x14ac:dyDescent="0.2">
      <c r="L1116" s="270"/>
    </row>
    <row r="1117" spans="12:12" ht="18" customHeight="1" x14ac:dyDescent="0.2">
      <c r="L1117" s="270"/>
    </row>
    <row r="1118" spans="12:12" ht="18" customHeight="1" x14ac:dyDescent="0.2">
      <c r="L1118" s="270"/>
    </row>
    <row r="1119" spans="12:12" ht="18" customHeight="1" x14ac:dyDescent="0.2">
      <c r="L1119" s="270"/>
    </row>
    <row r="1120" spans="12:12" ht="18" customHeight="1" x14ac:dyDescent="0.2">
      <c r="L1120" s="270"/>
    </row>
    <row r="1121" spans="12:12" ht="18" customHeight="1" x14ac:dyDescent="0.2">
      <c r="L1121" s="270"/>
    </row>
    <row r="1122" spans="12:12" ht="18" customHeight="1" x14ac:dyDescent="0.2">
      <c r="L1122" s="270"/>
    </row>
    <row r="1123" spans="12:12" ht="18" customHeight="1" x14ac:dyDescent="0.2">
      <c r="L1123" s="270"/>
    </row>
    <row r="1124" spans="12:12" ht="18" customHeight="1" x14ac:dyDescent="0.2">
      <c r="L1124" s="270"/>
    </row>
    <row r="1125" spans="12:12" ht="18" customHeight="1" x14ac:dyDescent="0.2">
      <c r="L1125" s="270"/>
    </row>
    <row r="1126" spans="12:12" ht="18" customHeight="1" x14ac:dyDescent="0.2">
      <c r="L1126" s="270"/>
    </row>
    <row r="1127" spans="12:12" ht="18" customHeight="1" x14ac:dyDescent="0.2">
      <c r="L1127" s="270"/>
    </row>
    <row r="1128" spans="12:12" ht="18" customHeight="1" x14ac:dyDescent="0.2">
      <c r="L1128" s="270"/>
    </row>
    <row r="1129" spans="12:12" ht="18" customHeight="1" x14ac:dyDescent="0.2">
      <c r="L1129" s="270"/>
    </row>
    <row r="1130" spans="12:12" ht="18" customHeight="1" x14ac:dyDescent="0.2">
      <c r="L1130" s="270"/>
    </row>
    <row r="1131" spans="12:12" ht="18" customHeight="1" x14ac:dyDescent="0.2">
      <c r="L1131" s="270"/>
    </row>
    <row r="1132" spans="12:12" ht="18" customHeight="1" x14ac:dyDescent="0.2">
      <c r="L1132" s="270"/>
    </row>
    <row r="1133" spans="12:12" ht="18" customHeight="1" x14ac:dyDescent="0.2">
      <c r="L1133" s="270"/>
    </row>
    <row r="1134" spans="12:12" ht="18" customHeight="1" x14ac:dyDescent="0.2">
      <c r="L1134" s="270"/>
    </row>
    <row r="1135" spans="12:12" ht="18" customHeight="1" x14ac:dyDescent="0.2">
      <c r="L1135" s="270"/>
    </row>
    <row r="1136" spans="12:12" ht="18" customHeight="1" x14ac:dyDescent="0.2">
      <c r="L1136" s="270"/>
    </row>
    <row r="1137" spans="12:12" ht="18" customHeight="1" x14ac:dyDescent="0.2">
      <c r="L1137" s="270"/>
    </row>
    <row r="1138" spans="12:12" ht="18" customHeight="1" x14ac:dyDescent="0.2">
      <c r="L1138" s="270"/>
    </row>
    <row r="1139" spans="12:12" ht="18" customHeight="1" x14ac:dyDescent="0.2">
      <c r="L1139" s="270"/>
    </row>
    <row r="1140" spans="12:12" ht="18" customHeight="1" x14ac:dyDescent="0.2">
      <c r="L1140" s="270"/>
    </row>
    <row r="1141" spans="12:12" ht="18" customHeight="1" x14ac:dyDescent="0.2">
      <c r="L1141" s="270"/>
    </row>
    <row r="1142" spans="12:12" ht="18" customHeight="1" x14ac:dyDescent="0.2">
      <c r="L1142" s="270"/>
    </row>
    <row r="1143" spans="12:12" ht="18" customHeight="1" x14ac:dyDescent="0.2">
      <c r="L1143" s="270"/>
    </row>
    <row r="1144" spans="12:12" ht="18" customHeight="1" x14ac:dyDescent="0.2">
      <c r="L1144" s="270"/>
    </row>
    <row r="1145" spans="12:12" ht="18" customHeight="1" x14ac:dyDescent="0.2">
      <c r="L1145" s="270"/>
    </row>
    <row r="1146" spans="12:12" ht="18" customHeight="1" x14ac:dyDescent="0.2">
      <c r="L1146" s="270"/>
    </row>
    <row r="1147" spans="12:12" ht="18" customHeight="1" x14ac:dyDescent="0.2">
      <c r="L1147" s="270"/>
    </row>
    <row r="1148" spans="12:12" ht="18" customHeight="1" x14ac:dyDescent="0.2">
      <c r="L1148" s="270"/>
    </row>
    <row r="1149" spans="12:12" ht="18" customHeight="1" x14ac:dyDescent="0.2">
      <c r="L1149" s="270"/>
    </row>
    <row r="1150" spans="12:12" ht="18" customHeight="1" x14ac:dyDescent="0.2">
      <c r="L1150" s="270"/>
    </row>
    <row r="1151" spans="12:12" ht="18" customHeight="1" x14ac:dyDescent="0.2">
      <c r="L1151" s="270"/>
    </row>
    <row r="1152" spans="12:12" ht="18" customHeight="1" x14ac:dyDescent="0.2">
      <c r="L1152" s="270"/>
    </row>
    <row r="1153" spans="12:12" ht="18" customHeight="1" x14ac:dyDescent="0.2">
      <c r="L1153" s="270"/>
    </row>
    <row r="1154" spans="12:12" ht="18" customHeight="1" x14ac:dyDescent="0.2">
      <c r="L1154" s="270"/>
    </row>
    <row r="1155" spans="12:12" ht="18" customHeight="1" x14ac:dyDescent="0.2">
      <c r="L1155" s="270"/>
    </row>
    <row r="1156" spans="12:12" ht="18" customHeight="1" x14ac:dyDescent="0.2">
      <c r="L1156" s="270"/>
    </row>
    <row r="1157" spans="12:12" ht="18" customHeight="1" x14ac:dyDescent="0.2">
      <c r="L1157" s="270"/>
    </row>
    <row r="1158" spans="12:12" ht="18" customHeight="1" x14ac:dyDescent="0.2">
      <c r="L1158" s="270"/>
    </row>
    <row r="1159" spans="12:12" ht="18" customHeight="1" x14ac:dyDescent="0.2">
      <c r="L1159" s="270"/>
    </row>
    <row r="1160" spans="12:12" ht="18" customHeight="1" x14ac:dyDescent="0.2">
      <c r="L1160" s="270"/>
    </row>
    <row r="1161" spans="12:12" ht="18" customHeight="1" x14ac:dyDescent="0.2">
      <c r="L1161" s="270"/>
    </row>
    <row r="1162" spans="12:12" ht="18" customHeight="1" x14ac:dyDescent="0.2">
      <c r="L1162" s="270"/>
    </row>
    <row r="1163" spans="12:12" ht="18" customHeight="1" x14ac:dyDescent="0.2">
      <c r="L1163" s="270"/>
    </row>
    <row r="1164" spans="12:12" ht="18" customHeight="1" x14ac:dyDescent="0.2">
      <c r="L1164" s="270"/>
    </row>
    <row r="1165" spans="12:12" ht="18" customHeight="1" x14ac:dyDescent="0.2">
      <c r="L1165" s="270"/>
    </row>
    <row r="1166" spans="12:12" ht="18" customHeight="1" x14ac:dyDescent="0.2">
      <c r="L1166" s="270"/>
    </row>
    <row r="1167" spans="12:12" ht="18" customHeight="1" x14ac:dyDescent="0.2">
      <c r="L1167" s="270"/>
    </row>
    <row r="1168" spans="12:12" ht="18" customHeight="1" x14ac:dyDescent="0.2">
      <c r="L1168" s="270"/>
    </row>
    <row r="1169" spans="12:12" ht="18" customHeight="1" x14ac:dyDescent="0.2">
      <c r="L1169" s="270"/>
    </row>
    <row r="1170" spans="12:12" ht="18" customHeight="1" x14ac:dyDescent="0.2">
      <c r="L1170" s="270"/>
    </row>
    <row r="1171" spans="12:12" ht="18" customHeight="1" x14ac:dyDescent="0.2">
      <c r="L1171" s="270"/>
    </row>
    <row r="1172" spans="12:12" ht="18" customHeight="1" x14ac:dyDescent="0.2">
      <c r="L1172" s="270"/>
    </row>
    <row r="1173" spans="12:12" ht="18" customHeight="1" x14ac:dyDescent="0.2">
      <c r="L1173" s="270"/>
    </row>
    <row r="1174" spans="12:12" ht="18" customHeight="1" x14ac:dyDescent="0.2">
      <c r="L1174" s="270"/>
    </row>
    <row r="1175" spans="12:12" ht="18" customHeight="1" x14ac:dyDescent="0.2">
      <c r="L1175" s="270"/>
    </row>
    <row r="1176" spans="12:12" ht="18" customHeight="1" x14ac:dyDescent="0.2">
      <c r="L1176" s="270"/>
    </row>
    <row r="1177" spans="12:12" ht="18" customHeight="1" x14ac:dyDescent="0.2">
      <c r="L1177" s="270"/>
    </row>
    <row r="1178" spans="12:12" ht="18" customHeight="1" x14ac:dyDescent="0.2">
      <c r="L1178" s="270"/>
    </row>
    <row r="1179" spans="12:12" ht="18" customHeight="1" x14ac:dyDescent="0.2">
      <c r="L1179" s="270"/>
    </row>
    <row r="1180" spans="12:12" ht="18" customHeight="1" x14ac:dyDescent="0.2">
      <c r="L1180" s="270"/>
    </row>
    <row r="1181" spans="12:12" ht="18" customHeight="1" x14ac:dyDescent="0.2">
      <c r="L1181" s="270"/>
    </row>
    <row r="1182" spans="12:12" ht="18" customHeight="1" x14ac:dyDescent="0.2">
      <c r="L1182" s="270"/>
    </row>
    <row r="1183" spans="12:12" ht="18" customHeight="1" x14ac:dyDescent="0.2">
      <c r="L1183" s="270"/>
    </row>
    <row r="1184" spans="12:12" ht="18" customHeight="1" x14ac:dyDescent="0.2">
      <c r="L1184" s="270"/>
    </row>
    <row r="1185" spans="12:12" ht="18" customHeight="1" x14ac:dyDescent="0.2">
      <c r="L1185" s="270"/>
    </row>
    <row r="1186" spans="12:12" ht="18" customHeight="1" x14ac:dyDescent="0.2">
      <c r="L1186" s="270"/>
    </row>
    <row r="1187" spans="12:12" ht="18" customHeight="1" x14ac:dyDescent="0.2">
      <c r="L1187" s="270"/>
    </row>
    <row r="1188" spans="12:12" ht="18" customHeight="1" x14ac:dyDescent="0.2">
      <c r="L1188" s="270"/>
    </row>
    <row r="1189" spans="12:12" ht="18" customHeight="1" x14ac:dyDescent="0.2">
      <c r="L1189" s="270"/>
    </row>
    <row r="1190" spans="12:12" ht="18" customHeight="1" x14ac:dyDescent="0.2">
      <c r="L1190" s="270"/>
    </row>
    <row r="1191" spans="12:12" ht="18" customHeight="1" x14ac:dyDescent="0.2">
      <c r="L1191" s="270"/>
    </row>
    <row r="1192" spans="12:12" ht="18" customHeight="1" x14ac:dyDescent="0.2">
      <c r="L1192" s="270"/>
    </row>
    <row r="1193" spans="12:12" ht="18" customHeight="1" x14ac:dyDescent="0.2">
      <c r="L1193" s="270"/>
    </row>
    <row r="1194" spans="12:12" ht="18" customHeight="1" x14ac:dyDescent="0.2">
      <c r="L1194" s="270"/>
    </row>
    <row r="1195" spans="12:12" ht="18" customHeight="1" x14ac:dyDescent="0.2">
      <c r="L1195" s="270"/>
    </row>
    <row r="1196" spans="12:12" ht="18" customHeight="1" x14ac:dyDescent="0.2">
      <c r="L1196" s="270"/>
    </row>
    <row r="1197" spans="12:12" ht="18" customHeight="1" x14ac:dyDescent="0.2">
      <c r="L1197" s="270"/>
    </row>
    <row r="1198" spans="12:12" ht="18" customHeight="1" x14ac:dyDescent="0.2">
      <c r="L1198" s="270"/>
    </row>
    <row r="1199" spans="12:12" ht="18" customHeight="1" x14ac:dyDescent="0.2">
      <c r="L1199" s="270"/>
    </row>
    <row r="1200" spans="12:12" ht="18" customHeight="1" x14ac:dyDescent="0.2">
      <c r="L1200" s="270"/>
    </row>
    <row r="1201" spans="12:12" ht="18" customHeight="1" x14ac:dyDescent="0.2">
      <c r="L1201" s="270"/>
    </row>
    <row r="1202" spans="12:12" ht="18" customHeight="1" x14ac:dyDescent="0.2">
      <c r="L1202" s="270"/>
    </row>
    <row r="1203" spans="12:12" ht="18" customHeight="1" x14ac:dyDescent="0.2">
      <c r="L1203" s="270"/>
    </row>
    <row r="1204" spans="12:12" ht="18" customHeight="1" x14ac:dyDescent="0.2">
      <c r="L1204" s="270"/>
    </row>
    <row r="1205" spans="12:12" ht="18" customHeight="1" x14ac:dyDescent="0.2">
      <c r="L1205" s="270"/>
    </row>
    <row r="1206" spans="12:12" ht="18" customHeight="1" x14ac:dyDescent="0.2">
      <c r="L1206" s="270"/>
    </row>
    <row r="1207" spans="12:12" ht="18" customHeight="1" x14ac:dyDescent="0.2">
      <c r="L1207" s="270"/>
    </row>
    <row r="1208" spans="12:12" ht="18" customHeight="1" x14ac:dyDescent="0.2">
      <c r="L1208" s="270"/>
    </row>
    <row r="1209" spans="12:12" ht="18" customHeight="1" x14ac:dyDescent="0.2">
      <c r="L1209" s="270"/>
    </row>
    <row r="1210" spans="12:12" ht="18" customHeight="1" x14ac:dyDescent="0.2">
      <c r="L1210" s="270"/>
    </row>
    <row r="1211" spans="12:12" ht="18" customHeight="1" x14ac:dyDescent="0.2">
      <c r="L1211" s="270"/>
    </row>
    <row r="1212" spans="12:12" ht="18" customHeight="1" x14ac:dyDescent="0.2">
      <c r="L1212" s="270"/>
    </row>
    <row r="1213" spans="12:12" ht="18" customHeight="1" x14ac:dyDescent="0.2">
      <c r="L1213" s="270"/>
    </row>
    <row r="1214" spans="12:12" ht="18" customHeight="1" x14ac:dyDescent="0.2">
      <c r="L1214" s="270"/>
    </row>
    <row r="1215" spans="12:12" ht="18" customHeight="1" x14ac:dyDescent="0.2">
      <c r="L1215" s="270"/>
    </row>
    <row r="1216" spans="12:12" ht="18" customHeight="1" x14ac:dyDescent="0.2">
      <c r="L1216" s="270"/>
    </row>
    <row r="1217" spans="12:12" ht="18" customHeight="1" x14ac:dyDescent="0.2">
      <c r="L1217" s="270"/>
    </row>
    <row r="1218" spans="12:12" ht="18" customHeight="1" x14ac:dyDescent="0.2">
      <c r="L1218" s="270"/>
    </row>
    <row r="1219" spans="12:12" ht="18" customHeight="1" x14ac:dyDescent="0.2">
      <c r="L1219" s="270"/>
    </row>
    <row r="1220" spans="12:12" ht="18" customHeight="1" x14ac:dyDescent="0.2">
      <c r="L1220" s="270"/>
    </row>
    <row r="1221" spans="12:12" ht="18" customHeight="1" x14ac:dyDescent="0.2">
      <c r="L1221" s="270"/>
    </row>
    <row r="1222" spans="12:12" ht="18" customHeight="1" x14ac:dyDescent="0.2">
      <c r="L1222" s="270"/>
    </row>
    <row r="1223" spans="12:12" ht="18" customHeight="1" x14ac:dyDescent="0.2">
      <c r="L1223" s="270"/>
    </row>
    <row r="1224" spans="12:12" ht="18" customHeight="1" x14ac:dyDescent="0.2">
      <c r="L1224" s="270"/>
    </row>
    <row r="1225" spans="12:12" ht="18" customHeight="1" x14ac:dyDescent="0.2">
      <c r="L1225" s="270"/>
    </row>
    <row r="1226" spans="12:12" ht="18" customHeight="1" x14ac:dyDescent="0.2">
      <c r="L1226" s="270"/>
    </row>
    <row r="1227" spans="12:12" ht="18" customHeight="1" x14ac:dyDescent="0.2">
      <c r="L1227" s="270"/>
    </row>
    <row r="1228" spans="12:12" ht="18" customHeight="1" x14ac:dyDescent="0.2">
      <c r="L1228" s="270"/>
    </row>
    <row r="1229" spans="12:12" ht="18" customHeight="1" x14ac:dyDescent="0.2">
      <c r="L1229" s="270"/>
    </row>
    <row r="1230" spans="12:12" ht="18" customHeight="1" x14ac:dyDescent="0.2">
      <c r="L1230" s="270"/>
    </row>
    <row r="1231" spans="12:12" ht="18" customHeight="1" x14ac:dyDescent="0.2">
      <c r="L1231" s="270"/>
    </row>
    <row r="1232" spans="12:12" ht="18" customHeight="1" x14ac:dyDescent="0.2">
      <c r="L1232" s="270"/>
    </row>
    <row r="1233" spans="12:12" ht="18" customHeight="1" x14ac:dyDescent="0.2">
      <c r="L1233" s="270"/>
    </row>
    <row r="1234" spans="12:12" ht="18" customHeight="1" x14ac:dyDescent="0.2">
      <c r="L1234" s="270"/>
    </row>
    <row r="1235" spans="12:12" ht="18" customHeight="1" x14ac:dyDescent="0.2">
      <c r="L1235" s="270"/>
    </row>
    <row r="1236" spans="12:12" ht="18" customHeight="1" x14ac:dyDescent="0.2">
      <c r="L1236" s="270"/>
    </row>
    <row r="1237" spans="12:12" ht="18" customHeight="1" x14ac:dyDescent="0.2">
      <c r="L1237" s="270"/>
    </row>
    <row r="1238" spans="12:12" ht="18" customHeight="1" x14ac:dyDescent="0.2">
      <c r="L1238" s="270"/>
    </row>
    <row r="1239" spans="12:12" ht="18" customHeight="1" x14ac:dyDescent="0.2">
      <c r="L1239" s="270"/>
    </row>
    <row r="1240" spans="12:12" ht="18" customHeight="1" x14ac:dyDescent="0.2">
      <c r="L1240" s="270"/>
    </row>
    <row r="1241" spans="12:12" ht="18" customHeight="1" x14ac:dyDescent="0.2">
      <c r="L1241" s="270"/>
    </row>
    <row r="1242" spans="12:12" ht="18" customHeight="1" x14ac:dyDescent="0.2">
      <c r="L1242" s="270"/>
    </row>
    <row r="1243" spans="12:12" ht="18" customHeight="1" x14ac:dyDescent="0.2">
      <c r="L1243" s="270"/>
    </row>
    <row r="1244" spans="12:12" ht="18" customHeight="1" x14ac:dyDescent="0.2">
      <c r="L1244" s="270"/>
    </row>
    <row r="1245" spans="12:12" ht="18" customHeight="1" x14ac:dyDescent="0.2">
      <c r="L1245" s="270"/>
    </row>
    <row r="1246" spans="12:12" ht="18" customHeight="1" x14ac:dyDescent="0.2">
      <c r="L1246" s="270"/>
    </row>
    <row r="1247" spans="12:12" ht="18" customHeight="1" x14ac:dyDescent="0.2">
      <c r="L1247" s="270"/>
    </row>
    <row r="1248" spans="12:12" ht="18" customHeight="1" x14ac:dyDescent="0.2">
      <c r="L1248" s="270"/>
    </row>
    <row r="1249" spans="12:12" ht="18" customHeight="1" x14ac:dyDescent="0.2">
      <c r="L1249" s="270"/>
    </row>
    <row r="1250" spans="12:12" ht="18" customHeight="1" x14ac:dyDescent="0.2">
      <c r="L1250" s="270"/>
    </row>
    <row r="1251" spans="12:12" ht="18" customHeight="1" x14ac:dyDescent="0.2">
      <c r="L1251" s="270"/>
    </row>
    <row r="1252" spans="12:12" ht="18" customHeight="1" x14ac:dyDescent="0.2">
      <c r="L1252" s="270"/>
    </row>
    <row r="1253" spans="12:12" ht="18" customHeight="1" x14ac:dyDescent="0.2">
      <c r="L1253" s="270"/>
    </row>
    <row r="1254" spans="12:12" ht="18" customHeight="1" x14ac:dyDescent="0.2">
      <c r="L1254" s="270"/>
    </row>
    <row r="1255" spans="12:12" ht="18" customHeight="1" x14ac:dyDescent="0.2">
      <c r="L1255" s="270"/>
    </row>
    <row r="1256" spans="12:12" ht="18" customHeight="1" x14ac:dyDescent="0.2">
      <c r="L1256" s="270"/>
    </row>
    <row r="1257" spans="12:12" ht="18" customHeight="1" x14ac:dyDescent="0.2">
      <c r="L1257" s="270"/>
    </row>
    <row r="1258" spans="12:12" ht="18" customHeight="1" x14ac:dyDescent="0.2">
      <c r="L1258" s="270"/>
    </row>
    <row r="1259" spans="12:12" ht="18" customHeight="1" x14ac:dyDescent="0.2">
      <c r="L1259" s="270"/>
    </row>
    <row r="1260" spans="12:12" ht="18" customHeight="1" x14ac:dyDescent="0.2">
      <c r="L1260" s="270"/>
    </row>
    <row r="1261" spans="12:12" ht="18" customHeight="1" x14ac:dyDescent="0.2">
      <c r="L1261" s="270"/>
    </row>
    <row r="1262" spans="12:12" ht="18" customHeight="1" x14ac:dyDescent="0.2">
      <c r="L1262" s="270"/>
    </row>
    <row r="1263" spans="12:12" ht="18" customHeight="1" x14ac:dyDescent="0.2">
      <c r="L1263" s="270"/>
    </row>
    <row r="1264" spans="12:12" ht="18" customHeight="1" x14ac:dyDescent="0.2">
      <c r="L1264" s="270"/>
    </row>
    <row r="1265" spans="12:12" ht="18" customHeight="1" x14ac:dyDescent="0.2">
      <c r="L1265" s="270"/>
    </row>
    <row r="1266" spans="12:12" ht="18" customHeight="1" x14ac:dyDescent="0.2">
      <c r="L1266" s="270"/>
    </row>
    <row r="1267" spans="12:12" ht="18" customHeight="1" x14ac:dyDescent="0.2">
      <c r="L1267" s="270"/>
    </row>
    <row r="1268" spans="12:12" ht="18" customHeight="1" x14ac:dyDescent="0.2">
      <c r="L1268" s="270"/>
    </row>
    <row r="1269" spans="12:12" ht="18" customHeight="1" x14ac:dyDescent="0.2">
      <c r="L1269" s="270"/>
    </row>
    <row r="1270" spans="12:12" ht="18" customHeight="1" x14ac:dyDescent="0.2">
      <c r="L1270" s="270"/>
    </row>
    <row r="1271" spans="12:12" ht="18" customHeight="1" x14ac:dyDescent="0.2">
      <c r="L1271" s="270"/>
    </row>
    <row r="1272" spans="12:12" ht="18" customHeight="1" x14ac:dyDescent="0.2">
      <c r="L1272" s="270"/>
    </row>
    <row r="1273" spans="12:12" ht="18" customHeight="1" x14ac:dyDescent="0.2">
      <c r="L1273" s="270"/>
    </row>
    <row r="1274" spans="12:12" ht="18" customHeight="1" x14ac:dyDescent="0.2">
      <c r="L1274" s="270"/>
    </row>
    <row r="1275" spans="12:12" ht="18" customHeight="1" x14ac:dyDescent="0.2">
      <c r="L1275" s="270"/>
    </row>
    <row r="1276" spans="12:12" ht="18" customHeight="1" x14ac:dyDescent="0.2">
      <c r="L1276" s="270"/>
    </row>
    <row r="1277" spans="12:12" ht="18" customHeight="1" x14ac:dyDescent="0.2">
      <c r="L1277" s="270"/>
    </row>
    <row r="1278" spans="12:12" ht="18" customHeight="1" x14ac:dyDescent="0.2">
      <c r="L1278" s="270"/>
    </row>
    <row r="1279" spans="12:12" ht="18" customHeight="1" x14ac:dyDescent="0.2">
      <c r="L1279" s="270"/>
    </row>
    <row r="1280" spans="12:12" ht="18" customHeight="1" x14ac:dyDescent="0.2">
      <c r="L1280" s="270"/>
    </row>
    <row r="1281" spans="12:12" ht="18" customHeight="1" x14ac:dyDescent="0.2">
      <c r="L1281" s="270"/>
    </row>
    <row r="1282" spans="12:12" ht="18" customHeight="1" x14ac:dyDescent="0.2">
      <c r="L1282" s="270"/>
    </row>
    <row r="1283" spans="12:12" ht="18" customHeight="1" x14ac:dyDescent="0.2">
      <c r="L1283" s="270"/>
    </row>
    <row r="1284" spans="12:12" ht="18" customHeight="1" x14ac:dyDescent="0.2">
      <c r="L1284" s="270"/>
    </row>
    <row r="1285" spans="12:12" ht="18" customHeight="1" x14ac:dyDescent="0.2">
      <c r="L1285" s="270"/>
    </row>
    <row r="1286" spans="12:12" ht="18" customHeight="1" x14ac:dyDescent="0.2">
      <c r="L1286" s="270"/>
    </row>
    <row r="1287" spans="12:12" ht="18" customHeight="1" x14ac:dyDescent="0.2">
      <c r="L1287" s="270"/>
    </row>
    <row r="1288" spans="12:12" ht="18" customHeight="1" x14ac:dyDescent="0.2">
      <c r="L1288" s="270"/>
    </row>
    <row r="1289" spans="12:12" ht="18" customHeight="1" x14ac:dyDescent="0.2">
      <c r="L1289" s="270"/>
    </row>
    <row r="1290" spans="12:12" ht="18" customHeight="1" x14ac:dyDescent="0.2">
      <c r="L1290" s="270"/>
    </row>
    <row r="1291" spans="12:12" ht="18" customHeight="1" x14ac:dyDescent="0.2">
      <c r="L1291" s="270"/>
    </row>
    <row r="1292" spans="12:12" ht="18" customHeight="1" x14ac:dyDescent="0.2">
      <c r="L1292" s="270"/>
    </row>
    <row r="1293" spans="12:12" ht="18" customHeight="1" x14ac:dyDescent="0.2">
      <c r="L1293" s="270"/>
    </row>
    <row r="1294" spans="12:12" ht="18" customHeight="1" x14ac:dyDescent="0.2">
      <c r="L1294" s="270"/>
    </row>
    <row r="1295" spans="12:12" ht="18" customHeight="1" x14ac:dyDescent="0.2">
      <c r="L1295" s="270"/>
    </row>
    <row r="1296" spans="12:12" ht="18" customHeight="1" x14ac:dyDescent="0.2">
      <c r="L1296" s="270"/>
    </row>
    <row r="1297" spans="12:12" ht="18" customHeight="1" x14ac:dyDescent="0.2">
      <c r="L1297" s="270"/>
    </row>
    <row r="1298" spans="12:12" ht="18" customHeight="1" x14ac:dyDescent="0.2">
      <c r="L1298" s="270"/>
    </row>
    <row r="1299" spans="12:12" ht="18" customHeight="1" x14ac:dyDescent="0.2">
      <c r="L1299" s="270"/>
    </row>
    <row r="1300" spans="12:12" ht="18" customHeight="1" x14ac:dyDescent="0.2">
      <c r="L1300" s="270"/>
    </row>
    <row r="1301" spans="12:12" ht="18" customHeight="1" x14ac:dyDescent="0.2">
      <c r="L1301" s="270"/>
    </row>
    <row r="1302" spans="12:12" ht="18" customHeight="1" x14ac:dyDescent="0.2">
      <c r="L1302" s="270"/>
    </row>
    <row r="1303" spans="12:12" ht="18" customHeight="1" x14ac:dyDescent="0.2">
      <c r="L1303" s="270"/>
    </row>
    <row r="1304" spans="12:12" ht="18" customHeight="1" x14ac:dyDescent="0.2">
      <c r="L1304" s="270"/>
    </row>
    <row r="1305" spans="12:12" ht="18" customHeight="1" x14ac:dyDescent="0.2">
      <c r="L1305" s="270"/>
    </row>
    <row r="1306" spans="12:12" ht="18" customHeight="1" x14ac:dyDescent="0.2">
      <c r="L1306" s="270"/>
    </row>
    <row r="1307" spans="12:12" ht="18" customHeight="1" x14ac:dyDescent="0.2">
      <c r="L1307" s="270"/>
    </row>
    <row r="1308" spans="12:12" ht="18" customHeight="1" x14ac:dyDescent="0.2">
      <c r="L1308" s="270"/>
    </row>
    <row r="1309" spans="12:12" ht="18" customHeight="1" x14ac:dyDescent="0.2">
      <c r="L1309" s="270"/>
    </row>
    <row r="1310" spans="12:12" ht="18" customHeight="1" x14ac:dyDescent="0.2">
      <c r="L1310" s="270"/>
    </row>
    <row r="1311" spans="12:12" ht="18" customHeight="1" x14ac:dyDescent="0.2">
      <c r="L1311" s="270"/>
    </row>
    <row r="1312" spans="12:12" ht="18" customHeight="1" x14ac:dyDescent="0.2">
      <c r="L1312" s="270"/>
    </row>
    <row r="1313" spans="12:12" ht="18" customHeight="1" x14ac:dyDescent="0.2">
      <c r="L1313" s="270"/>
    </row>
    <row r="1314" spans="12:12" ht="18" customHeight="1" x14ac:dyDescent="0.2">
      <c r="L1314" s="270"/>
    </row>
    <row r="1315" spans="12:12" ht="18" customHeight="1" x14ac:dyDescent="0.2">
      <c r="L1315" s="270"/>
    </row>
    <row r="1316" spans="12:12" ht="18" customHeight="1" x14ac:dyDescent="0.2">
      <c r="L1316" s="270"/>
    </row>
    <row r="1317" spans="12:12" ht="18" customHeight="1" x14ac:dyDescent="0.2">
      <c r="L1317" s="270"/>
    </row>
    <row r="1318" spans="12:12" ht="18" customHeight="1" x14ac:dyDescent="0.2">
      <c r="L1318" s="270"/>
    </row>
    <row r="1319" spans="12:12" ht="18" customHeight="1" x14ac:dyDescent="0.2">
      <c r="L1319" s="270"/>
    </row>
    <row r="1320" spans="12:12" ht="18" customHeight="1" x14ac:dyDescent="0.2">
      <c r="L1320" s="270"/>
    </row>
    <row r="1321" spans="12:12" ht="18" customHeight="1" x14ac:dyDescent="0.2">
      <c r="L1321" s="270"/>
    </row>
    <row r="1322" spans="12:12" ht="18" customHeight="1" x14ac:dyDescent="0.2">
      <c r="L1322" s="270"/>
    </row>
    <row r="1323" spans="12:12" ht="18" customHeight="1" x14ac:dyDescent="0.2">
      <c r="L1323" s="270"/>
    </row>
    <row r="1324" spans="12:12" ht="18" customHeight="1" x14ac:dyDescent="0.2">
      <c r="L1324" s="270"/>
    </row>
    <row r="1325" spans="12:12" ht="18" customHeight="1" x14ac:dyDescent="0.2">
      <c r="L1325" s="270"/>
    </row>
    <row r="1326" spans="12:12" ht="18" customHeight="1" x14ac:dyDescent="0.2">
      <c r="L1326" s="270"/>
    </row>
    <row r="1327" spans="12:12" ht="18" customHeight="1" x14ac:dyDescent="0.2">
      <c r="L1327" s="270"/>
    </row>
    <row r="1328" spans="12:12" ht="18" customHeight="1" x14ac:dyDescent="0.2">
      <c r="L1328" s="270"/>
    </row>
    <row r="1329" spans="12:12" ht="18" customHeight="1" x14ac:dyDescent="0.2">
      <c r="L1329" s="270"/>
    </row>
    <row r="1330" spans="12:12" ht="18" customHeight="1" x14ac:dyDescent="0.2">
      <c r="L1330" s="270"/>
    </row>
    <row r="1331" spans="12:12" ht="18" customHeight="1" x14ac:dyDescent="0.2">
      <c r="L1331" s="270"/>
    </row>
    <row r="1332" spans="12:12" ht="18" customHeight="1" x14ac:dyDescent="0.2">
      <c r="L1332" s="270"/>
    </row>
    <row r="1333" spans="12:12" ht="18" customHeight="1" x14ac:dyDescent="0.2">
      <c r="L1333" s="270"/>
    </row>
    <row r="1334" spans="12:12" ht="18" customHeight="1" x14ac:dyDescent="0.2">
      <c r="L1334" s="270"/>
    </row>
    <row r="1335" spans="12:12" ht="18" customHeight="1" x14ac:dyDescent="0.2">
      <c r="L1335" s="270"/>
    </row>
    <row r="1336" spans="12:12" ht="18" customHeight="1" x14ac:dyDescent="0.2">
      <c r="L1336" s="270"/>
    </row>
    <row r="1337" spans="12:12" ht="18" customHeight="1" x14ac:dyDescent="0.2">
      <c r="L1337" s="270"/>
    </row>
    <row r="1338" spans="12:12" ht="18" customHeight="1" x14ac:dyDescent="0.2">
      <c r="L1338" s="270"/>
    </row>
    <row r="1339" spans="12:12" ht="18" customHeight="1" x14ac:dyDescent="0.2">
      <c r="L1339" s="270"/>
    </row>
    <row r="1340" spans="12:12" ht="18" customHeight="1" x14ac:dyDescent="0.2">
      <c r="L1340" s="270"/>
    </row>
    <row r="1341" spans="12:12" ht="18" customHeight="1" x14ac:dyDescent="0.2">
      <c r="L1341" s="270"/>
    </row>
    <row r="1342" spans="12:12" ht="18" customHeight="1" x14ac:dyDescent="0.2">
      <c r="L1342" s="270"/>
    </row>
    <row r="1343" spans="12:12" ht="18" customHeight="1" x14ac:dyDescent="0.2">
      <c r="L1343" s="270"/>
    </row>
    <row r="1344" spans="12:12" ht="18" customHeight="1" x14ac:dyDescent="0.2">
      <c r="L1344" s="270"/>
    </row>
    <row r="1345" spans="12:12" ht="18" customHeight="1" x14ac:dyDescent="0.2">
      <c r="L1345" s="270"/>
    </row>
    <row r="1346" spans="12:12" ht="18" customHeight="1" x14ac:dyDescent="0.2">
      <c r="L1346" s="270"/>
    </row>
    <row r="1347" spans="12:12" ht="18" customHeight="1" x14ac:dyDescent="0.2">
      <c r="L1347" s="270"/>
    </row>
    <row r="1348" spans="12:12" ht="18" customHeight="1" x14ac:dyDescent="0.2">
      <c r="L1348" s="270"/>
    </row>
    <row r="1349" spans="12:12" ht="18" customHeight="1" x14ac:dyDescent="0.2">
      <c r="L1349" s="270"/>
    </row>
    <row r="1350" spans="12:12" ht="18" customHeight="1" x14ac:dyDescent="0.2">
      <c r="L1350" s="270"/>
    </row>
    <row r="1351" spans="12:12" ht="18" customHeight="1" x14ac:dyDescent="0.2">
      <c r="L1351" s="270"/>
    </row>
    <row r="1352" spans="12:12" ht="18" customHeight="1" x14ac:dyDescent="0.2">
      <c r="L1352" s="270"/>
    </row>
    <row r="1353" spans="12:12" ht="18" customHeight="1" x14ac:dyDescent="0.2">
      <c r="L1353" s="270"/>
    </row>
    <row r="1354" spans="12:12" ht="18" customHeight="1" x14ac:dyDescent="0.2">
      <c r="L1354" s="270"/>
    </row>
    <row r="1355" spans="12:12" ht="18" customHeight="1" x14ac:dyDescent="0.2">
      <c r="L1355" s="270"/>
    </row>
    <row r="1356" spans="12:12" ht="18" customHeight="1" x14ac:dyDescent="0.2">
      <c r="L1356" s="270"/>
    </row>
    <row r="1357" spans="12:12" ht="18" customHeight="1" x14ac:dyDescent="0.2">
      <c r="L1357" s="270"/>
    </row>
    <row r="1358" spans="12:12" ht="18" customHeight="1" x14ac:dyDescent="0.2">
      <c r="L1358" s="270"/>
    </row>
    <row r="1359" spans="12:12" ht="18" customHeight="1" x14ac:dyDescent="0.2">
      <c r="L1359" s="270"/>
    </row>
    <row r="1360" spans="12:12" ht="18" customHeight="1" x14ac:dyDescent="0.2">
      <c r="L1360" s="270"/>
    </row>
    <row r="1361" spans="12:12" ht="18" customHeight="1" x14ac:dyDescent="0.2">
      <c r="L1361" s="270"/>
    </row>
    <row r="1362" spans="12:12" ht="18" customHeight="1" x14ac:dyDescent="0.2">
      <c r="L1362" s="270"/>
    </row>
    <row r="1363" spans="12:12" ht="18" customHeight="1" x14ac:dyDescent="0.2">
      <c r="L1363" s="270"/>
    </row>
    <row r="1364" spans="12:12" ht="18" customHeight="1" x14ac:dyDescent="0.2">
      <c r="L1364" s="270"/>
    </row>
    <row r="1365" spans="12:12" ht="18" customHeight="1" x14ac:dyDescent="0.2">
      <c r="L1365" s="270"/>
    </row>
    <row r="1366" spans="12:12" ht="18" customHeight="1" x14ac:dyDescent="0.2">
      <c r="L1366" s="270"/>
    </row>
    <row r="1367" spans="12:12" ht="18" customHeight="1" x14ac:dyDescent="0.2">
      <c r="L1367" s="270"/>
    </row>
    <row r="1368" spans="12:12" ht="18" customHeight="1" x14ac:dyDescent="0.2">
      <c r="L1368" s="270"/>
    </row>
    <row r="1369" spans="12:12" ht="18" customHeight="1" x14ac:dyDescent="0.2">
      <c r="L1369" s="270"/>
    </row>
    <row r="1370" spans="12:12" ht="18" customHeight="1" x14ac:dyDescent="0.2">
      <c r="L1370" s="270"/>
    </row>
    <row r="1371" spans="12:12" ht="18" customHeight="1" x14ac:dyDescent="0.2">
      <c r="L1371" s="270"/>
    </row>
    <row r="1372" spans="12:12" ht="18" customHeight="1" x14ac:dyDescent="0.2">
      <c r="L1372" s="270"/>
    </row>
    <row r="1373" spans="12:12" ht="18" customHeight="1" x14ac:dyDescent="0.2">
      <c r="L1373" s="270"/>
    </row>
    <row r="1374" spans="12:12" ht="18" customHeight="1" x14ac:dyDescent="0.2">
      <c r="L1374" s="270"/>
    </row>
    <row r="1375" spans="12:12" ht="18" customHeight="1" x14ac:dyDescent="0.2">
      <c r="L1375" s="270"/>
    </row>
    <row r="1376" spans="12:12" ht="18" customHeight="1" x14ac:dyDescent="0.2">
      <c r="L1376" s="270"/>
    </row>
    <row r="1377" spans="12:12" ht="18" customHeight="1" x14ac:dyDescent="0.2">
      <c r="L1377" s="270"/>
    </row>
    <row r="1378" spans="12:12" ht="18" customHeight="1" x14ac:dyDescent="0.2">
      <c r="L1378" s="270"/>
    </row>
    <row r="1379" spans="12:12" ht="18" customHeight="1" x14ac:dyDescent="0.2">
      <c r="L1379" s="270"/>
    </row>
    <row r="1380" spans="12:12" ht="18" customHeight="1" x14ac:dyDescent="0.2">
      <c r="L1380" s="270"/>
    </row>
    <row r="1381" spans="12:12" ht="18" customHeight="1" x14ac:dyDescent="0.2">
      <c r="L1381" s="270"/>
    </row>
    <row r="1382" spans="12:12" ht="18" customHeight="1" x14ac:dyDescent="0.2">
      <c r="L1382" s="270"/>
    </row>
    <row r="1383" spans="12:12" ht="18" customHeight="1" x14ac:dyDescent="0.2">
      <c r="L1383" s="270"/>
    </row>
    <row r="1384" spans="12:12" ht="18" customHeight="1" x14ac:dyDescent="0.2">
      <c r="L1384" s="270"/>
    </row>
    <row r="1385" spans="12:12" ht="18" customHeight="1" x14ac:dyDescent="0.2">
      <c r="L1385" s="270"/>
    </row>
    <row r="1386" spans="12:12" ht="18" customHeight="1" x14ac:dyDescent="0.2">
      <c r="L1386" s="270"/>
    </row>
    <row r="1387" spans="12:12" ht="18" customHeight="1" x14ac:dyDescent="0.2">
      <c r="L1387" s="270"/>
    </row>
    <row r="1388" spans="12:12" ht="18" customHeight="1" x14ac:dyDescent="0.2">
      <c r="L1388" s="270"/>
    </row>
    <row r="1389" spans="12:12" ht="18" customHeight="1" x14ac:dyDescent="0.2">
      <c r="L1389" s="270"/>
    </row>
    <row r="1390" spans="12:12" ht="18" customHeight="1" x14ac:dyDescent="0.2">
      <c r="L1390" s="270"/>
    </row>
    <row r="1391" spans="12:12" ht="18" customHeight="1" x14ac:dyDescent="0.2">
      <c r="L1391" s="270"/>
    </row>
    <row r="1392" spans="12:12" ht="18" customHeight="1" x14ac:dyDescent="0.2">
      <c r="L1392" s="270"/>
    </row>
    <row r="1393" spans="12:12" ht="18" customHeight="1" x14ac:dyDescent="0.2">
      <c r="L1393" s="270"/>
    </row>
    <row r="1394" spans="12:12" ht="18" customHeight="1" x14ac:dyDescent="0.2">
      <c r="L1394" s="270"/>
    </row>
    <row r="1395" spans="12:12" ht="18" customHeight="1" x14ac:dyDescent="0.2">
      <c r="L1395" s="270"/>
    </row>
    <row r="1396" spans="12:12" ht="18" customHeight="1" x14ac:dyDescent="0.2">
      <c r="L1396" s="270"/>
    </row>
    <row r="1397" spans="12:12" ht="18" customHeight="1" x14ac:dyDescent="0.2">
      <c r="L1397" s="270"/>
    </row>
    <row r="1398" spans="12:12" ht="18" customHeight="1" x14ac:dyDescent="0.2">
      <c r="L1398" s="270"/>
    </row>
    <row r="1399" spans="12:12" ht="18" customHeight="1" x14ac:dyDescent="0.2">
      <c r="L1399" s="270"/>
    </row>
    <row r="1400" spans="12:12" ht="18" customHeight="1" x14ac:dyDescent="0.2">
      <c r="L1400" s="270"/>
    </row>
    <row r="1401" spans="12:12" ht="18" customHeight="1" x14ac:dyDescent="0.2">
      <c r="L1401" s="270"/>
    </row>
    <row r="1402" spans="12:12" ht="18" customHeight="1" x14ac:dyDescent="0.2">
      <c r="L1402" s="270"/>
    </row>
    <row r="1403" spans="12:12" ht="18" customHeight="1" x14ac:dyDescent="0.2">
      <c r="L1403" s="270"/>
    </row>
    <row r="1404" spans="12:12" ht="18" customHeight="1" x14ac:dyDescent="0.2">
      <c r="L1404" s="270"/>
    </row>
    <row r="1405" spans="12:12" ht="18" customHeight="1" x14ac:dyDescent="0.2">
      <c r="L1405" s="270"/>
    </row>
    <row r="1406" spans="12:12" ht="18" customHeight="1" x14ac:dyDescent="0.2">
      <c r="L1406" s="270"/>
    </row>
    <row r="1407" spans="12:12" ht="18" customHeight="1" x14ac:dyDescent="0.2">
      <c r="L1407" s="270"/>
    </row>
    <row r="1408" spans="12:12" ht="18" customHeight="1" x14ac:dyDescent="0.2">
      <c r="L1408" s="270"/>
    </row>
    <row r="1409" spans="12:12" ht="18" customHeight="1" x14ac:dyDescent="0.2">
      <c r="L1409" s="270"/>
    </row>
    <row r="1410" spans="12:12" ht="18" customHeight="1" x14ac:dyDescent="0.2">
      <c r="L1410" s="270"/>
    </row>
    <row r="1411" spans="12:12" ht="18" customHeight="1" x14ac:dyDescent="0.2">
      <c r="L1411" s="270"/>
    </row>
    <row r="1412" spans="12:12" ht="18" customHeight="1" x14ac:dyDescent="0.2">
      <c r="L1412" s="270"/>
    </row>
    <row r="1413" spans="12:12" ht="18" customHeight="1" x14ac:dyDescent="0.2">
      <c r="L1413" s="270"/>
    </row>
    <row r="1414" spans="12:12" ht="18" customHeight="1" x14ac:dyDescent="0.2">
      <c r="L1414" s="270"/>
    </row>
    <row r="1415" spans="12:12" ht="18" customHeight="1" x14ac:dyDescent="0.2">
      <c r="L1415" s="270"/>
    </row>
    <row r="1416" spans="12:12" ht="18" customHeight="1" x14ac:dyDescent="0.2">
      <c r="L1416" s="270"/>
    </row>
    <row r="1417" spans="12:12" ht="18" customHeight="1" x14ac:dyDescent="0.2">
      <c r="L1417" s="270"/>
    </row>
    <row r="1418" spans="12:12" ht="18" customHeight="1" x14ac:dyDescent="0.2">
      <c r="L1418" s="270"/>
    </row>
    <row r="1419" spans="12:12" ht="18" customHeight="1" x14ac:dyDescent="0.2">
      <c r="L1419" s="270"/>
    </row>
    <row r="1420" spans="12:12" ht="18" customHeight="1" x14ac:dyDescent="0.2">
      <c r="L1420" s="270"/>
    </row>
    <row r="1421" spans="12:12" ht="18" customHeight="1" x14ac:dyDescent="0.2">
      <c r="L1421" s="270"/>
    </row>
    <row r="1422" spans="12:12" ht="18" customHeight="1" x14ac:dyDescent="0.2">
      <c r="L1422" s="270"/>
    </row>
    <row r="1423" spans="12:12" ht="18" customHeight="1" x14ac:dyDescent="0.2">
      <c r="L1423" s="270"/>
    </row>
    <row r="1424" spans="12:12" ht="18" customHeight="1" x14ac:dyDescent="0.2">
      <c r="L1424" s="270"/>
    </row>
    <row r="1425" spans="12:12" ht="18" customHeight="1" x14ac:dyDescent="0.2">
      <c r="L1425" s="270"/>
    </row>
    <row r="1426" spans="12:12" ht="18" customHeight="1" x14ac:dyDescent="0.2">
      <c r="L1426" s="270"/>
    </row>
    <row r="1427" spans="12:12" ht="18" customHeight="1" x14ac:dyDescent="0.2">
      <c r="L1427" s="270"/>
    </row>
    <row r="1428" spans="12:12" ht="18" customHeight="1" x14ac:dyDescent="0.2">
      <c r="L1428" s="270"/>
    </row>
    <row r="1429" spans="12:12" ht="18" customHeight="1" x14ac:dyDescent="0.2">
      <c r="L1429" s="270"/>
    </row>
    <row r="1430" spans="12:12" ht="18" customHeight="1" x14ac:dyDescent="0.2">
      <c r="L1430" s="270"/>
    </row>
    <row r="1431" spans="12:12" ht="18" customHeight="1" x14ac:dyDescent="0.2">
      <c r="L1431" s="270"/>
    </row>
    <row r="1432" spans="12:12" ht="18" customHeight="1" x14ac:dyDescent="0.2">
      <c r="L1432" s="270"/>
    </row>
    <row r="1433" spans="12:12" ht="18" customHeight="1" x14ac:dyDescent="0.2">
      <c r="L1433" s="270"/>
    </row>
    <row r="1434" spans="12:12" ht="18" customHeight="1" x14ac:dyDescent="0.2">
      <c r="L1434" s="270"/>
    </row>
    <row r="1435" spans="12:12" ht="18" customHeight="1" x14ac:dyDescent="0.2">
      <c r="L1435" s="270"/>
    </row>
    <row r="1436" spans="12:12" ht="18" customHeight="1" x14ac:dyDescent="0.2">
      <c r="L1436" s="270"/>
    </row>
    <row r="1437" spans="12:12" ht="18" customHeight="1" x14ac:dyDescent="0.2">
      <c r="L1437" s="270"/>
    </row>
    <row r="1438" spans="12:12" ht="18" customHeight="1" x14ac:dyDescent="0.2">
      <c r="L1438" s="270"/>
    </row>
    <row r="1439" spans="12:12" ht="18" customHeight="1" x14ac:dyDescent="0.2">
      <c r="L1439" s="270"/>
    </row>
    <row r="1440" spans="12:12" ht="18" customHeight="1" x14ac:dyDescent="0.2">
      <c r="L1440" s="270"/>
    </row>
    <row r="1441" spans="12:12" ht="18" customHeight="1" x14ac:dyDescent="0.2">
      <c r="L1441" s="270"/>
    </row>
    <row r="1442" spans="12:12" ht="18" customHeight="1" x14ac:dyDescent="0.2">
      <c r="L1442" s="270"/>
    </row>
    <row r="1443" spans="12:12" ht="18" customHeight="1" x14ac:dyDescent="0.2">
      <c r="L1443" s="270"/>
    </row>
    <row r="1444" spans="12:12" ht="18" customHeight="1" x14ac:dyDescent="0.2">
      <c r="L1444" s="270"/>
    </row>
    <row r="1445" spans="12:12" ht="18" customHeight="1" x14ac:dyDescent="0.2">
      <c r="L1445" s="270"/>
    </row>
    <row r="1446" spans="12:12" ht="18" customHeight="1" x14ac:dyDescent="0.2">
      <c r="L1446" s="270"/>
    </row>
    <row r="1447" spans="12:12" ht="18" customHeight="1" x14ac:dyDescent="0.2">
      <c r="L1447" s="270"/>
    </row>
    <row r="1448" spans="12:12" ht="18" customHeight="1" x14ac:dyDescent="0.2">
      <c r="L1448" s="270"/>
    </row>
    <row r="1449" spans="12:12" ht="18" customHeight="1" x14ac:dyDescent="0.2">
      <c r="L1449" s="270"/>
    </row>
    <row r="1450" spans="12:12" ht="18" customHeight="1" x14ac:dyDescent="0.2">
      <c r="L1450" s="270"/>
    </row>
    <row r="1451" spans="12:12" ht="18" customHeight="1" x14ac:dyDescent="0.2">
      <c r="L1451" s="270"/>
    </row>
    <row r="1452" spans="12:12" ht="18" customHeight="1" x14ac:dyDescent="0.2">
      <c r="L1452" s="270"/>
    </row>
    <row r="1453" spans="12:12" ht="18" customHeight="1" x14ac:dyDescent="0.2">
      <c r="L1453" s="270"/>
    </row>
    <row r="1454" spans="12:12" ht="18" customHeight="1" x14ac:dyDescent="0.2">
      <c r="L1454" s="270"/>
    </row>
    <row r="1455" spans="12:12" ht="18" customHeight="1" x14ac:dyDescent="0.2">
      <c r="L1455" s="270"/>
    </row>
    <row r="1456" spans="12:12" ht="18" customHeight="1" x14ac:dyDescent="0.2">
      <c r="L1456" s="270"/>
    </row>
    <row r="1457" spans="12:12" ht="18" customHeight="1" x14ac:dyDescent="0.2">
      <c r="L1457" s="270"/>
    </row>
    <row r="1458" spans="12:12" ht="18" customHeight="1" x14ac:dyDescent="0.2">
      <c r="L1458" s="270"/>
    </row>
    <row r="1459" spans="12:12" ht="18" customHeight="1" x14ac:dyDescent="0.2">
      <c r="L1459" s="270"/>
    </row>
    <row r="1460" spans="12:12" ht="18" customHeight="1" x14ac:dyDescent="0.2">
      <c r="L1460" s="270"/>
    </row>
    <row r="1461" spans="12:12" ht="18" customHeight="1" x14ac:dyDescent="0.2">
      <c r="L1461" s="270"/>
    </row>
    <row r="1462" spans="12:12" ht="18" customHeight="1" x14ac:dyDescent="0.2">
      <c r="L1462" s="270"/>
    </row>
    <row r="1463" spans="12:12" ht="18" customHeight="1" x14ac:dyDescent="0.2">
      <c r="L1463" s="270"/>
    </row>
    <row r="1464" spans="12:12" ht="18" customHeight="1" x14ac:dyDescent="0.2">
      <c r="L1464" s="270"/>
    </row>
    <row r="1465" spans="12:12" ht="18" customHeight="1" x14ac:dyDescent="0.2">
      <c r="L1465" s="270"/>
    </row>
    <row r="1466" spans="12:12" ht="18" customHeight="1" x14ac:dyDescent="0.2">
      <c r="L1466" s="270"/>
    </row>
    <row r="1467" spans="12:12" ht="18" customHeight="1" x14ac:dyDescent="0.2">
      <c r="L1467" s="270"/>
    </row>
    <row r="1468" spans="12:12" ht="18" customHeight="1" x14ac:dyDescent="0.2">
      <c r="L1468" s="270"/>
    </row>
    <row r="1469" spans="12:12" ht="18" customHeight="1" x14ac:dyDescent="0.2">
      <c r="L1469" s="270"/>
    </row>
    <row r="1470" spans="12:12" ht="18" customHeight="1" x14ac:dyDescent="0.2">
      <c r="L1470" s="270"/>
    </row>
    <row r="1471" spans="12:12" ht="18" customHeight="1" x14ac:dyDescent="0.2">
      <c r="L1471" s="270"/>
    </row>
    <row r="1472" spans="12:12" ht="18" customHeight="1" x14ac:dyDescent="0.2">
      <c r="L1472" s="270"/>
    </row>
    <row r="1473" spans="12:12" ht="18" customHeight="1" x14ac:dyDescent="0.2">
      <c r="L1473" s="270"/>
    </row>
    <row r="1474" spans="12:12" ht="18" customHeight="1" x14ac:dyDescent="0.2">
      <c r="L1474" s="270"/>
    </row>
    <row r="1475" spans="12:12" ht="18" customHeight="1" x14ac:dyDescent="0.2">
      <c r="L1475" s="270"/>
    </row>
    <row r="1476" spans="12:12" ht="18" customHeight="1" x14ac:dyDescent="0.2">
      <c r="L1476" s="270"/>
    </row>
    <row r="1477" spans="12:12" ht="18" customHeight="1" x14ac:dyDescent="0.2">
      <c r="L1477" s="270"/>
    </row>
    <row r="1478" spans="12:12" ht="18" customHeight="1" x14ac:dyDescent="0.2">
      <c r="L1478" s="270"/>
    </row>
    <row r="1479" spans="12:12" ht="18" customHeight="1" x14ac:dyDescent="0.2">
      <c r="L1479" s="270"/>
    </row>
    <row r="1480" spans="12:12" ht="18" customHeight="1" x14ac:dyDescent="0.2">
      <c r="L1480" s="270"/>
    </row>
    <row r="1481" spans="12:12" ht="18" customHeight="1" x14ac:dyDescent="0.2">
      <c r="L1481" s="270"/>
    </row>
    <row r="1482" spans="12:12" ht="18" customHeight="1" x14ac:dyDescent="0.2">
      <c r="L1482" s="270"/>
    </row>
    <row r="1483" spans="12:12" ht="18" customHeight="1" x14ac:dyDescent="0.2">
      <c r="L1483" s="270"/>
    </row>
    <row r="1484" spans="12:12" ht="18" customHeight="1" x14ac:dyDescent="0.2">
      <c r="L1484" s="270"/>
    </row>
    <row r="1485" spans="12:12" ht="18" customHeight="1" x14ac:dyDescent="0.2">
      <c r="L1485" s="270"/>
    </row>
    <row r="1486" spans="12:12" ht="18" customHeight="1" x14ac:dyDescent="0.2">
      <c r="L1486" s="270"/>
    </row>
    <row r="1487" spans="12:12" ht="18" customHeight="1" x14ac:dyDescent="0.2">
      <c r="L1487" s="270"/>
    </row>
    <row r="1488" spans="12:12" ht="18" customHeight="1" x14ac:dyDescent="0.2">
      <c r="L1488" s="270"/>
    </row>
    <row r="1489" spans="12:12" ht="18" customHeight="1" x14ac:dyDescent="0.2">
      <c r="L1489" s="270"/>
    </row>
    <row r="1490" spans="12:12" ht="18" customHeight="1" x14ac:dyDescent="0.2">
      <c r="L1490" s="270"/>
    </row>
    <row r="1491" spans="12:12" ht="18" customHeight="1" x14ac:dyDescent="0.2">
      <c r="L1491" s="270"/>
    </row>
    <row r="1492" spans="12:12" ht="18" customHeight="1" x14ac:dyDescent="0.2">
      <c r="L1492" s="270"/>
    </row>
    <row r="1493" spans="12:12" ht="18" customHeight="1" x14ac:dyDescent="0.2">
      <c r="L1493" s="270"/>
    </row>
    <row r="1494" spans="12:12" ht="18" customHeight="1" x14ac:dyDescent="0.2">
      <c r="L1494" s="270"/>
    </row>
    <row r="1495" spans="12:12" ht="18" customHeight="1" x14ac:dyDescent="0.2">
      <c r="L1495" s="270"/>
    </row>
    <row r="1496" spans="12:12" ht="18" customHeight="1" x14ac:dyDescent="0.2">
      <c r="L1496" s="270"/>
    </row>
    <row r="1497" spans="12:12" ht="18" customHeight="1" x14ac:dyDescent="0.2">
      <c r="L1497" s="270"/>
    </row>
    <row r="1498" spans="12:12" ht="18" customHeight="1" x14ac:dyDescent="0.2">
      <c r="L1498" s="270"/>
    </row>
    <row r="1499" spans="12:12" ht="18" customHeight="1" x14ac:dyDescent="0.2">
      <c r="L1499" s="270"/>
    </row>
    <row r="1500" spans="12:12" ht="18" customHeight="1" x14ac:dyDescent="0.2">
      <c r="L1500" s="270"/>
    </row>
    <row r="1501" spans="12:12" ht="18" customHeight="1" x14ac:dyDescent="0.2">
      <c r="L1501" s="270"/>
    </row>
    <row r="1502" spans="12:12" ht="18" customHeight="1" x14ac:dyDescent="0.2">
      <c r="L1502" s="270"/>
    </row>
    <row r="1503" spans="12:12" ht="18" customHeight="1" x14ac:dyDescent="0.2">
      <c r="L1503" s="270"/>
    </row>
    <row r="1504" spans="12:12" ht="18" customHeight="1" x14ac:dyDescent="0.2">
      <c r="L1504" s="270"/>
    </row>
    <row r="1505" spans="12:12" ht="18" customHeight="1" x14ac:dyDescent="0.2">
      <c r="L1505" s="270"/>
    </row>
    <row r="1506" spans="12:12" ht="18" customHeight="1" x14ac:dyDescent="0.2">
      <c r="L1506" s="270"/>
    </row>
    <row r="1507" spans="12:12" ht="18" customHeight="1" x14ac:dyDescent="0.2">
      <c r="L1507" s="270"/>
    </row>
    <row r="1508" spans="12:12" ht="18" customHeight="1" x14ac:dyDescent="0.2">
      <c r="L1508" s="270"/>
    </row>
    <row r="1509" spans="12:12" ht="18" customHeight="1" x14ac:dyDescent="0.2">
      <c r="L1509" s="270"/>
    </row>
    <row r="1510" spans="12:12" ht="18" customHeight="1" x14ac:dyDescent="0.2">
      <c r="L1510" s="270"/>
    </row>
    <row r="1511" spans="12:12" ht="18" customHeight="1" x14ac:dyDescent="0.2">
      <c r="L1511" s="270"/>
    </row>
    <row r="1512" spans="12:12" ht="18" customHeight="1" x14ac:dyDescent="0.2">
      <c r="L1512" s="270"/>
    </row>
    <row r="1513" spans="12:12" ht="18" customHeight="1" x14ac:dyDescent="0.2">
      <c r="L1513" s="270"/>
    </row>
    <row r="1514" spans="12:12" ht="18" customHeight="1" x14ac:dyDescent="0.2">
      <c r="L1514" s="270"/>
    </row>
    <row r="1515" spans="12:12" ht="18" customHeight="1" x14ac:dyDescent="0.2">
      <c r="L1515" s="270"/>
    </row>
    <row r="1516" spans="12:12" ht="18" customHeight="1" x14ac:dyDescent="0.2">
      <c r="L1516" s="270"/>
    </row>
    <row r="1517" spans="12:12" ht="18" customHeight="1" x14ac:dyDescent="0.2">
      <c r="L1517" s="270"/>
    </row>
    <row r="1518" spans="12:12" ht="18" customHeight="1" x14ac:dyDescent="0.2">
      <c r="L1518" s="270"/>
    </row>
    <row r="1519" spans="12:12" ht="18" customHeight="1" x14ac:dyDescent="0.2">
      <c r="L1519" s="270"/>
    </row>
    <row r="1520" spans="12:12" ht="18" customHeight="1" x14ac:dyDescent="0.2">
      <c r="L1520" s="270"/>
    </row>
    <row r="1521" spans="12:12" ht="18" customHeight="1" x14ac:dyDescent="0.2">
      <c r="L1521" s="270"/>
    </row>
    <row r="1522" spans="12:12" ht="18" customHeight="1" x14ac:dyDescent="0.2">
      <c r="L1522" s="270"/>
    </row>
    <row r="1523" spans="12:12" ht="18" customHeight="1" x14ac:dyDescent="0.2">
      <c r="L1523" s="270"/>
    </row>
    <row r="1524" spans="12:12" ht="18" customHeight="1" x14ac:dyDescent="0.2">
      <c r="L1524" s="270"/>
    </row>
    <row r="1525" spans="12:12" ht="18" customHeight="1" x14ac:dyDescent="0.2">
      <c r="L1525" s="270"/>
    </row>
    <row r="1526" spans="12:12" ht="18" customHeight="1" x14ac:dyDescent="0.2">
      <c r="L1526" s="270"/>
    </row>
    <row r="1527" spans="12:12" ht="18" customHeight="1" x14ac:dyDescent="0.2">
      <c r="L1527" s="270"/>
    </row>
    <row r="1528" spans="12:12" ht="18" customHeight="1" x14ac:dyDescent="0.2">
      <c r="L1528" s="270"/>
    </row>
    <row r="1529" spans="12:12" ht="18" customHeight="1" x14ac:dyDescent="0.2">
      <c r="L1529" s="270"/>
    </row>
    <row r="1530" spans="12:12" ht="18" customHeight="1" x14ac:dyDescent="0.2">
      <c r="L1530" s="270"/>
    </row>
    <row r="1531" spans="12:12" ht="18" customHeight="1" x14ac:dyDescent="0.2">
      <c r="L1531" s="270"/>
    </row>
    <row r="1532" spans="12:12" ht="18" customHeight="1" x14ac:dyDescent="0.2">
      <c r="L1532" s="270"/>
    </row>
    <row r="1533" spans="12:12" ht="18" customHeight="1" x14ac:dyDescent="0.2">
      <c r="L1533" s="270"/>
    </row>
    <row r="1534" spans="12:12" ht="18" customHeight="1" x14ac:dyDescent="0.2">
      <c r="L1534" s="270"/>
    </row>
    <row r="1535" spans="12:12" ht="18" customHeight="1" x14ac:dyDescent="0.2">
      <c r="L1535" s="270"/>
    </row>
    <row r="1536" spans="12:12" ht="18" customHeight="1" x14ac:dyDescent="0.2">
      <c r="L1536" s="270"/>
    </row>
    <row r="1537" spans="12:12" ht="18" customHeight="1" x14ac:dyDescent="0.2">
      <c r="L1537" s="270"/>
    </row>
    <row r="1538" spans="12:12" ht="18" customHeight="1" x14ac:dyDescent="0.2">
      <c r="L1538" s="270"/>
    </row>
    <row r="1539" spans="12:12" ht="18" customHeight="1" x14ac:dyDescent="0.2">
      <c r="L1539" s="270"/>
    </row>
    <row r="1540" spans="12:12" ht="18" customHeight="1" x14ac:dyDescent="0.2">
      <c r="L1540" s="270"/>
    </row>
    <row r="1541" spans="12:12" ht="18" customHeight="1" x14ac:dyDescent="0.2">
      <c r="L1541" s="270"/>
    </row>
    <row r="1542" spans="12:12" ht="18" customHeight="1" x14ac:dyDescent="0.2">
      <c r="L1542" s="270"/>
    </row>
    <row r="1543" spans="12:12" ht="18" customHeight="1" x14ac:dyDescent="0.2">
      <c r="L1543" s="270"/>
    </row>
    <row r="1544" spans="12:12" ht="18" customHeight="1" x14ac:dyDescent="0.2">
      <c r="L1544" s="270"/>
    </row>
    <row r="1545" spans="12:12" ht="18" customHeight="1" x14ac:dyDescent="0.2">
      <c r="L1545" s="270"/>
    </row>
    <row r="1546" spans="12:12" ht="18" customHeight="1" x14ac:dyDescent="0.2">
      <c r="L1546" s="270"/>
    </row>
    <row r="1547" spans="12:12" ht="18" customHeight="1" x14ac:dyDescent="0.2">
      <c r="L1547" s="270"/>
    </row>
    <row r="1548" spans="12:12" ht="18" customHeight="1" x14ac:dyDescent="0.2">
      <c r="L1548" s="270"/>
    </row>
    <row r="1549" spans="12:12" ht="18" customHeight="1" x14ac:dyDescent="0.2">
      <c r="L1549" s="270"/>
    </row>
    <row r="1550" spans="12:12" ht="18" customHeight="1" x14ac:dyDescent="0.2">
      <c r="L1550" s="270"/>
    </row>
    <row r="1551" spans="12:12" ht="18" customHeight="1" x14ac:dyDescent="0.2">
      <c r="L1551" s="270"/>
    </row>
    <row r="1552" spans="12:12" ht="18" customHeight="1" x14ac:dyDescent="0.2">
      <c r="L1552" s="270"/>
    </row>
    <row r="1553" spans="12:12" ht="18" customHeight="1" x14ac:dyDescent="0.2">
      <c r="L1553" s="270"/>
    </row>
    <row r="1554" spans="12:12" ht="18" customHeight="1" x14ac:dyDescent="0.2">
      <c r="L1554" s="270"/>
    </row>
    <row r="1555" spans="12:12" ht="18" customHeight="1" x14ac:dyDescent="0.2">
      <c r="L1555" s="270"/>
    </row>
    <row r="1556" spans="12:12" ht="18" customHeight="1" x14ac:dyDescent="0.2">
      <c r="L1556" s="270"/>
    </row>
    <row r="1557" spans="12:12" ht="18" customHeight="1" x14ac:dyDescent="0.2">
      <c r="L1557" s="270"/>
    </row>
    <row r="1558" spans="12:12" ht="18" customHeight="1" x14ac:dyDescent="0.2">
      <c r="L1558" s="270"/>
    </row>
    <row r="1559" spans="12:12" ht="18" customHeight="1" x14ac:dyDescent="0.2">
      <c r="L1559" s="270"/>
    </row>
    <row r="1560" spans="12:12" ht="18" customHeight="1" x14ac:dyDescent="0.2">
      <c r="L1560" s="270"/>
    </row>
    <row r="1561" spans="12:12" ht="18" customHeight="1" x14ac:dyDescent="0.2">
      <c r="L1561" s="270"/>
    </row>
    <row r="1562" spans="12:12" ht="18" customHeight="1" x14ac:dyDescent="0.2">
      <c r="L1562" s="270"/>
    </row>
    <row r="1563" spans="12:12" ht="18" customHeight="1" x14ac:dyDescent="0.2">
      <c r="L1563" s="270"/>
    </row>
    <row r="1564" spans="12:12" ht="18" customHeight="1" x14ac:dyDescent="0.2">
      <c r="L1564" s="270"/>
    </row>
    <row r="1565" spans="12:12" ht="18" customHeight="1" x14ac:dyDescent="0.2">
      <c r="L1565" s="270"/>
    </row>
    <row r="1566" spans="12:12" ht="18" customHeight="1" x14ac:dyDescent="0.2">
      <c r="L1566" s="270"/>
    </row>
    <row r="1567" spans="12:12" ht="18" customHeight="1" x14ac:dyDescent="0.2">
      <c r="L1567" s="270"/>
    </row>
    <row r="1568" spans="12:12" ht="18" customHeight="1" x14ac:dyDescent="0.2">
      <c r="L1568" s="270"/>
    </row>
    <row r="1569" spans="12:12" ht="18" customHeight="1" x14ac:dyDescent="0.2">
      <c r="L1569" s="270"/>
    </row>
    <row r="1570" spans="12:12" ht="18" customHeight="1" x14ac:dyDescent="0.2">
      <c r="L1570" s="270"/>
    </row>
    <row r="1571" spans="12:12" ht="18" customHeight="1" x14ac:dyDescent="0.2">
      <c r="L1571" s="270"/>
    </row>
    <row r="1572" spans="12:12" ht="18" customHeight="1" x14ac:dyDescent="0.2">
      <c r="L1572" s="270"/>
    </row>
    <row r="1573" spans="12:12" ht="18" customHeight="1" x14ac:dyDescent="0.2">
      <c r="L1573" s="270"/>
    </row>
    <row r="1574" spans="12:12" ht="18" customHeight="1" x14ac:dyDescent="0.2">
      <c r="L1574" s="270"/>
    </row>
    <row r="1575" spans="12:12" ht="18" customHeight="1" x14ac:dyDescent="0.2">
      <c r="L1575" s="270"/>
    </row>
    <row r="1576" spans="12:12" ht="18" customHeight="1" x14ac:dyDescent="0.2">
      <c r="L1576" s="270"/>
    </row>
    <row r="1577" spans="12:12" ht="18" customHeight="1" x14ac:dyDescent="0.2">
      <c r="L1577" s="270"/>
    </row>
    <row r="1578" spans="12:12" ht="18" customHeight="1" x14ac:dyDescent="0.2">
      <c r="L1578" s="270"/>
    </row>
    <row r="1579" spans="12:12" ht="18" customHeight="1" x14ac:dyDescent="0.2">
      <c r="L1579" s="270"/>
    </row>
    <row r="1580" spans="12:12" ht="18" customHeight="1" x14ac:dyDescent="0.2">
      <c r="L1580" s="270"/>
    </row>
    <row r="1581" spans="12:12" ht="18" customHeight="1" x14ac:dyDescent="0.2">
      <c r="L1581" s="270"/>
    </row>
    <row r="1582" spans="12:12" ht="18" customHeight="1" x14ac:dyDescent="0.2">
      <c r="L1582" s="270"/>
    </row>
    <row r="1583" spans="12:12" ht="18" customHeight="1" x14ac:dyDescent="0.2">
      <c r="L1583" s="270"/>
    </row>
    <row r="1584" spans="12:12" ht="18" customHeight="1" x14ac:dyDescent="0.2">
      <c r="L1584" s="270"/>
    </row>
    <row r="1585" spans="12:12" ht="18" customHeight="1" x14ac:dyDescent="0.2">
      <c r="L1585" s="270"/>
    </row>
    <row r="1586" spans="12:12" ht="18" customHeight="1" x14ac:dyDescent="0.2">
      <c r="L1586" s="270"/>
    </row>
    <row r="1587" spans="12:12" ht="18" customHeight="1" x14ac:dyDescent="0.2">
      <c r="L1587" s="270"/>
    </row>
    <row r="1588" spans="12:12" ht="18" customHeight="1" x14ac:dyDescent="0.2">
      <c r="L1588" s="270"/>
    </row>
    <row r="1589" spans="12:12" ht="18" customHeight="1" x14ac:dyDescent="0.2">
      <c r="L1589" s="270"/>
    </row>
    <row r="1590" spans="12:12" ht="18" customHeight="1" x14ac:dyDescent="0.2">
      <c r="L1590" s="270"/>
    </row>
    <row r="1591" spans="12:12" ht="18" customHeight="1" x14ac:dyDescent="0.2">
      <c r="L1591" s="270"/>
    </row>
    <row r="1592" spans="12:12" ht="18" customHeight="1" x14ac:dyDescent="0.2">
      <c r="L1592" s="270"/>
    </row>
    <row r="1593" spans="12:12" ht="18" customHeight="1" x14ac:dyDescent="0.2">
      <c r="L1593" s="270"/>
    </row>
    <row r="1594" spans="12:12" ht="18" customHeight="1" x14ac:dyDescent="0.2">
      <c r="L1594" s="270"/>
    </row>
    <row r="1595" spans="12:12" ht="18" customHeight="1" x14ac:dyDescent="0.2">
      <c r="L1595" s="270"/>
    </row>
    <row r="1596" spans="12:12" ht="18" customHeight="1" x14ac:dyDescent="0.2">
      <c r="L1596" s="270"/>
    </row>
    <row r="1597" spans="12:12" ht="18" customHeight="1" x14ac:dyDescent="0.2">
      <c r="L1597" s="270"/>
    </row>
    <row r="1598" spans="12:12" ht="18" customHeight="1" x14ac:dyDescent="0.2">
      <c r="L1598" s="270"/>
    </row>
    <row r="1599" spans="12:12" ht="18" customHeight="1" x14ac:dyDescent="0.2">
      <c r="L1599" s="270"/>
    </row>
    <row r="1600" spans="12:12" ht="18" customHeight="1" x14ac:dyDescent="0.2">
      <c r="L1600" s="270"/>
    </row>
    <row r="1601" spans="12:12" ht="18" customHeight="1" x14ac:dyDescent="0.2">
      <c r="L1601" s="270"/>
    </row>
    <row r="1602" spans="12:12" ht="18" customHeight="1" x14ac:dyDescent="0.2">
      <c r="L1602" s="270"/>
    </row>
    <row r="1603" spans="12:12" ht="18" customHeight="1" x14ac:dyDescent="0.2">
      <c r="L1603" s="270"/>
    </row>
    <row r="1604" spans="12:12" ht="18" customHeight="1" x14ac:dyDescent="0.2">
      <c r="L1604" s="270"/>
    </row>
    <row r="1605" spans="12:12" ht="18" customHeight="1" x14ac:dyDescent="0.2">
      <c r="L1605" s="270"/>
    </row>
    <row r="1606" spans="12:12" ht="18" customHeight="1" x14ac:dyDescent="0.2">
      <c r="L1606" s="270"/>
    </row>
    <row r="1607" spans="12:12" ht="18" customHeight="1" x14ac:dyDescent="0.2">
      <c r="L1607" s="270"/>
    </row>
    <row r="1608" spans="12:12" ht="18" customHeight="1" x14ac:dyDescent="0.2">
      <c r="L1608" s="270"/>
    </row>
    <row r="1609" spans="12:12" ht="18" customHeight="1" x14ac:dyDescent="0.2">
      <c r="L1609" s="270"/>
    </row>
    <row r="1610" spans="12:12" ht="18" customHeight="1" x14ac:dyDescent="0.2">
      <c r="L1610" s="270"/>
    </row>
    <row r="1611" spans="12:12" ht="18" customHeight="1" x14ac:dyDescent="0.2">
      <c r="L1611" s="270"/>
    </row>
    <row r="1612" spans="12:12" ht="18" customHeight="1" x14ac:dyDescent="0.2">
      <c r="L1612" s="270"/>
    </row>
    <row r="1613" spans="12:12" ht="18" customHeight="1" x14ac:dyDescent="0.2">
      <c r="L1613" s="270"/>
    </row>
    <row r="1614" spans="12:12" ht="18" customHeight="1" x14ac:dyDescent="0.2">
      <c r="L1614" s="270"/>
    </row>
    <row r="1615" spans="12:12" ht="18" customHeight="1" x14ac:dyDescent="0.2">
      <c r="L1615" s="270"/>
    </row>
    <row r="1616" spans="12:12" ht="18" customHeight="1" x14ac:dyDescent="0.2">
      <c r="L1616" s="270"/>
    </row>
    <row r="1617" spans="12:12" ht="18" customHeight="1" x14ac:dyDescent="0.2">
      <c r="L1617" s="270"/>
    </row>
    <row r="1618" spans="12:12" ht="18" customHeight="1" x14ac:dyDescent="0.2">
      <c r="L1618" s="270"/>
    </row>
    <row r="1619" spans="12:12" ht="18" customHeight="1" x14ac:dyDescent="0.2">
      <c r="L1619" s="270"/>
    </row>
    <row r="1620" spans="12:12" ht="18" customHeight="1" x14ac:dyDescent="0.2">
      <c r="L1620" s="270"/>
    </row>
    <row r="1621" spans="12:12" ht="18" customHeight="1" x14ac:dyDescent="0.2">
      <c r="L1621" s="270"/>
    </row>
    <row r="1622" spans="12:12" ht="18" customHeight="1" x14ac:dyDescent="0.2">
      <c r="L1622" s="270"/>
    </row>
    <row r="1623" spans="12:12" ht="18" customHeight="1" x14ac:dyDescent="0.2">
      <c r="L1623" s="270"/>
    </row>
    <row r="1624" spans="12:12" ht="18" customHeight="1" x14ac:dyDescent="0.2">
      <c r="L1624" s="270"/>
    </row>
    <row r="1625" spans="12:12" ht="18" customHeight="1" x14ac:dyDescent="0.2">
      <c r="L1625" s="270"/>
    </row>
    <row r="1626" spans="12:12" ht="18" customHeight="1" x14ac:dyDescent="0.2">
      <c r="L1626" s="270"/>
    </row>
    <row r="1627" spans="12:12" ht="18" customHeight="1" x14ac:dyDescent="0.2">
      <c r="L1627" s="270"/>
    </row>
    <row r="1628" spans="12:12" ht="18" customHeight="1" x14ac:dyDescent="0.2">
      <c r="L1628" s="270"/>
    </row>
    <row r="1629" spans="12:12" ht="18" customHeight="1" x14ac:dyDescent="0.2">
      <c r="L1629" s="270"/>
    </row>
    <row r="1630" spans="12:12" ht="18" customHeight="1" x14ac:dyDescent="0.2">
      <c r="L1630" s="270"/>
    </row>
    <row r="1631" spans="12:12" ht="18" customHeight="1" x14ac:dyDescent="0.2">
      <c r="L1631" s="270"/>
    </row>
    <row r="1632" spans="12:12" ht="18" customHeight="1" x14ac:dyDescent="0.2">
      <c r="L1632" s="270"/>
    </row>
    <row r="1633" spans="12:12" ht="18" customHeight="1" x14ac:dyDescent="0.2">
      <c r="L1633" s="270"/>
    </row>
    <row r="1634" spans="12:12" ht="18" customHeight="1" x14ac:dyDescent="0.2">
      <c r="L1634" s="270"/>
    </row>
    <row r="1635" spans="12:12" ht="18" customHeight="1" x14ac:dyDescent="0.2">
      <c r="L1635" s="270"/>
    </row>
    <row r="1636" spans="12:12" ht="18" customHeight="1" x14ac:dyDescent="0.2">
      <c r="L1636" s="270"/>
    </row>
    <row r="1637" spans="12:12" ht="18" customHeight="1" x14ac:dyDescent="0.2">
      <c r="L1637" s="270"/>
    </row>
    <row r="1638" spans="12:12" ht="18" customHeight="1" x14ac:dyDescent="0.2">
      <c r="L1638" s="270"/>
    </row>
    <row r="1639" spans="12:12" ht="18" customHeight="1" x14ac:dyDescent="0.2">
      <c r="L1639" s="270"/>
    </row>
    <row r="1640" spans="12:12" ht="18" customHeight="1" x14ac:dyDescent="0.2">
      <c r="L1640" s="270"/>
    </row>
    <row r="1641" spans="12:12" ht="18" customHeight="1" x14ac:dyDescent="0.2">
      <c r="L1641" s="270"/>
    </row>
    <row r="1642" spans="12:12" ht="18" customHeight="1" x14ac:dyDescent="0.2">
      <c r="L1642" s="270"/>
    </row>
    <row r="1643" spans="12:12" ht="18" customHeight="1" x14ac:dyDescent="0.2">
      <c r="L1643" s="270"/>
    </row>
    <row r="1644" spans="12:12" ht="18" customHeight="1" x14ac:dyDescent="0.2">
      <c r="L1644" s="270"/>
    </row>
    <row r="1645" spans="12:12" ht="18" customHeight="1" x14ac:dyDescent="0.2">
      <c r="L1645" s="270"/>
    </row>
    <row r="1646" spans="12:12" ht="18" customHeight="1" x14ac:dyDescent="0.2">
      <c r="L1646" s="270"/>
    </row>
    <row r="1647" spans="12:12" ht="18" customHeight="1" x14ac:dyDescent="0.2">
      <c r="L1647" s="270"/>
    </row>
    <row r="1648" spans="12:12" ht="18" customHeight="1" x14ac:dyDescent="0.2">
      <c r="L1648" s="270"/>
    </row>
    <row r="1649" spans="12:12" ht="18" customHeight="1" x14ac:dyDescent="0.2">
      <c r="L1649" s="270"/>
    </row>
    <row r="1650" spans="12:12" ht="18" customHeight="1" x14ac:dyDescent="0.2">
      <c r="L1650" s="270"/>
    </row>
    <row r="1651" spans="12:12" ht="18" customHeight="1" x14ac:dyDescent="0.2">
      <c r="L1651" s="270"/>
    </row>
    <row r="1652" spans="12:12" ht="18" customHeight="1" x14ac:dyDescent="0.2">
      <c r="L1652" s="270"/>
    </row>
    <row r="1653" spans="12:12" ht="18" customHeight="1" x14ac:dyDescent="0.2">
      <c r="L1653" s="270"/>
    </row>
    <row r="1654" spans="12:12" ht="18" customHeight="1" x14ac:dyDescent="0.2">
      <c r="L1654" s="270"/>
    </row>
    <row r="1655" spans="12:12" ht="18" customHeight="1" x14ac:dyDescent="0.2">
      <c r="L1655" s="270"/>
    </row>
    <row r="1656" spans="12:12" ht="18" customHeight="1" x14ac:dyDescent="0.2">
      <c r="L1656" s="270"/>
    </row>
    <row r="1657" spans="12:12" ht="18" customHeight="1" x14ac:dyDescent="0.2">
      <c r="L1657" s="270"/>
    </row>
    <row r="1658" spans="12:12" ht="18" customHeight="1" x14ac:dyDescent="0.2">
      <c r="L1658" s="270"/>
    </row>
    <row r="1659" spans="12:12" ht="18" customHeight="1" x14ac:dyDescent="0.2">
      <c r="L1659" s="270"/>
    </row>
    <row r="1660" spans="12:12" ht="18" customHeight="1" x14ac:dyDescent="0.2">
      <c r="L1660" s="270"/>
    </row>
    <row r="1661" spans="12:12" ht="18" customHeight="1" x14ac:dyDescent="0.2">
      <c r="L1661" s="270"/>
    </row>
    <row r="1662" spans="12:12" ht="18" customHeight="1" x14ac:dyDescent="0.2">
      <c r="L1662" s="270"/>
    </row>
    <row r="1663" spans="12:12" ht="18" customHeight="1" x14ac:dyDescent="0.2">
      <c r="L1663" s="270"/>
    </row>
    <row r="1664" spans="12:12" ht="18" customHeight="1" x14ac:dyDescent="0.2">
      <c r="L1664" s="270"/>
    </row>
    <row r="1665" spans="12:12" ht="18" customHeight="1" x14ac:dyDescent="0.2">
      <c r="L1665" s="270"/>
    </row>
    <row r="1666" spans="12:12" ht="18" customHeight="1" x14ac:dyDescent="0.2">
      <c r="L1666" s="270"/>
    </row>
    <row r="1667" spans="12:12" ht="18" customHeight="1" x14ac:dyDescent="0.2">
      <c r="L1667" s="270"/>
    </row>
    <row r="1668" spans="12:12" ht="18" customHeight="1" x14ac:dyDescent="0.2">
      <c r="L1668" s="270"/>
    </row>
    <row r="1669" spans="12:12" ht="18" customHeight="1" x14ac:dyDescent="0.2">
      <c r="L1669" s="270"/>
    </row>
    <row r="1670" spans="12:12" ht="18" customHeight="1" x14ac:dyDescent="0.2">
      <c r="L1670" s="270"/>
    </row>
    <row r="1671" spans="12:12" ht="18" customHeight="1" x14ac:dyDescent="0.2">
      <c r="L1671" s="270"/>
    </row>
    <row r="1672" spans="12:12" ht="18" customHeight="1" x14ac:dyDescent="0.2">
      <c r="L1672" s="270"/>
    </row>
    <row r="1673" spans="12:12" ht="18" customHeight="1" x14ac:dyDescent="0.2">
      <c r="L1673" s="270"/>
    </row>
    <row r="1674" spans="12:12" ht="18" customHeight="1" x14ac:dyDescent="0.2">
      <c r="L1674" s="270"/>
    </row>
    <row r="1675" spans="12:12" ht="18" customHeight="1" x14ac:dyDescent="0.2">
      <c r="L1675" s="270"/>
    </row>
    <row r="1676" spans="12:12" ht="18" customHeight="1" x14ac:dyDescent="0.2">
      <c r="L1676" s="270"/>
    </row>
    <row r="1677" spans="12:12" ht="18" customHeight="1" x14ac:dyDescent="0.2">
      <c r="L1677" s="270"/>
    </row>
    <row r="1678" spans="12:12" ht="18" customHeight="1" x14ac:dyDescent="0.2">
      <c r="L1678" s="270"/>
    </row>
    <row r="1679" spans="12:12" ht="18" customHeight="1" x14ac:dyDescent="0.2">
      <c r="L1679" s="270"/>
    </row>
    <row r="1680" spans="12:12" ht="18" customHeight="1" x14ac:dyDescent="0.2">
      <c r="L1680" s="270"/>
    </row>
    <row r="1681" spans="12:12" ht="18" customHeight="1" x14ac:dyDescent="0.2">
      <c r="L1681" s="270"/>
    </row>
    <row r="1682" spans="12:12" ht="18" customHeight="1" x14ac:dyDescent="0.2">
      <c r="L1682" s="270"/>
    </row>
    <row r="1683" spans="12:12" ht="18" customHeight="1" x14ac:dyDescent="0.2">
      <c r="L1683" s="270"/>
    </row>
    <row r="1684" spans="12:12" ht="18" customHeight="1" x14ac:dyDescent="0.2">
      <c r="L1684" s="270"/>
    </row>
    <row r="1685" spans="12:12" ht="18" customHeight="1" x14ac:dyDescent="0.2">
      <c r="L1685" s="270"/>
    </row>
    <row r="1686" spans="12:12" ht="18" customHeight="1" x14ac:dyDescent="0.2">
      <c r="L1686" s="270"/>
    </row>
    <row r="1687" spans="12:12" ht="18" customHeight="1" x14ac:dyDescent="0.2">
      <c r="L1687" s="270"/>
    </row>
    <row r="1688" spans="12:12" ht="18" customHeight="1" x14ac:dyDescent="0.2">
      <c r="L1688" s="270"/>
    </row>
    <row r="1689" spans="12:12" ht="18" customHeight="1" x14ac:dyDescent="0.2">
      <c r="L1689" s="270"/>
    </row>
    <row r="1690" spans="12:12" ht="18" customHeight="1" x14ac:dyDescent="0.2">
      <c r="L1690" s="270"/>
    </row>
    <row r="1691" spans="12:12" ht="18" customHeight="1" x14ac:dyDescent="0.2">
      <c r="L1691" s="270"/>
    </row>
    <row r="1692" spans="12:12" ht="18" customHeight="1" x14ac:dyDescent="0.2">
      <c r="L1692" s="270"/>
    </row>
    <row r="1693" spans="12:12" ht="18" customHeight="1" x14ac:dyDescent="0.2">
      <c r="L1693" s="270"/>
    </row>
    <row r="1694" spans="12:12" ht="18" customHeight="1" x14ac:dyDescent="0.2">
      <c r="L1694" s="270"/>
    </row>
    <row r="1695" spans="12:12" ht="18" customHeight="1" x14ac:dyDescent="0.2">
      <c r="L1695" s="270"/>
    </row>
    <row r="1696" spans="12:12" ht="18" customHeight="1" x14ac:dyDescent="0.2">
      <c r="L1696" s="270"/>
    </row>
    <row r="1697" spans="12:12" ht="18" customHeight="1" x14ac:dyDescent="0.2">
      <c r="L1697" s="270"/>
    </row>
    <row r="1698" spans="12:12" ht="18" customHeight="1" x14ac:dyDescent="0.2">
      <c r="L1698" s="270"/>
    </row>
    <row r="1699" spans="12:12" ht="18" customHeight="1" x14ac:dyDescent="0.2">
      <c r="L1699" s="270"/>
    </row>
    <row r="1700" spans="12:12" ht="18" customHeight="1" x14ac:dyDescent="0.2">
      <c r="L1700" s="270"/>
    </row>
    <row r="1701" spans="12:12" ht="18" customHeight="1" x14ac:dyDescent="0.2">
      <c r="L1701" s="270"/>
    </row>
    <row r="1702" spans="12:12" ht="18" customHeight="1" x14ac:dyDescent="0.2">
      <c r="L1702" s="270"/>
    </row>
    <row r="1703" spans="12:12" ht="18" customHeight="1" x14ac:dyDescent="0.2">
      <c r="L1703" s="270"/>
    </row>
    <row r="1704" spans="12:12" ht="18" customHeight="1" x14ac:dyDescent="0.2">
      <c r="L1704" s="270"/>
    </row>
    <row r="1705" spans="12:12" ht="18" customHeight="1" x14ac:dyDescent="0.2">
      <c r="L1705" s="270"/>
    </row>
    <row r="1706" spans="12:12" ht="18" customHeight="1" x14ac:dyDescent="0.2">
      <c r="L1706" s="270"/>
    </row>
    <row r="1707" spans="12:12" ht="18" customHeight="1" x14ac:dyDescent="0.2">
      <c r="L1707" s="270"/>
    </row>
    <row r="1708" spans="12:12" ht="18" customHeight="1" x14ac:dyDescent="0.2">
      <c r="L1708" s="270"/>
    </row>
    <row r="1709" spans="12:12" ht="18" customHeight="1" x14ac:dyDescent="0.2">
      <c r="L1709" s="270"/>
    </row>
    <row r="1710" spans="12:12" ht="18" customHeight="1" x14ac:dyDescent="0.2">
      <c r="L1710" s="270"/>
    </row>
    <row r="1711" spans="12:12" ht="18" customHeight="1" x14ac:dyDescent="0.2">
      <c r="L1711" s="270"/>
    </row>
    <row r="1712" spans="12:12" ht="18" customHeight="1" x14ac:dyDescent="0.2">
      <c r="L1712" s="270"/>
    </row>
    <row r="1713" spans="12:12" ht="18" customHeight="1" x14ac:dyDescent="0.2">
      <c r="L1713" s="270"/>
    </row>
    <row r="1714" spans="12:12" ht="18" customHeight="1" x14ac:dyDescent="0.2">
      <c r="L1714" s="270"/>
    </row>
    <row r="1715" spans="12:12" ht="18" customHeight="1" x14ac:dyDescent="0.2">
      <c r="L1715" s="270"/>
    </row>
    <row r="1716" spans="12:12" ht="18" customHeight="1" x14ac:dyDescent="0.2">
      <c r="L1716" s="270"/>
    </row>
    <row r="1717" spans="12:12" ht="18" customHeight="1" x14ac:dyDescent="0.2">
      <c r="L1717" s="270"/>
    </row>
    <row r="1718" spans="12:12" ht="18" customHeight="1" x14ac:dyDescent="0.2">
      <c r="L1718" s="270"/>
    </row>
    <row r="1719" spans="12:12" ht="18" customHeight="1" x14ac:dyDescent="0.2">
      <c r="L1719" s="270"/>
    </row>
    <row r="1720" spans="12:12" ht="18" customHeight="1" x14ac:dyDescent="0.2">
      <c r="L1720" s="270"/>
    </row>
    <row r="1721" spans="12:12" ht="18" customHeight="1" x14ac:dyDescent="0.2">
      <c r="L1721" s="270"/>
    </row>
    <row r="1722" spans="12:12" ht="18" customHeight="1" x14ac:dyDescent="0.2">
      <c r="L1722" s="270"/>
    </row>
    <row r="1723" spans="12:12" ht="18" customHeight="1" x14ac:dyDescent="0.2">
      <c r="L1723" s="270"/>
    </row>
    <row r="1724" spans="12:12" ht="18" customHeight="1" x14ac:dyDescent="0.2">
      <c r="L1724" s="270"/>
    </row>
    <row r="1725" spans="12:12" ht="18" customHeight="1" x14ac:dyDescent="0.2">
      <c r="L1725" s="270"/>
    </row>
    <row r="1726" spans="12:12" ht="18" customHeight="1" x14ac:dyDescent="0.2">
      <c r="L1726" s="270"/>
    </row>
    <row r="1727" spans="12:12" ht="18" customHeight="1" x14ac:dyDescent="0.2">
      <c r="L1727" s="270"/>
    </row>
    <row r="1728" spans="12:12" ht="18" customHeight="1" x14ac:dyDescent="0.2">
      <c r="L1728" s="270"/>
    </row>
    <row r="1729" spans="12:12" ht="18" customHeight="1" x14ac:dyDescent="0.2">
      <c r="L1729" s="270"/>
    </row>
    <row r="1730" spans="12:12" ht="18" customHeight="1" x14ac:dyDescent="0.2">
      <c r="L1730" s="270"/>
    </row>
    <row r="1731" spans="12:12" ht="18" customHeight="1" x14ac:dyDescent="0.2">
      <c r="L1731" s="270"/>
    </row>
    <row r="1732" spans="12:12" ht="18" customHeight="1" x14ac:dyDescent="0.2">
      <c r="L1732" s="270"/>
    </row>
    <row r="1733" spans="12:12" ht="18" customHeight="1" x14ac:dyDescent="0.2">
      <c r="L1733" s="270"/>
    </row>
    <row r="1734" spans="12:12" ht="18" customHeight="1" x14ac:dyDescent="0.2">
      <c r="L1734" s="270"/>
    </row>
    <row r="1735" spans="12:12" ht="18" customHeight="1" x14ac:dyDescent="0.2">
      <c r="L1735" s="270"/>
    </row>
    <row r="1736" spans="12:12" ht="18" customHeight="1" x14ac:dyDescent="0.2">
      <c r="L1736" s="270"/>
    </row>
    <row r="1737" spans="12:12" ht="18" customHeight="1" x14ac:dyDescent="0.2">
      <c r="L1737" s="270"/>
    </row>
    <row r="1738" spans="12:12" ht="18" customHeight="1" x14ac:dyDescent="0.2">
      <c r="L1738" s="270"/>
    </row>
    <row r="1739" spans="12:12" ht="18" customHeight="1" x14ac:dyDescent="0.2">
      <c r="L1739" s="270"/>
    </row>
    <row r="1740" spans="12:12" ht="18" customHeight="1" x14ac:dyDescent="0.2">
      <c r="L1740" s="270"/>
    </row>
    <row r="1741" spans="12:12" ht="18" customHeight="1" x14ac:dyDescent="0.2">
      <c r="L1741" s="270"/>
    </row>
    <row r="1742" spans="12:12" ht="18" customHeight="1" x14ac:dyDescent="0.2">
      <c r="L1742" s="270"/>
    </row>
    <row r="1743" spans="12:12" ht="18" customHeight="1" x14ac:dyDescent="0.2">
      <c r="L1743" s="270"/>
    </row>
    <row r="1744" spans="12:12" ht="18" customHeight="1" x14ac:dyDescent="0.2">
      <c r="L1744" s="270"/>
    </row>
    <row r="1745" spans="12:12" ht="18" customHeight="1" x14ac:dyDescent="0.2">
      <c r="L1745" s="270"/>
    </row>
    <row r="1746" spans="12:12" ht="18" customHeight="1" x14ac:dyDescent="0.2">
      <c r="L1746" s="270"/>
    </row>
    <row r="1747" spans="12:12" ht="18" customHeight="1" x14ac:dyDescent="0.2">
      <c r="L1747" s="270"/>
    </row>
    <row r="1748" spans="12:12" ht="18" customHeight="1" x14ac:dyDescent="0.2">
      <c r="L1748" s="270"/>
    </row>
    <row r="1749" spans="12:12" ht="18" customHeight="1" x14ac:dyDescent="0.2">
      <c r="L1749" s="270"/>
    </row>
    <row r="1750" spans="12:12" ht="18" customHeight="1" x14ac:dyDescent="0.2">
      <c r="L1750" s="270"/>
    </row>
    <row r="1751" spans="12:12" ht="18" customHeight="1" x14ac:dyDescent="0.2">
      <c r="L1751" s="270"/>
    </row>
    <row r="1752" spans="12:12" ht="18" customHeight="1" x14ac:dyDescent="0.2">
      <c r="L1752" s="270"/>
    </row>
    <row r="1753" spans="12:12" ht="18" customHeight="1" x14ac:dyDescent="0.2">
      <c r="L1753" s="270"/>
    </row>
    <row r="1754" spans="12:12" ht="18" customHeight="1" x14ac:dyDescent="0.2">
      <c r="L1754" s="270"/>
    </row>
    <row r="1755" spans="12:12" ht="18" customHeight="1" x14ac:dyDescent="0.2">
      <c r="L1755" s="270"/>
    </row>
    <row r="1756" spans="12:12" ht="18" customHeight="1" x14ac:dyDescent="0.2">
      <c r="L1756" s="270"/>
    </row>
    <row r="1757" spans="12:12" ht="18" customHeight="1" x14ac:dyDescent="0.2">
      <c r="L1757" s="270"/>
    </row>
    <row r="1758" spans="12:12" ht="18" customHeight="1" x14ac:dyDescent="0.2">
      <c r="L1758" s="270"/>
    </row>
    <row r="1759" spans="12:12" ht="18" customHeight="1" x14ac:dyDescent="0.2">
      <c r="L1759" s="270"/>
    </row>
    <row r="1760" spans="12:12" ht="18" customHeight="1" x14ac:dyDescent="0.2">
      <c r="L1760" s="270"/>
    </row>
    <row r="1761" spans="12:12" ht="18" customHeight="1" x14ac:dyDescent="0.2">
      <c r="L1761" s="270"/>
    </row>
    <row r="1762" spans="12:12" ht="18" customHeight="1" x14ac:dyDescent="0.2">
      <c r="L1762" s="270"/>
    </row>
    <row r="1763" spans="12:12" ht="18" customHeight="1" x14ac:dyDescent="0.2">
      <c r="L1763" s="270"/>
    </row>
    <row r="1764" spans="12:12" ht="18" customHeight="1" x14ac:dyDescent="0.2">
      <c r="L1764" s="270"/>
    </row>
    <row r="1765" spans="12:12" ht="18" customHeight="1" x14ac:dyDescent="0.2">
      <c r="L1765" s="270"/>
    </row>
    <row r="1766" spans="12:12" ht="18" customHeight="1" x14ac:dyDescent="0.2">
      <c r="L1766" s="270"/>
    </row>
    <row r="1767" spans="12:12" ht="18" customHeight="1" x14ac:dyDescent="0.2">
      <c r="L1767" s="270"/>
    </row>
    <row r="1768" spans="12:12" ht="18" customHeight="1" x14ac:dyDescent="0.2">
      <c r="L1768" s="270"/>
    </row>
    <row r="1769" spans="12:12" ht="18" customHeight="1" x14ac:dyDescent="0.2">
      <c r="L1769" s="270"/>
    </row>
    <row r="1770" spans="12:12" ht="18" customHeight="1" x14ac:dyDescent="0.2">
      <c r="L1770" s="270"/>
    </row>
    <row r="1771" spans="12:12" ht="18" customHeight="1" x14ac:dyDescent="0.2">
      <c r="L1771" s="270"/>
    </row>
    <row r="1772" spans="12:12" ht="18" customHeight="1" x14ac:dyDescent="0.2">
      <c r="L1772" s="270"/>
    </row>
    <row r="1773" spans="12:12" ht="18" customHeight="1" x14ac:dyDescent="0.2">
      <c r="L1773" s="270"/>
    </row>
    <row r="1774" spans="12:12" ht="18" customHeight="1" x14ac:dyDescent="0.2">
      <c r="L1774" s="270"/>
    </row>
    <row r="1775" spans="12:12" ht="18" customHeight="1" x14ac:dyDescent="0.2">
      <c r="L1775" s="270"/>
    </row>
    <row r="1776" spans="12:12" ht="18" customHeight="1" x14ac:dyDescent="0.2">
      <c r="L1776" s="270"/>
    </row>
    <row r="1777" spans="12:12" ht="18" customHeight="1" x14ac:dyDescent="0.2">
      <c r="L1777" s="270"/>
    </row>
    <row r="1778" spans="12:12" ht="18" customHeight="1" x14ac:dyDescent="0.2">
      <c r="L1778" s="270"/>
    </row>
    <row r="1779" spans="12:12" ht="18" customHeight="1" x14ac:dyDescent="0.2">
      <c r="L1779" s="270"/>
    </row>
    <row r="1780" spans="12:12" ht="18" customHeight="1" x14ac:dyDescent="0.2">
      <c r="L1780" s="270"/>
    </row>
    <row r="1781" spans="12:12" ht="18" customHeight="1" x14ac:dyDescent="0.2">
      <c r="L1781" s="270"/>
    </row>
    <row r="1782" spans="12:12" ht="18" customHeight="1" x14ac:dyDescent="0.2">
      <c r="L1782" s="270"/>
    </row>
    <row r="1783" spans="12:12" ht="18" customHeight="1" x14ac:dyDescent="0.2">
      <c r="L1783" s="270"/>
    </row>
    <row r="1784" spans="12:12" ht="18" customHeight="1" x14ac:dyDescent="0.2">
      <c r="L1784" s="270"/>
    </row>
    <row r="1785" spans="12:12" ht="18" customHeight="1" x14ac:dyDescent="0.2">
      <c r="L1785" s="270"/>
    </row>
    <row r="1786" spans="12:12" ht="18" customHeight="1" x14ac:dyDescent="0.2">
      <c r="L1786" s="270"/>
    </row>
    <row r="1787" spans="12:12" ht="18" customHeight="1" x14ac:dyDescent="0.2">
      <c r="L1787" s="270"/>
    </row>
    <row r="1788" spans="12:12" ht="18" customHeight="1" x14ac:dyDescent="0.2">
      <c r="L1788" s="270"/>
    </row>
    <row r="1789" spans="12:12" ht="18" customHeight="1" x14ac:dyDescent="0.2">
      <c r="L1789" s="270"/>
    </row>
    <row r="1790" spans="12:12" ht="18" customHeight="1" x14ac:dyDescent="0.2">
      <c r="L1790" s="270"/>
    </row>
    <row r="1791" spans="12:12" ht="18" customHeight="1" x14ac:dyDescent="0.2">
      <c r="L1791" s="270"/>
    </row>
    <row r="1792" spans="12:12" ht="18" customHeight="1" x14ac:dyDescent="0.2">
      <c r="L1792" s="270"/>
    </row>
    <row r="1793" spans="12:12" ht="18" customHeight="1" x14ac:dyDescent="0.2">
      <c r="L1793" s="270"/>
    </row>
    <row r="1794" spans="12:12" ht="18" customHeight="1" x14ac:dyDescent="0.2">
      <c r="L1794" s="270"/>
    </row>
    <row r="1795" spans="12:12" ht="18" customHeight="1" x14ac:dyDescent="0.2">
      <c r="L1795" s="270"/>
    </row>
    <row r="1796" spans="12:12" ht="18" customHeight="1" x14ac:dyDescent="0.2">
      <c r="L1796" s="270"/>
    </row>
    <row r="1797" spans="12:12" ht="18" customHeight="1" x14ac:dyDescent="0.2">
      <c r="L1797" s="270"/>
    </row>
    <row r="1798" spans="12:12" ht="18" customHeight="1" x14ac:dyDescent="0.2">
      <c r="L1798" s="270"/>
    </row>
    <row r="1799" spans="12:12" ht="18" customHeight="1" x14ac:dyDescent="0.2">
      <c r="L1799" s="270"/>
    </row>
    <row r="1800" spans="12:12" ht="18" customHeight="1" x14ac:dyDescent="0.2">
      <c r="L1800" s="270"/>
    </row>
    <row r="1801" spans="12:12" ht="18" customHeight="1" x14ac:dyDescent="0.2">
      <c r="L1801" s="270"/>
    </row>
    <row r="1802" spans="12:12" ht="18" customHeight="1" x14ac:dyDescent="0.2">
      <c r="L1802" s="270"/>
    </row>
    <row r="1803" spans="12:12" ht="18" customHeight="1" x14ac:dyDescent="0.2">
      <c r="L1803" s="270"/>
    </row>
    <row r="1804" spans="12:12" ht="18" customHeight="1" x14ac:dyDescent="0.2">
      <c r="L1804" s="270"/>
    </row>
    <row r="1805" spans="12:12" ht="18" customHeight="1" x14ac:dyDescent="0.2">
      <c r="L1805" s="270"/>
    </row>
    <row r="1806" spans="12:12" ht="18" customHeight="1" x14ac:dyDescent="0.2">
      <c r="L1806" s="270"/>
    </row>
    <row r="1807" spans="12:12" ht="18" customHeight="1" x14ac:dyDescent="0.2">
      <c r="L1807" s="270"/>
    </row>
    <row r="1808" spans="12:12" ht="18" customHeight="1" x14ac:dyDescent="0.2">
      <c r="L1808" s="270"/>
    </row>
    <row r="1809" spans="12:12" ht="18" customHeight="1" x14ac:dyDescent="0.2">
      <c r="L1809" s="270"/>
    </row>
    <row r="1810" spans="12:12" ht="18" customHeight="1" x14ac:dyDescent="0.2">
      <c r="L1810" s="270"/>
    </row>
    <row r="1811" spans="12:12" ht="18" customHeight="1" x14ac:dyDescent="0.2">
      <c r="L1811" s="270"/>
    </row>
    <row r="1812" spans="12:12" ht="18" customHeight="1" x14ac:dyDescent="0.2">
      <c r="L1812" s="270"/>
    </row>
    <row r="1813" spans="12:12" ht="18" customHeight="1" x14ac:dyDescent="0.2">
      <c r="L1813" s="270"/>
    </row>
    <row r="1814" spans="12:12" ht="18" customHeight="1" x14ac:dyDescent="0.2">
      <c r="L1814" s="270"/>
    </row>
    <row r="1815" spans="12:12" ht="18" customHeight="1" x14ac:dyDescent="0.2">
      <c r="L1815" s="270"/>
    </row>
    <row r="1816" spans="12:12" ht="18" customHeight="1" x14ac:dyDescent="0.2">
      <c r="L1816" s="270"/>
    </row>
    <row r="1817" spans="12:12" ht="18" customHeight="1" x14ac:dyDescent="0.2">
      <c r="L1817" s="270"/>
    </row>
    <row r="1818" spans="12:12" ht="18" customHeight="1" x14ac:dyDescent="0.2">
      <c r="L1818" s="270"/>
    </row>
    <row r="1819" spans="12:12" ht="18" customHeight="1" x14ac:dyDescent="0.2">
      <c r="L1819" s="270"/>
    </row>
    <row r="1820" spans="12:12" ht="18" customHeight="1" x14ac:dyDescent="0.2">
      <c r="L1820" s="270"/>
    </row>
    <row r="1821" spans="12:12" ht="18" customHeight="1" x14ac:dyDescent="0.2">
      <c r="L1821" s="270"/>
    </row>
    <row r="1822" spans="12:12" ht="18" customHeight="1" x14ac:dyDescent="0.2">
      <c r="L1822" s="270"/>
    </row>
    <row r="1823" spans="12:12" ht="18" customHeight="1" x14ac:dyDescent="0.2">
      <c r="L1823" s="270"/>
    </row>
    <row r="1824" spans="12:12" ht="18" customHeight="1" x14ac:dyDescent="0.2">
      <c r="L1824" s="270"/>
    </row>
    <row r="1825" spans="12:12" ht="18" customHeight="1" x14ac:dyDescent="0.2">
      <c r="L1825" s="270"/>
    </row>
    <row r="1826" spans="12:12" ht="18" customHeight="1" x14ac:dyDescent="0.2">
      <c r="L1826" s="270"/>
    </row>
    <row r="1827" spans="12:12" ht="18" customHeight="1" x14ac:dyDescent="0.2">
      <c r="L1827" s="270"/>
    </row>
    <row r="1828" spans="12:12" ht="18" customHeight="1" x14ac:dyDescent="0.2">
      <c r="L1828" s="270"/>
    </row>
    <row r="1829" spans="12:12" ht="18" customHeight="1" x14ac:dyDescent="0.2">
      <c r="L1829" s="270"/>
    </row>
    <row r="1830" spans="12:12" ht="18" customHeight="1" x14ac:dyDescent="0.2">
      <c r="L1830" s="270"/>
    </row>
    <row r="1831" spans="12:12" ht="18" customHeight="1" x14ac:dyDescent="0.2">
      <c r="L1831" s="270"/>
    </row>
    <row r="1832" spans="12:12" ht="18" customHeight="1" x14ac:dyDescent="0.2">
      <c r="L1832" s="270"/>
    </row>
    <row r="1833" spans="12:12" ht="18" customHeight="1" x14ac:dyDescent="0.2">
      <c r="L1833" s="270"/>
    </row>
    <row r="1834" spans="12:12" ht="18" customHeight="1" x14ac:dyDescent="0.2">
      <c r="L1834" s="270"/>
    </row>
    <row r="1835" spans="12:12" ht="18" customHeight="1" x14ac:dyDescent="0.2">
      <c r="L1835" s="270"/>
    </row>
    <row r="1836" spans="12:12" ht="18" customHeight="1" x14ac:dyDescent="0.2">
      <c r="L1836" s="270"/>
    </row>
    <row r="1837" spans="12:12" ht="18" customHeight="1" x14ac:dyDescent="0.2">
      <c r="L1837" s="270"/>
    </row>
    <row r="1838" spans="12:12" ht="18" customHeight="1" x14ac:dyDescent="0.2">
      <c r="L1838" s="270"/>
    </row>
    <row r="1839" spans="12:12" ht="18" customHeight="1" x14ac:dyDescent="0.2">
      <c r="L1839" s="270"/>
    </row>
    <row r="1840" spans="12:12" ht="18" customHeight="1" x14ac:dyDescent="0.2">
      <c r="L1840" s="270"/>
    </row>
    <row r="1841" spans="12:12" ht="18" customHeight="1" x14ac:dyDescent="0.2">
      <c r="L1841" s="270"/>
    </row>
    <row r="1842" spans="12:12" ht="18" customHeight="1" x14ac:dyDescent="0.2">
      <c r="L1842" s="270"/>
    </row>
    <row r="1843" spans="12:12" ht="18" customHeight="1" x14ac:dyDescent="0.2">
      <c r="L1843" s="270"/>
    </row>
    <row r="1844" spans="12:12" ht="18" customHeight="1" x14ac:dyDescent="0.2">
      <c r="L1844" s="270"/>
    </row>
    <row r="1845" spans="12:12" ht="18" customHeight="1" x14ac:dyDescent="0.2">
      <c r="L1845" s="270"/>
    </row>
    <row r="1846" spans="12:12" ht="18" customHeight="1" x14ac:dyDescent="0.2">
      <c r="L1846" s="270"/>
    </row>
    <row r="1847" spans="12:12" ht="18" customHeight="1" x14ac:dyDescent="0.2">
      <c r="L1847" s="270"/>
    </row>
    <row r="1848" spans="12:12" ht="18" customHeight="1" x14ac:dyDescent="0.2">
      <c r="L1848" s="270"/>
    </row>
    <row r="1849" spans="12:12" ht="18" customHeight="1" x14ac:dyDescent="0.2">
      <c r="L1849" s="270"/>
    </row>
    <row r="1850" spans="12:12" ht="18" customHeight="1" x14ac:dyDescent="0.2">
      <c r="L1850" s="270"/>
    </row>
    <row r="1851" spans="12:12" ht="18" customHeight="1" x14ac:dyDescent="0.2">
      <c r="L1851" s="270"/>
    </row>
    <row r="1852" spans="12:12" ht="18" customHeight="1" x14ac:dyDescent="0.2">
      <c r="L1852" s="270"/>
    </row>
    <row r="1853" spans="12:12" ht="18" customHeight="1" x14ac:dyDescent="0.2">
      <c r="L1853" s="270"/>
    </row>
    <row r="1854" spans="12:12" ht="18" customHeight="1" x14ac:dyDescent="0.2">
      <c r="L1854" s="270"/>
    </row>
    <row r="1855" spans="12:12" ht="18" customHeight="1" x14ac:dyDescent="0.2">
      <c r="L1855" s="270"/>
    </row>
    <row r="1856" spans="12:12" ht="18" customHeight="1" x14ac:dyDescent="0.2">
      <c r="L1856" s="270"/>
    </row>
    <row r="1857" spans="12:12" ht="18" customHeight="1" x14ac:dyDescent="0.2">
      <c r="L1857" s="270"/>
    </row>
    <row r="1858" spans="12:12" ht="18" customHeight="1" x14ac:dyDescent="0.2">
      <c r="L1858" s="270"/>
    </row>
    <row r="1859" spans="12:12" ht="18" customHeight="1" x14ac:dyDescent="0.2">
      <c r="L1859" s="270"/>
    </row>
    <row r="1860" spans="12:12" ht="18" customHeight="1" x14ac:dyDescent="0.2">
      <c r="L1860" s="270"/>
    </row>
    <row r="1861" spans="12:12" ht="18" customHeight="1" x14ac:dyDescent="0.2">
      <c r="L1861" s="270"/>
    </row>
    <row r="1862" spans="12:12" ht="18" customHeight="1" x14ac:dyDescent="0.2">
      <c r="L1862" s="270"/>
    </row>
    <row r="1863" spans="12:12" ht="18" customHeight="1" x14ac:dyDescent="0.2">
      <c r="L1863" s="270"/>
    </row>
    <row r="1864" spans="12:12" ht="18" customHeight="1" x14ac:dyDescent="0.2">
      <c r="L1864" s="270"/>
    </row>
    <row r="1865" spans="12:12" ht="18" customHeight="1" x14ac:dyDescent="0.2">
      <c r="L1865" s="270"/>
    </row>
    <row r="1866" spans="12:12" ht="18" customHeight="1" x14ac:dyDescent="0.2">
      <c r="L1866" s="270"/>
    </row>
    <row r="1867" spans="12:12" ht="18" customHeight="1" x14ac:dyDescent="0.2">
      <c r="L1867" s="270"/>
    </row>
    <row r="1868" spans="12:12" ht="18" customHeight="1" x14ac:dyDescent="0.2">
      <c r="L1868" s="270"/>
    </row>
    <row r="1869" spans="12:12" ht="18" customHeight="1" x14ac:dyDescent="0.2">
      <c r="L1869" s="270"/>
    </row>
    <row r="1870" spans="12:12" ht="18" customHeight="1" x14ac:dyDescent="0.2">
      <c r="L1870" s="270"/>
    </row>
    <row r="1871" spans="12:12" ht="18" customHeight="1" x14ac:dyDescent="0.2">
      <c r="L1871" s="270"/>
    </row>
    <row r="1872" spans="12:12" ht="18" customHeight="1" x14ac:dyDescent="0.2">
      <c r="L1872" s="270"/>
    </row>
    <row r="1873" spans="12:12" ht="18" customHeight="1" x14ac:dyDescent="0.2">
      <c r="L1873" s="270"/>
    </row>
    <row r="1874" spans="12:12" ht="18" customHeight="1" x14ac:dyDescent="0.2">
      <c r="L1874" s="270"/>
    </row>
    <row r="1875" spans="12:12" ht="18" customHeight="1" x14ac:dyDescent="0.2">
      <c r="L1875" s="270"/>
    </row>
    <row r="1876" spans="12:12" ht="18" customHeight="1" x14ac:dyDescent="0.2">
      <c r="L1876" s="270"/>
    </row>
    <row r="1877" spans="12:12" ht="18" customHeight="1" x14ac:dyDescent="0.2">
      <c r="L1877" s="270"/>
    </row>
    <row r="1878" spans="12:12" ht="18" customHeight="1" x14ac:dyDescent="0.2">
      <c r="L1878" s="270"/>
    </row>
    <row r="1879" spans="12:12" ht="18" customHeight="1" x14ac:dyDescent="0.2">
      <c r="L1879" s="270"/>
    </row>
    <row r="1880" spans="12:12" ht="18" customHeight="1" x14ac:dyDescent="0.2">
      <c r="L1880" s="270"/>
    </row>
    <row r="1881" spans="12:12" ht="18" customHeight="1" x14ac:dyDescent="0.2">
      <c r="L1881" s="270"/>
    </row>
    <row r="1882" spans="12:12" ht="18" customHeight="1" x14ac:dyDescent="0.2">
      <c r="L1882" s="270"/>
    </row>
    <row r="1883" spans="12:12" ht="18" customHeight="1" x14ac:dyDescent="0.2">
      <c r="L1883" s="270"/>
    </row>
    <row r="1884" spans="12:12" ht="18" customHeight="1" x14ac:dyDescent="0.2">
      <c r="L1884" s="270"/>
    </row>
    <row r="1885" spans="12:12" ht="18" customHeight="1" x14ac:dyDescent="0.2">
      <c r="L1885" s="270"/>
    </row>
    <row r="1886" spans="12:12" ht="18" customHeight="1" x14ac:dyDescent="0.2">
      <c r="L1886" s="270"/>
    </row>
    <row r="1887" spans="12:12" ht="18" customHeight="1" x14ac:dyDescent="0.2">
      <c r="L1887" s="270"/>
    </row>
    <row r="1888" spans="12:12" ht="18" customHeight="1" x14ac:dyDescent="0.2">
      <c r="L1888" s="270"/>
    </row>
    <row r="1889" spans="12:12" ht="18" customHeight="1" x14ac:dyDescent="0.2">
      <c r="L1889" s="270"/>
    </row>
    <row r="1890" spans="12:12" ht="18" customHeight="1" x14ac:dyDescent="0.2">
      <c r="L1890" s="270"/>
    </row>
    <row r="1891" spans="12:12" ht="18" customHeight="1" x14ac:dyDescent="0.2">
      <c r="L1891" s="270"/>
    </row>
    <row r="1892" spans="12:12" ht="18" customHeight="1" x14ac:dyDescent="0.2">
      <c r="L1892" s="270"/>
    </row>
    <row r="1893" spans="12:12" ht="18" customHeight="1" x14ac:dyDescent="0.2">
      <c r="L1893" s="270"/>
    </row>
    <row r="1894" spans="12:12" ht="18" customHeight="1" x14ac:dyDescent="0.2">
      <c r="L1894" s="270"/>
    </row>
    <row r="1895" spans="12:12" ht="18" customHeight="1" x14ac:dyDescent="0.2">
      <c r="L1895" s="270"/>
    </row>
    <row r="1896" spans="12:12" ht="18" customHeight="1" x14ac:dyDescent="0.2">
      <c r="L1896" s="270"/>
    </row>
    <row r="1897" spans="12:12" ht="18" customHeight="1" x14ac:dyDescent="0.2">
      <c r="L1897" s="270"/>
    </row>
    <row r="1898" spans="12:12" ht="18" customHeight="1" x14ac:dyDescent="0.2">
      <c r="L1898" s="270"/>
    </row>
    <row r="1899" spans="12:12" ht="18" customHeight="1" x14ac:dyDescent="0.2">
      <c r="L1899" s="270"/>
    </row>
    <row r="1900" spans="12:12" ht="18" customHeight="1" x14ac:dyDescent="0.2">
      <c r="L1900" s="270"/>
    </row>
    <row r="1901" spans="12:12" ht="18" customHeight="1" x14ac:dyDescent="0.2">
      <c r="L1901" s="270"/>
    </row>
    <row r="1902" spans="12:12" ht="18" customHeight="1" x14ac:dyDescent="0.2">
      <c r="L1902" s="270"/>
    </row>
    <row r="1903" spans="12:12" ht="18" customHeight="1" x14ac:dyDescent="0.2">
      <c r="L1903" s="270"/>
    </row>
    <row r="1904" spans="12:12" ht="18" customHeight="1" x14ac:dyDescent="0.2">
      <c r="L1904" s="270"/>
    </row>
    <row r="1905" spans="12:12" ht="18" customHeight="1" x14ac:dyDescent="0.2">
      <c r="L1905" s="270"/>
    </row>
    <row r="1906" spans="12:12" ht="18" customHeight="1" x14ac:dyDescent="0.2">
      <c r="L1906" s="270"/>
    </row>
    <row r="1907" spans="12:12" ht="18" customHeight="1" x14ac:dyDescent="0.2">
      <c r="L1907" s="270"/>
    </row>
    <row r="1908" spans="12:12" ht="18" customHeight="1" x14ac:dyDescent="0.2">
      <c r="L1908" s="270"/>
    </row>
    <row r="1909" spans="12:12" ht="18" customHeight="1" x14ac:dyDescent="0.2">
      <c r="L1909" s="270"/>
    </row>
    <row r="1910" spans="12:12" ht="18" customHeight="1" x14ac:dyDescent="0.2">
      <c r="L1910" s="270"/>
    </row>
    <row r="1911" spans="12:12" ht="18" customHeight="1" x14ac:dyDescent="0.2">
      <c r="L1911" s="270"/>
    </row>
    <row r="1912" spans="12:12" ht="18" customHeight="1" x14ac:dyDescent="0.2">
      <c r="L1912" s="270"/>
    </row>
    <row r="1913" spans="12:12" ht="18" customHeight="1" x14ac:dyDescent="0.2">
      <c r="L1913" s="270"/>
    </row>
    <row r="1914" spans="12:12" ht="18" customHeight="1" x14ac:dyDescent="0.2">
      <c r="L1914" s="270"/>
    </row>
    <row r="1915" spans="12:12" ht="18" customHeight="1" x14ac:dyDescent="0.2">
      <c r="L1915" s="270"/>
    </row>
    <row r="1916" spans="12:12" ht="18" customHeight="1" x14ac:dyDescent="0.2">
      <c r="L1916" s="270"/>
    </row>
    <row r="1917" spans="12:12" ht="18" customHeight="1" x14ac:dyDescent="0.2">
      <c r="L1917" s="270"/>
    </row>
    <row r="1918" spans="12:12" ht="18" customHeight="1" x14ac:dyDescent="0.2">
      <c r="L1918" s="270"/>
    </row>
    <row r="1919" spans="12:12" ht="18" customHeight="1" x14ac:dyDescent="0.2">
      <c r="L1919" s="270"/>
    </row>
    <row r="1920" spans="12:12" ht="18" customHeight="1" x14ac:dyDescent="0.2">
      <c r="L1920" s="270"/>
    </row>
    <row r="1921" spans="12:12" ht="18" customHeight="1" x14ac:dyDescent="0.2">
      <c r="L1921" s="270"/>
    </row>
    <row r="1922" spans="12:12" ht="18" customHeight="1" x14ac:dyDescent="0.2">
      <c r="L1922" s="270"/>
    </row>
    <row r="1923" spans="12:12" ht="18" customHeight="1" x14ac:dyDescent="0.2">
      <c r="L1923" s="270"/>
    </row>
    <row r="1924" spans="12:12" ht="18" customHeight="1" x14ac:dyDescent="0.2">
      <c r="L1924" s="270"/>
    </row>
    <row r="1925" spans="12:12" ht="18" customHeight="1" x14ac:dyDescent="0.2">
      <c r="L1925" s="270"/>
    </row>
    <row r="1926" spans="12:12" ht="18" customHeight="1" x14ac:dyDescent="0.2">
      <c r="L1926" s="270"/>
    </row>
    <row r="1927" spans="12:12" ht="18" customHeight="1" x14ac:dyDescent="0.2">
      <c r="L1927" s="270"/>
    </row>
    <row r="1928" spans="12:12" ht="18" customHeight="1" x14ac:dyDescent="0.2">
      <c r="L1928" s="270"/>
    </row>
    <row r="1929" spans="12:12" ht="18" customHeight="1" x14ac:dyDescent="0.2">
      <c r="L1929" s="270"/>
    </row>
    <row r="1930" spans="12:12" ht="18" customHeight="1" x14ac:dyDescent="0.2">
      <c r="L1930" s="270"/>
    </row>
    <row r="1931" spans="12:12" ht="18" customHeight="1" x14ac:dyDescent="0.2">
      <c r="L1931" s="270"/>
    </row>
    <row r="1932" spans="12:12" ht="18" customHeight="1" x14ac:dyDescent="0.2">
      <c r="L1932" s="270"/>
    </row>
    <row r="1933" spans="12:12" ht="18" customHeight="1" x14ac:dyDescent="0.2">
      <c r="L1933" s="270"/>
    </row>
    <row r="1934" spans="12:12" ht="18" customHeight="1" x14ac:dyDescent="0.2">
      <c r="L1934" s="270"/>
    </row>
    <row r="1935" spans="12:12" ht="18" customHeight="1" x14ac:dyDescent="0.2">
      <c r="L1935" s="270"/>
    </row>
    <row r="1936" spans="12:12" ht="18" customHeight="1" x14ac:dyDescent="0.2">
      <c r="L1936" s="270"/>
    </row>
    <row r="1937" spans="12:12" ht="18" customHeight="1" x14ac:dyDescent="0.2">
      <c r="L1937" s="270"/>
    </row>
    <row r="1938" spans="12:12" ht="18" customHeight="1" x14ac:dyDescent="0.2">
      <c r="L1938" s="270"/>
    </row>
    <row r="1939" spans="12:12" ht="18" customHeight="1" x14ac:dyDescent="0.2">
      <c r="L1939" s="270"/>
    </row>
    <row r="1940" spans="12:12" ht="18" customHeight="1" x14ac:dyDescent="0.2">
      <c r="L1940" s="270"/>
    </row>
    <row r="1941" spans="12:12" ht="18" customHeight="1" x14ac:dyDescent="0.2">
      <c r="L1941" s="270"/>
    </row>
    <row r="1942" spans="12:12" ht="18" customHeight="1" x14ac:dyDescent="0.2">
      <c r="L1942" s="270"/>
    </row>
    <row r="1943" spans="12:12" ht="18" customHeight="1" x14ac:dyDescent="0.2">
      <c r="L1943" s="270"/>
    </row>
    <row r="1944" spans="12:12" ht="18" customHeight="1" x14ac:dyDescent="0.2">
      <c r="L1944" s="270"/>
    </row>
    <row r="1945" spans="12:12" ht="18" customHeight="1" x14ac:dyDescent="0.2">
      <c r="L1945" s="270"/>
    </row>
    <row r="1946" spans="12:12" ht="18" customHeight="1" x14ac:dyDescent="0.2">
      <c r="L1946" s="270"/>
    </row>
    <row r="1947" spans="12:12" ht="18" customHeight="1" x14ac:dyDescent="0.2">
      <c r="L1947" s="270"/>
    </row>
    <row r="1948" spans="12:12" ht="18" customHeight="1" x14ac:dyDescent="0.2">
      <c r="L1948" s="270"/>
    </row>
    <row r="1949" spans="12:12" ht="18" customHeight="1" x14ac:dyDescent="0.2">
      <c r="L1949" s="270"/>
    </row>
    <row r="1950" spans="12:12" ht="18" customHeight="1" x14ac:dyDescent="0.2">
      <c r="L1950" s="270"/>
    </row>
    <row r="1951" spans="12:12" ht="18" customHeight="1" x14ac:dyDescent="0.2">
      <c r="L1951" s="270"/>
    </row>
    <row r="1952" spans="12:12" ht="18" customHeight="1" x14ac:dyDescent="0.2">
      <c r="L1952" s="270"/>
    </row>
    <row r="1953" spans="12:12" ht="18" customHeight="1" x14ac:dyDescent="0.2">
      <c r="L1953" s="270"/>
    </row>
    <row r="1954" spans="12:12" ht="18" customHeight="1" x14ac:dyDescent="0.2">
      <c r="L1954" s="270"/>
    </row>
    <row r="1955" spans="12:12" ht="18" customHeight="1" x14ac:dyDescent="0.2">
      <c r="L1955" s="270"/>
    </row>
    <row r="1956" spans="12:12" ht="18" customHeight="1" x14ac:dyDescent="0.2">
      <c r="L1956" s="270"/>
    </row>
    <row r="1957" spans="12:12" ht="18" customHeight="1" x14ac:dyDescent="0.2">
      <c r="L1957" s="270"/>
    </row>
    <row r="1958" spans="12:12" ht="18" customHeight="1" x14ac:dyDescent="0.2">
      <c r="L1958" s="270"/>
    </row>
    <row r="1959" spans="12:12" ht="18" customHeight="1" x14ac:dyDescent="0.2">
      <c r="L1959" s="270"/>
    </row>
    <row r="1960" spans="12:12" ht="18" customHeight="1" x14ac:dyDescent="0.2">
      <c r="L1960" s="270"/>
    </row>
    <row r="1961" spans="12:12" ht="18" customHeight="1" x14ac:dyDescent="0.2">
      <c r="L1961" s="270"/>
    </row>
    <row r="1962" spans="12:12" ht="18" customHeight="1" x14ac:dyDescent="0.2">
      <c r="L1962" s="270"/>
    </row>
    <row r="1963" spans="12:12" ht="18" customHeight="1" x14ac:dyDescent="0.2">
      <c r="L1963" s="270"/>
    </row>
    <row r="1964" spans="12:12" ht="18" customHeight="1" x14ac:dyDescent="0.2">
      <c r="L1964" s="270"/>
    </row>
    <row r="1965" spans="12:12" ht="18" customHeight="1" x14ac:dyDescent="0.2">
      <c r="L1965" s="270"/>
    </row>
    <row r="1966" spans="12:12" ht="18" customHeight="1" x14ac:dyDescent="0.2">
      <c r="L1966" s="270"/>
    </row>
    <row r="1967" spans="12:12" ht="18" customHeight="1" x14ac:dyDescent="0.2">
      <c r="L1967" s="270"/>
    </row>
    <row r="1968" spans="12:12" ht="18" customHeight="1" x14ac:dyDescent="0.2">
      <c r="L1968" s="270"/>
    </row>
    <row r="1969" spans="12:12" ht="18" customHeight="1" x14ac:dyDescent="0.2">
      <c r="L1969" s="270"/>
    </row>
    <row r="1970" spans="12:12" ht="18" customHeight="1" x14ac:dyDescent="0.2">
      <c r="L1970" s="270"/>
    </row>
    <row r="1971" spans="12:12" ht="18" customHeight="1" x14ac:dyDescent="0.2">
      <c r="L1971" s="270"/>
    </row>
    <row r="1972" spans="12:12" ht="18" customHeight="1" x14ac:dyDescent="0.2">
      <c r="L1972" s="270"/>
    </row>
    <row r="1973" spans="12:12" ht="18" customHeight="1" x14ac:dyDescent="0.2">
      <c r="L1973" s="270"/>
    </row>
    <row r="1974" spans="12:12" ht="18" customHeight="1" x14ac:dyDescent="0.2">
      <c r="L1974" s="270"/>
    </row>
    <row r="1975" spans="12:12" ht="18" customHeight="1" x14ac:dyDescent="0.2">
      <c r="L1975" s="270"/>
    </row>
    <row r="1976" spans="12:12" ht="18" customHeight="1" x14ac:dyDescent="0.2">
      <c r="L1976" s="270"/>
    </row>
    <row r="1977" spans="12:12" ht="18" customHeight="1" x14ac:dyDescent="0.2">
      <c r="L1977" s="270"/>
    </row>
    <row r="1978" spans="12:12" ht="18" customHeight="1" x14ac:dyDescent="0.2">
      <c r="L1978" s="270"/>
    </row>
    <row r="1979" spans="12:12" ht="18" customHeight="1" x14ac:dyDescent="0.2">
      <c r="L1979" s="270"/>
    </row>
    <row r="1980" spans="12:12" ht="18" customHeight="1" x14ac:dyDescent="0.2">
      <c r="L1980" s="270"/>
    </row>
    <row r="1981" spans="12:12" ht="18" customHeight="1" x14ac:dyDescent="0.2">
      <c r="L1981" s="270"/>
    </row>
    <row r="1982" spans="12:12" ht="18" customHeight="1" x14ac:dyDescent="0.2">
      <c r="L1982" s="270"/>
    </row>
    <row r="1983" spans="12:12" ht="18" customHeight="1" x14ac:dyDescent="0.2">
      <c r="L1983" s="270"/>
    </row>
    <row r="1984" spans="12:12" ht="18" customHeight="1" x14ac:dyDescent="0.2">
      <c r="L1984" s="270"/>
    </row>
    <row r="1985" spans="12:12" ht="18" customHeight="1" x14ac:dyDescent="0.2">
      <c r="L1985" s="270"/>
    </row>
    <row r="1986" spans="12:12" ht="18" customHeight="1" x14ac:dyDescent="0.2">
      <c r="L1986" s="270"/>
    </row>
    <row r="1987" spans="12:12" ht="18" customHeight="1" x14ac:dyDescent="0.2">
      <c r="L1987" s="270"/>
    </row>
    <row r="1988" spans="12:12" ht="18" customHeight="1" x14ac:dyDescent="0.2">
      <c r="L1988" s="270"/>
    </row>
    <row r="1989" spans="12:12" ht="18" customHeight="1" x14ac:dyDescent="0.2">
      <c r="L1989" s="270"/>
    </row>
    <row r="1990" spans="12:12" ht="18" customHeight="1" x14ac:dyDescent="0.2">
      <c r="L1990" s="270"/>
    </row>
    <row r="1991" spans="12:12" ht="18" customHeight="1" x14ac:dyDescent="0.2">
      <c r="L1991" s="270"/>
    </row>
    <row r="1992" spans="12:12" ht="18" customHeight="1" x14ac:dyDescent="0.2">
      <c r="L1992" s="270"/>
    </row>
    <row r="1993" spans="12:12" ht="18" customHeight="1" x14ac:dyDescent="0.2">
      <c r="L1993" s="270"/>
    </row>
    <row r="1994" spans="12:12" ht="18" customHeight="1" x14ac:dyDescent="0.2">
      <c r="L1994" s="270"/>
    </row>
    <row r="1995" spans="12:12" ht="18" customHeight="1" x14ac:dyDescent="0.2">
      <c r="L1995" s="270"/>
    </row>
    <row r="1996" spans="12:12" ht="18" customHeight="1" x14ac:dyDescent="0.2">
      <c r="L1996" s="270"/>
    </row>
    <row r="1997" spans="12:12" ht="18" customHeight="1" x14ac:dyDescent="0.2">
      <c r="L1997" s="270"/>
    </row>
    <row r="1998" spans="12:12" ht="18" customHeight="1" x14ac:dyDescent="0.2">
      <c r="L1998" s="270"/>
    </row>
    <row r="1999" spans="12:12" ht="18" customHeight="1" x14ac:dyDescent="0.2">
      <c r="L1999" s="270"/>
    </row>
    <row r="2000" spans="12:12" ht="18" customHeight="1" x14ac:dyDescent="0.2">
      <c r="L2000" s="270"/>
    </row>
    <row r="2001" spans="12:12" ht="18" customHeight="1" x14ac:dyDescent="0.2">
      <c r="L2001" s="270"/>
    </row>
    <row r="2002" spans="12:12" ht="18" customHeight="1" x14ac:dyDescent="0.2">
      <c r="L2002" s="270"/>
    </row>
    <row r="2003" spans="12:12" ht="18" customHeight="1" x14ac:dyDescent="0.2">
      <c r="L2003" s="270"/>
    </row>
    <row r="2004" spans="12:12" ht="18" customHeight="1" x14ac:dyDescent="0.2">
      <c r="L2004" s="270"/>
    </row>
    <row r="2005" spans="12:12" ht="18" customHeight="1" x14ac:dyDescent="0.2">
      <c r="L2005" s="270"/>
    </row>
    <row r="2006" spans="12:12" ht="18" customHeight="1" x14ac:dyDescent="0.2">
      <c r="L2006" s="270"/>
    </row>
    <row r="2007" spans="12:12" ht="18" customHeight="1" x14ac:dyDescent="0.2">
      <c r="L2007" s="270"/>
    </row>
    <row r="2008" spans="12:12" ht="18" customHeight="1" x14ac:dyDescent="0.2">
      <c r="L2008" s="270"/>
    </row>
    <row r="2009" spans="12:12" ht="18" customHeight="1" x14ac:dyDescent="0.2">
      <c r="L2009" s="270"/>
    </row>
    <row r="2010" spans="12:12" ht="18" customHeight="1" x14ac:dyDescent="0.2">
      <c r="L2010" s="270"/>
    </row>
    <row r="2011" spans="12:12" ht="18" customHeight="1" x14ac:dyDescent="0.2">
      <c r="L2011" s="270"/>
    </row>
    <row r="2012" spans="12:12" ht="18" customHeight="1" x14ac:dyDescent="0.2">
      <c r="L2012" s="270"/>
    </row>
    <row r="2013" spans="12:12" ht="18" customHeight="1" x14ac:dyDescent="0.2">
      <c r="L2013" s="270"/>
    </row>
    <row r="2014" spans="12:12" ht="18" customHeight="1" x14ac:dyDescent="0.2">
      <c r="L2014" s="270"/>
    </row>
    <row r="2015" spans="12:12" ht="18" customHeight="1" x14ac:dyDescent="0.2">
      <c r="L2015" s="270"/>
    </row>
    <row r="2016" spans="12:12" ht="18" customHeight="1" x14ac:dyDescent="0.2">
      <c r="L2016" s="270"/>
    </row>
    <row r="2017" spans="12:12" ht="18" customHeight="1" x14ac:dyDescent="0.2">
      <c r="L2017" s="270"/>
    </row>
    <row r="2018" spans="12:12" ht="18" customHeight="1" x14ac:dyDescent="0.2">
      <c r="L2018" s="270"/>
    </row>
    <row r="2019" spans="12:12" ht="18" customHeight="1" x14ac:dyDescent="0.2">
      <c r="L2019" s="270"/>
    </row>
    <row r="2020" spans="12:12" ht="18" customHeight="1" x14ac:dyDescent="0.2">
      <c r="L2020" s="270"/>
    </row>
    <row r="2021" spans="12:12" ht="18" customHeight="1" x14ac:dyDescent="0.2">
      <c r="L2021" s="270"/>
    </row>
    <row r="2022" spans="12:12" ht="18" customHeight="1" x14ac:dyDescent="0.2">
      <c r="L2022" s="270"/>
    </row>
    <row r="2023" spans="12:12" ht="18" customHeight="1" x14ac:dyDescent="0.2">
      <c r="L2023" s="270"/>
    </row>
    <row r="2024" spans="12:12" ht="18" customHeight="1" x14ac:dyDescent="0.2">
      <c r="L2024" s="270"/>
    </row>
    <row r="2025" spans="12:12" ht="18" customHeight="1" x14ac:dyDescent="0.2">
      <c r="L2025" s="270"/>
    </row>
    <row r="2026" spans="12:12" ht="18" customHeight="1" x14ac:dyDescent="0.2">
      <c r="L2026" s="270"/>
    </row>
    <row r="2027" spans="12:12" ht="18" customHeight="1" x14ac:dyDescent="0.2">
      <c r="L2027" s="270"/>
    </row>
    <row r="2028" spans="12:12" ht="18" customHeight="1" x14ac:dyDescent="0.2">
      <c r="L2028" s="270"/>
    </row>
    <row r="2029" spans="12:12" ht="18" customHeight="1" x14ac:dyDescent="0.2">
      <c r="L2029" s="270"/>
    </row>
    <row r="2030" spans="12:12" ht="18" customHeight="1" x14ac:dyDescent="0.2">
      <c r="L2030" s="270"/>
    </row>
    <row r="2031" spans="12:12" ht="18" customHeight="1" x14ac:dyDescent="0.2">
      <c r="L2031" s="270"/>
    </row>
    <row r="2032" spans="12:12" ht="18" customHeight="1" x14ac:dyDescent="0.2">
      <c r="L2032" s="270"/>
    </row>
    <row r="2033" spans="12:12" ht="18" customHeight="1" x14ac:dyDescent="0.2">
      <c r="L2033" s="270"/>
    </row>
    <row r="2034" spans="12:12" ht="18" customHeight="1" x14ac:dyDescent="0.2">
      <c r="L2034" s="270"/>
    </row>
    <row r="2035" spans="12:12" ht="18" customHeight="1" x14ac:dyDescent="0.2">
      <c r="L2035" s="270"/>
    </row>
    <row r="2036" spans="12:12" ht="18" customHeight="1" x14ac:dyDescent="0.2">
      <c r="L2036" s="270"/>
    </row>
    <row r="2037" spans="12:12" ht="18" customHeight="1" x14ac:dyDescent="0.2">
      <c r="L2037" s="270"/>
    </row>
    <row r="2038" spans="12:12" ht="18" customHeight="1" x14ac:dyDescent="0.2">
      <c r="L2038" s="270"/>
    </row>
    <row r="2039" spans="12:12" ht="18" customHeight="1" x14ac:dyDescent="0.2">
      <c r="L2039" s="270"/>
    </row>
    <row r="2040" spans="12:12" ht="18" customHeight="1" x14ac:dyDescent="0.2">
      <c r="L2040" s="270"/>
    </row>
    <row r="2041" spans="12:12" ht="18" customHeight="1" x14ac:dyDescent="0.2">
      <c r="L2041" s="270"/>
    </row>
    <row r="2042" spans="12:12" ht="18" customHeight="1" x14ac:dyDescent="0.2">
      <c r="L2042" s="270"/>
    </row>
    <row r="2043" spans="12:12" ht="18" customHeight="1" x14ac:dyDescent="0.2">
      <c r="L2043" s="270"/>
    </row>
    <row r="2044" spans="12:12" ht="18" customHeight="1" x14ac:dyDescent="0.2">
      <c r="L2044" s="270"/>
    </row>
    <row r="2045" spans="12:12" ht="18" customHeight="1" x14ac:dyDescent="0.2">
      <c r="L2045" s="270"/>
    </row>
    <row r="2046" spans="12:12" ht="18" customHeight="1" x14ac:dyDescent="0.2">
      <c r="L2046" s="270"/>
    </row>
    <row r="2047" spans="12:12" ht="18" customHeight="1" x14ac:dyDescent="0.2">
      <c r="L2047" s="270"/>
    </row>
    <row r="2048" spans="12:12" ht="18" customHeight="1" x14ac:dyDescent="0.2">
      <c r="L2048" s="270"/>
    </row>
    <row r="2049" spans="12:12" ht="18" customHeight="1" x14ac:dyDescent="0.2">
      <c r="L2049" s="270"/>
    </row>
    <row r="2050" spans="12:12" ht="18" customHeight="1" x14ac:dyDescent="0.2">
      <c r="L2050" s="270"/>
    </row>
    <row r="2051" spans="12:12" ht="18" customHeight="1" x14ac:dyDescent="0.2">
      <c r="L2051" s="270"/>
    </row>
    <row r="2052" spans="12:12" ht="18" customHeight="1" x14ac:dyDescent="0.2">
      <c r="L2052" s="270"/>
    </row>
    <row r="2053" spans="12:12" ht="18" customHeight="1" x14ac:dyDescent="0.2">
      <c r="L2053" s="270"/>
    </row>
    <row r="2054" spans="12:12" ht="18" customHeight="1" x14ac:dyDescent="0.2">
      <c r="L2054" s="270"/>
    </row>
    <row r="2055" spans="12:12" ht="18" customHeight="1" x14ac:dyDescent="0.2">
      <c r="L2055" s="270"/>
    </row>
    <row r="2056" spans="12:12" ht="18" customHeight="1" x14ac:dyDescent="0.2">
      <c r="L2056" s="270"/>
    </row>
    <row r="2057" spans="12:12" ht="18" customHeight="1" x14ac:dyDescent="0.2">
      <c r="L2057" s="270"/>
    </row>
    <row r="2058" spans="12:12" ht="18" customHeight="1" x14ac:dyDescent="0.2">
      <c r="L2058" s="270"/>
    </row>
    <row r="2059" spans="12:12" ht="18" customHeight="1" x14ac:dyDescent="0.2">
      <c r="L2059" s="270"/>
    </row>
    <row r="2060" spans="12:12" ht="18" customHeight="1" x14ac:dyDescent="0.2">
      <c r="L2060" s="270"/>
    </row>
    <row r="2061" spans="12:12" ht="18" customHeight="1" x14ac:dyDescent="0.2">
      <c r="L2061" s="270"/>
    </row>
    <row r="2062" spans="12:12" ht="18" customHeight="1" x14ac:dyDescent="0.2">
      <c r="L2062" s="270"/>
    </row>
    <row r="2063" spans="12:12" ht="18" customHeight="1" x14ac:dyDescent="0.2">
      <c r="L2063" s="270"/>
    </row>
    <row r="2064" spans="12:12" ht="18" customHeight="1" x14ac:dyDescent="0.2">
      <c r="L2064" s="270"/>
    </row>
    <row r="2065" spans="12:12" ht="18" customHeight="1" x14ac:dyDescent="0.2">
      <c r="L2065" s="270"/>
    </row>
    <row r="2066" spans="12:12" ht="18" customHeight="1" x14ac:dyDescent="0.2">
      <c r="L2066" s="270"/>
    </row>
    <row r="2067" spans="12:12" ht="18" customHeight="1" x14ac:dyDescent="0.2">
      <c r="L2067" s="270"/>
    </row>
    <row r="2068" spans="12:12" ht="18" customHeight="1" x14ac:dyDescent="0.2">
      <c r="L2068" s="270"/>
    </row>
    <row r="2069" spans="12:12" ht="18" customHeight="1" x14ac:dyDescent="0.2">
      <c r="L2069" s="270"/>
    </row>
    <row r="2070" spans="12:12" ht="18" customHeight="1" x14ac:dyDescent="0.2">
      <c r="L2070" s="270"/>
    </row>
    <row r="2071" spans="12:12" ht="18" customHeight="1" x14ac:dyDescent="0.2">
      <c r="L2071" s="270"/>
    </row>
    <row r="2072" spans="12:12" ht="18" customHeight="1" x14ac:dyDescent="0.2">
      <c r="L2072" s="270"/>
    </row>
    <row r="2073" spans="12:12" ht="18" customHeight="1" x14ac:dyDescent="0.2">
      <c r="L2073" s="270"/>
    </row>
    <row r="2074" spans="12:12" ht="18" customHeight="1" x14ac:dyDescent="0.2">
      <c r="L2074" s="270"/>
    </row>
    <row r="2075" spans="12:12" ht="18" customHeight="1" x14ac:dyDescent="0.2">
      <c r="L2075" s="270"/>
    </row>
    <row r="2076" spans="12:12" ht="18" customHeight="1" x14ac:dyDescent="0.2">
      <c r="L2076" s="270"/>
    </row>
    <row r="2077" spans="12:12" ht="18" customHeight="1" x14ac:dyDescent="0.2">
      <c r="L2077" s="270"/>
    </row>
    <row r="2078" spans="12:12" ht="18" customHeight="1" x14ac:dyDescent="0.2">
      <c r="L2078" s="270"/>
    </row>
    <row r="2079" spans="12:12" ht="18" customHeight="1" x14ac:dyDescent="0.2">
      <c r="L2079" s="270"/>
    </row>
    <row r="2080" spans="12:12" ht="18" customHeight="1" x14ac:dyDescent="0.2">
      <c r="L2080" s="270"/>
    </row>
    <row r="2081" spans="12:12" ht="18" customHeight="1" x14ac:dyDescent="0.2">
      <c r="L2081" s="270"/>
    </row>
    <row r="2082" spans="12:12" ht="18" customHeight="1" x14ac:dyDescent="0.2">
      <c r="L2082" s="270"/>
    </row>
    <row r="2083" spans="12:12" ht="18" customHeight="1" x14ac:dyDescent="0.2">
      <c r="L2083" s="270"/>
    </row>
    <row r="2084" spans="12:12" ht="18" customHeight="1" x14ac:dyDescent="0.2">
      <c r="L2084" s="270"/>
    </row>
    <row r="2085" spans="12:12" ht="18" customHeight="1" x14ac:dyDescent="0.2">
      <c r="L2085" s="270"/>
    </row>
    <row r="2086" spans="12:12" ht="18" customHeight="1" x14ac:dyDescent="0.2">
      <c r="L2086" s="270"/>
    </row>
    <row r="2087" spans="12:12" ht="18" customHeight="1" x14ac:dyDescent="0.2">
      <c r="L2087" s="270"/>
    </row>
    <row r="2088" spans="12:12" ht="18" customHeight="1" x14ac:dyDescent="0.2">
      <c r="L2088" s="270"/>
    </row>
    <row r="2089" spans="12:12" ht="18" customHeight="1" x14ac:dyDescent="0.2">
      <c r="L2089" s="270"/>
    </row>
    <row r="2090" spans="12:12" ht="18" customHeight="1" x14ac:dyDescent="0.2">
      <c r="L2090" s="270"/>
    </row>
    <row r="2091" spans="12:12" ht="18" customHeight="1" x14ac:dyDescent="0.2">
      <c r="L2091" s="270"/>
    </row>
    <row r="2092" spans="12:12" ht="18" customHeight="1" x14ac:dyDescent="0.2">
      <c r="L2092" s="270"/>
    </row>
    <row r="2093" spans="12:12" ht="18" customHeight="1" x14ac:dyDescent="0.2">
      <c r="L2093" s="270"/>
    </row>
    <row r="2094" spans="12:12" ht="18" customHeight="1" x14ac:dyDescent="0.2">
      <c r="L2094" s="270"/>
    </row>
    <row r="2095" spans="12:12" ht="18" customHeight="1" x14ac:dyDescent="0.2">
      <c r="L2095" s="270"/>
    </row>
    <row r="2096" spans="12:12" ht="18" customHeight="1" x14ac:dyDescent="0.2">
      <c r="L2096" s="270"/>
    </row>
    <row r="2097" spans="12:12" ht="18" customHeight="1" x14ac:dyDescent="0.2">
      <c r="L2097" s="270"/>
    </row>
    <row r="2098" spans="12:12" ht="18" customHeight="1" x14ac:dyDescent="0.2">
      <c r="L2098" s="270"/>
    </row>
    <row r="2099" spans="12:12" ht="18" customHeight="1" x14ac:dyDescent="0.2">
      <c r="L2099" s="270"/>
    </row>
    <row r="2100" spans="12:12" ht="18" customHeight="1" x14ac:dyDescent="0.2">
      <c r="L2100" s="270"/>
    </row>
    <row r="2101" spans="12:12" ht="18" customHeight="1" x14ac:dyDescent="0.2">
      <c r="L2101" s="270"/>
    </row>
    <row r="2102" spans="12:12" ht="18" customHeight="1" x14ac:dyDescent="0.2">
      <c r="L2102" s="270"/>
    </row>
    <row r="2103" spans="12:12" ht="18" customHeight="1" x14ac:dyDescent="0.2">
      <c r="L2103" s="270"/>
    </row>
    <row r="2104" spans="12:12" ht="18" customHeight="1" x14ac:dyDescent="0.2">
      <c r="L2104" s="270"/>
    </row>
    <row r="2105" spans="12:12" ht="18" customHeight="1" x14ac:dyDescent="0.2">
      <c r="L2105" s="270"/>
    </row>
    <row r="2106" spans="12:12" ht="18" customHeight="1" x14ac:dyDescent="0.2">
      <c r="L2106" s="270"/>
    </row>
    <row r="2107" spans="12:12" ht="18" customHeight="1" x14ac:dyDescent="0.2">
      <c r="L2107" s="270"/>
    </row>
    <row r="2108" spans="12:12" ht="18" customHeight="1" x14ac:dyDescent="0.2">
      <c r="L2108" s="270"/>
    </row>
    <row r="2109" spans="12:12" ht="18" customHeight="1" x14ac:dyDescent="0.2">
      <c r="L2109" s="270"/>
    </row>
    <row r="2110" spans="12:12" ht="18" customHeight="1" x14ac:dyDescent="0.2">
      <c r="L2110" s="270"/>
    </row>
    <row r="2111" spans="12:12" ht="18" customHeight="1" x14ac:dyDescent="0.2">
      <c r="L2111" s="270"/>
    </row>
    <row r="2112" spans="12:12" ht="18" customHeight="1" x14ac:dyDescent="0.2">
      <c r="L2112" s="270"/>
    </row>
    <row r="2113" spans="12:12" ht="18" customHeight="1" x14ac:dyDescent="0.2">
      <c r="L2113" s="270"/>
    </row>
    <row r="2114" spans="12:12" ht="18" customHeight="1" x14ac:dyDescent="0.2">
      <c r="L2114" s="270"/>
    </row>
    <row r="2115" spans="12:12" ht="18" customHeight="1" x14ac:dyDescent="0.2">
      <c r="L2115" s="270"/>
    </row>
    <row r="2116" spans="12:12" ht="18" customHeight="1" x14ac:dyDescent="0.2">
      <c r="L2116" s="270"/>
    </row>
    <row r="2117" spans="12:12" ht="18" customHeight="1" x14ac:dyDescent="0.2">
      <c r="L2117" s="270"/>
    </row>
    <row r="2118" spans="12:12" ht="18" customHeight="1" x14ac:dyDescent="0.2">
      <c r="L2118" s="270"/>
    </row>
    <row r="2119" spans="12:12" ht="18" customHeight="1" x14ac:dyDescent="0.2">
      <c r="L2119" s="270"/>
    </row>
    <row r="2120" spans="12:12" ht="18" customHeight="1" x14ac:dyDescent="0.2">
      <c r="L2120" s="270"/>
    </row>
    <row r="2121" spans="12:12" ht="18" customHeight="1" x14ac:dyDescent="0.2">
      <c r="L2121" s="270"/>
    </row>
    <row r="2122" spans="12:12" ht="18" customHeight="1" x14ac:dyDescent="0.2">
      <c r="L2122" s="270"/>
    </row>
    <row r="2123" spans="12:12" ht="18" customHeight="1" x14ac:dyDescent="0.2">
      <c r="L2123" s="270"/>
    </row>
    <row r="2124" spans="12:12" ht="18" customHeight="1" x14ac:dyDescent="0.2">
      <c r="L2124" s="270"/>
    </row>
    <row r="2125" spans="12:12" ht="18" customHeight="1" x14ac:dyDescent="0.2">
      <c r="L2125" s="270"/>
    </row>
    <row r="2126" spans="12:12" ht="18" customHeight="1" x14ac:dyDescent="0.2">
      <c r="L2126" s="270"/>
    </row>
    <row r="2127" spans="12:12" ht="18" customHeight="1" x14ac:dyDescent="0.2">
      <c r="L2127" s="270"/>
    </row>
    <row r="2128" spans="12:12" ht="18" customHeight="1" x14ac:dyDescent="0.2">
      <c r="L2128" s="270"/>
    </row>
    <row r="2129" spans="12:12" ht="18" customHeight="1" x14ac:dyDescent="0.2">
      <c r="L2129" s="270"/>
    </row>
    <row r="2130" spans="12:12" ht="18" customHeight="1" x14ac:dyDescent="0.2">
      <c r="L2130" s="270"/>
    </row>
    <row r="2131" spans="12:12" ht="18" customHeight="1" x14ac:dyDescent="0.2">
      <c r="L2131" s="270"/>
    </row>
    <row r="2132" spans="12:12" ht="18" customHeight="1" x14ac:dyDescent="0.2">
      <c r="L2132" s="270"/>
    </row>
    <row r="2133" spans="12:12" ht="18" customHeight="1" x14ac:dyDescent="0.2">
      <c r="L2133" s="270"/>
    </row>
    <row r="2134" spans="12:12" ht="18" customHeight="1" x14ac:dyDescent="0.2">
      <c r="L2134" s="270"/>
    </row>
    <row r="2135" spans="12:12" ht="18" customHeight="1" x14ac:dyDescent="0.2">
      <c r="L2135" s="270"/>
    </row>
    <row r="2136" spans="12:12" ht="18" customHeight="1" x14ac:dyDescent="0.2">
      <c r="L2136" s="270"/>
    </row>
    <row r="2137" spans="12:12" ht="18" customHeight="1" x14ac:dyDescent="0.2">
      <c r="L2137" s="270"/>
    </row>
    <row r="2138" spans="12:12" ht="18" customHeight="1" x14ac:dyDescent="0.2">
      <c r="L2138" s="270"/>
    </row>
    <row r="2139" spans="12:12" ht="18" customHeight="1" x14ac:dyDescent="0.2">
      <c r="L2139" s="270"/>
    </row>
    <row r="2140" spans="12:12" ht="18" customHeight="1" x14ac:dyDescent="0.2">
      <c r="L2140" s="270"/>
    </row>
    <row r="2141" spans="12:12" ht="18" customHeight="1" x14ac:dyDescent="0.2">
      <c r="L2141" s="270"/>
    </row>
    <row r="2142" spans="12:12" ht="18" customHeight="1" x14ac:dyDescent="0.2">
      <c r="L2142" s="270"/>
    </row>
    <row r="2143" spans="12:12" ht="18" customHeight="1" x14ac:dyDescent="0.2">
      <c r="L2143" s="270"/>
    </row>
    <row r="2144" spans="12:12" ht="18" customHeight="1" x14ac:dyDescent="0.2">
      <c r="L2144" s="270"/>
    </row>
    <row r="2145" spans="12:12" ht="18" customHeight="1" x14ac:dyDescent="0.2">
      <c r="L2145" s="270"/>
    </row>
    <row r="2146" spans="12:12" ht="18" customHeight="1" x14ac:dyDescent="0.2">
      <c r="L2146" s="270"/>
    </row>
    <row r="2147" spans="12:12" ht="18" customHeight="1" x14ac:dyDescent="0.2">
      <c r="L2147" s="270"/>
    </row>
    <row r="2148" spans="12:12" ht="18" customHeight="1" x14ac:dyDescent="0.2">
      <c r="L2148" s="270"/>
    </row>
    <row r="2149" spans="12:12" ht="18" customHeight="1" x14ac:dyDescent="0.2">
      <c r="L2149" s="270"/>
    </row>
    <row r="2150" spans="12:12" ht="18" customHeight="1" x14ac:dyDescent="0.2">
      <c r="L2150" s="270"/>
    </row>
    <row r="2151" spans="12:12" ht="18" customHeight="1" x14ac:dyDescent="0.2">
      <c r="L2151" s="270"/>
    </row>
    <row r="2152" spans="12:12" ht="18" customHeight="1" x14ac:dyDescent="0.2">
      <c r="L2152" s="270"/>
    </row>
    <row r="2153" spans="12:12" ht="18" customHeight="1" x14ac:dyDescent="0.2">
      <c r="L2153" s="270"/>
    </row>
    <row r="2154" spans="12:12" ht="18" customHeight="1" x14ac:dyDescent="0.2">
      <c r="L2154" s="270"/>
    </row>
    <row r="2155" spans="12:12" ht="18" customHeight="1" x14ac:dyDescent="0.2">
      <c r="L2155" s="270"/>
    </row>
    <row r="2156" spans="12:12" ht="18" customHeight="1" x14ac:dyDescent="0.2">
      <c r="L2156" s="270"/>
    </row>
    <row r="2157" spans="12:12" ht="18" customHeight="1" x14ac:dyDescent="0.2">
      <c r="L2157" s="270"/>
    </row>
    <row r="2158" spans="12:12" ht="18" customHeight="1" x14ac:dyDescent="0.2">
      <c r="L2158" s="270"/>
    </row>
    <row r="2159" spans="12:12" ht="18" customHeight="1" x14ac:dyDescent="0.2">
      <c r="L2159" s="270"/>
    </row>
    <row r="2160" spans="12:12" ht="18" customHeight="1" x14ac:dyDescent="0.2">
      <c r="L2160" s="270"/>
    </row>
    <row r="2161" spans="12:12" ht="18" customHeight="1" x14ac:dyDescent="0.2">
      <c r="L2161" s="270"/>
    </row>
    <row r="2162" spans="12:12" ht="18" customHeight="1" x14ac:dyDescent="0.2">
      <c r="L2162" s="270"/>
    </row>
    <row r="2163" spans="12:12" ht="18" customHeight="1" x14ac:dyDescent="0.2">
      <c r="L2163" s="270"/>
    </row>
    <row r="2164" spans="12:12" ht="18" customHeight="1" x14ac:dyDescent="0.2">
      <c r="L2164" s="270"/>
    </row>
    <row r="2165" spans="12:12" ht="18" customHeight="1" x14ac:dyDescent="0.2">
      <c r="L2165" s="270"/>
    </row>
    <row r="2166" spans="12:12" ht="18" customHeight="1" x14ac:dyDescent="0.2">
      <c r="L2166" s="270"/>
    </row>
    <row r="2167" spans="12:12" ht="18" customHeight="1" x14ac:dyDescent="0.2">
      <c r="L2167" s="270"/>
    </row>
    <row r="2168" spans="12:12" ht="18" customHeight="1" x14ac:dyDescent="0.2">
      <c r="L2168" s="270"/>
    </row>
    <row r="2169" spans="12:12" ht="18" customHeight="1" x14ac:dyDescent="0.2">
      <c r="L2169" s="270"/>
    </row>
    <row r="2170" spans="12:12" ht="18" customHeight="1" x14ac:dyDescent="0.2">
      <c r="L2170" s="270"/>
    </row>
    <row r="2171" spans="12:12" ht="18" customHeight="1" x14ac:dyDescent="0.2">
      <c r="L2171" s="270"/>
    </row>
    <row r="2172" spans="12:12" ht="18" customHeight="1" x14ac:dyDescent="0.2">
      <c r="L2172" s="270"/>
    </row>
    <row r="2173" spans="12:12" ht="18" customHeight="1" x14ac:dyDescent="0.2">
      <c r="L2173" s="270"/>
    </row>
    <row r="2174" spans="12:12" ht="18" customHeight="1" x14ac:dyDescent="0.2">
      <c r="L2174" s="270"/>
    </row>
    <row r="2175" spans="12:12" ht="18" customHeight="1" x14ac:dyDescent="0.2">
      <c r="L2175" s="270"/>
    </row>
    <row r="2176" spans="12:12" ht="18" customHeight="1" x14ac:dyDescent="0.2">
      <c r="L2176" s="270"/>
    </row>
    <row r="2177" spans="12:12" ht="18" customHeight="1" x14ac:dyDescent="0.2">
      <c r="L2177" s="270"/>
    </row>
    <row r="2178" spans="12:12" ht="18" customHeight="1" x14ac:dyDescent="0.2">
      <c r="L2178" s="270"/>
    </row>
    <row r="2179" spans="12:12" ht="18" customHeight="1" x14ac:dyDescent="0.2">
      <c r="L2179" s="270"/>
    </row>
    <row r="2180" spans="12:12" ht="18" customHeight="1" x14ac:dyDescent="0.2">
      <c r="L2180" s="270"/>
    </row>
    <row r="2181" spans="12:12" ht="18" customHeight="1" x14ac:dyDescent="0.2">
      <c r="L2181" s="270"/>
    </row>
    <row r="2182" spans="12:12" ht="18" customHeight="1" x14ac:dyDescent="0.2">
      <c r="L2182" s="270"/>
    </row>
    <row r="2183" spans="12:12" ht="18" customHeight="1" x14ac:dyDescent="0.2">
      <c r="L2183" s="270"/>
    </row>
    <row r="2184" spans="12:12" ht="18" customHeight="1" x14ac:dyDescent="0.2">
      <c r="L2184" s="270"/>
    </row>
    <row r="2185" spans="12:12" ht="18" customHeight="1" x14ac:dyDescent="0.2">
      <c r="L2185" s="270"/>
    </row>
    <row r="2186" spans="12:12" ht="18" customHeight="1" x14ac:dyDescent="0.2">
      <c r="L2186" s="270"/>
    </row>
    <row r="2187" spans="12:12" ht="18" customHeight="1" x14ac:dyDescent="0.2">
      <c r="L2187" s="270"/>
    </row>
    <row r="2188" spans="12:12" ht="18" customHeight="1" x14ac:dyDescent="0.2">
      <c r="L2188" s="270"/>
    </row>
    <row r="2189" spans="12:12" ht="18" customHeight="1" x14ac:dyDescent="0.2">
      <c r="L2189" s="270"/>
    </row>
    <row r="2190" spans="12:12" ht="18" customHeight="1" x14ac:dyDescent="0.2">
      <c r="L2190" s="270"/>
    </row>
    <row r="2191" spans="12:12" ht="18" customHeight="1" x14ac:dyDescent="0.2">
      <c r="L2191" s="270"/>
    </row>
    <row r="2192" spans="12:12" ht="18" customHeight="1" x14ac:dyDescent="0.2">
      <c r="L2192" s="270"/>
    </row>
    <row r="2193" spans="12:12" ht="18" customHeight="1" x14ac:dyDescent="0.2">
      <c r="L2193" s="270"/>
    </row>
    <row r="2194" spans="12:12" ht="18" customHeight="1" x14ac:dyDescent="0.2">
      <c r="L2194" s="270"/>
    </row>
    <row r="2195" spans="12:12" ht="18" customHeight="1" x14ac:dyDescent="0.2">
      <c r="L2195" s="270"/>
    </row>
    <row r="2196" spans="12:12" ht="18" customHeight="1" x14ac:dyDescent="0.2">
      <c r="L2196" s="270"/>
    </row>
    <row r="2197" spans="12:12" ht="18" customHeight="1" x14ac:dyDescent="0.2">
      <c r="L2197" s="270"/>
    </row>
    <row r="2198" spans="12:12" ht="18" customHeight="1" x14ac:dyDescent="0.2">
      <c r="L2198" s="270"/>
    </row>
    <row r="2199" spans="12:12" ht="18" customHeight="1" x14ac:dyDescent="0.2">
      <c r="L2199" s="270"/>
    </row>
    <row r="2200" spans="12:12" ht="18" customHeight="1" x14ac:dyDescent="0.2">
      <c r="L2200" s="270"/>
    </row>
    <row r="2201" spans="12:12" ht="18" customHeight="1" x14ac:dyDescent="0.2">
      <c r="L2201" s="270"/>
    </row>
    <row r="2202" spans="12:12" ht="18" customHeight="1" x14ac:dyDescent="0.2">
      <c r="L2202" s="270"/>
    </row>
    <row r="2203" spans="12:12" ht="18" customHeight="1" x14ac:dyDescent="0.2">
      <c r="L2203" s="270"/>
    </row>
    <row r="2204" spans="12:12" ht="18" customHeight="1" x14ac:dyDescent="0.2">
      <c r="L2204" s="270"/>
    </row>
    <row r="2205" spans="12:12" ht="18" customHeight="1" x14ac:dyDescent="0.2">
      <c r="L2205" s="270"/>
    </row>
    <row r="2206" spans="12:12" ht="18" customHeight="1" x14ac:dyDescent="0.2">
      <c r="L2206" s="270"/>
    </row>
    <row r="2207" spans="12:12" ht="18" customHeight="1" x14ac:dyDescent="0.2">
      <c r="L2207" s="270"/>
    </row>
    <row r="2208" spans="12:12" ht="18" customHeight="1" x14ac:dyDescent="0.2">
      <c r="L2208" s="270"/>
    </row>
    <row r="2209" spans="12:12" ht="18" customHeight="1" x14ac:dyDescent="0.2">
      <c r="L2209" s="270"/>
    </row>
    <row r="2210" spans="12:12" ht="18" customHeight="1" x14ac:dyDescent="0.2">
      <c r="L2210" s="270"/>
    </row>
    <row r="2211" spans="12:12" ht="18" customHeight="1" x14ac:dyDescent="0.2">
      <c r="L2211" s="270"/>
    </row>
    <row r="2212" spans="12:12" ht="18" customHeight="1" x14ac:dyDescent="0.2">
      <c r="L2212" s="270"/>
    </row>
    <row r="2213" spans="12:12" ht="18" customHeight="1" x14ac:dyDescent="0.2">
      <c r="L2213" s="270"/>
    </row>
    <row r="2214" spans="12:12" ht="18" customHeight="1" x14ac:dyDescent="0.2">
      <c r="L2214" s="270"/>
    </row>
    <row r="2215" spans="12:12" ht="18" customHeight="1" x14ac:dyDescent="0.2">
      <c r="L2215" s="270"/>
    </row>
    <row r="2216" spans="12:12" ht="18" customHeight="1" x14ac:dyDescent="0.2">
      <c r="L2216" s="270"/>
    </row>
    <row r="2217" spans="12:12" ht="18" customHeight="1" x14ac:dyDescent="0.2">
      <c r="L2217" s="270"/>
    </row>
    <row r="2218" spans="12:12" ht="18" customHeight="1" x14ac:dyDescent="0.2">
      <c r="L2218" s="270"/>
    </row>
    <row r="2219" spans="12:12" ht="18" customHeight="1" x14ac:dyDescent="0.2">
      <c r="L2219" s="270"/>
    </row>
    <row r="2220" spans="12:12" ht="18" customHeight="1" x14ac:dyDescent="0.2">
      <c r="L2220" s="270"/>
    </row>
    <row r="2221" spans="12:12" ht="18" customHeight="1" x14ac:dyDescent="0.2">
      <c r="L2221" s="270"/>
    </row>
    <row r="2222" spans="12:12" ht="18" customHeight="1" x14ac:dyDescent="0.2">
      <c r="L2222" s="270"/>
    </row>
    <row r="2223" spans="12:12" ht="18" customHeight="1" x14ac:dyDescent="0.2">
      <c r="L2223" s="270"/>
    </row>
    <row r="2224" spans="12:12" ht="18" customHeight="1" x14ac:dyDescent="0.2">
      <c r="L2224" s="270"/>
    </row>
    <row r="2225" spans="12:12" ht="18" customHeight="1" x14ac:dyDescent="0.2">
      <c r="L2225" s="270"/>
    </row>
    <row r="2226" spans="12:12" ht="18" customHeight="1" x14ac:dyDescent="0.2">
      <c r="L2226" s="270"/>
    </row>
    <row r="2227" spans="12:12" ht="18" customHeight="1" x14ac:dyDescent="0.2">
      <c r="L2227" s="270"/>
    </row>
    <row r="2228" spans="12:12" ht="18" customHeight="1" x14ac:dyDescent="0.2">
      <c r="L2228" s="270"/>
    </row>
    <row r="2229" spans="12:12" ht="18" customHeight="1" x14ac:dyDescent="0.2">
      <c r="L2229" s="270"/>
    </row>
    <row r="2230" spans="12:12" ht="18" customHeight="1" x14ac:dyDescent="0.2">
      <c r="L2230" s="270"/>
    </row>
    <row r="2231" spans="12:12" ht="18" customHeight="1" x14ac:dyDescent="0.2">
      <c r="L2231" s="270"/>
    </row>
    <row r="2232" spans="12:12" ht="18" customHeight="1" x14ac:dyDescent="0.2">
      <c r="L2232" s="270"/>
    </row>
    <row r="2233" spans="12:12" ht="18" customHeight="1" x14ac:dyDescent="0.2">
      <c r="L2233" s="270"/>
    </row>
    <row r="2234" spans="12:12" ht="18" customHeight="1" x14ac:dyDescent="0.2">
      <c r="L2234" s="270"/>
    </row>
    <row r="2235" spans="12:12" ht="18" customHeight="1" x14ac:dyDescent="0.2">
      <c r="L2235" s="270"/>
    </row>
    <row r="2236" spans="12:12" ht="18" customHeight="1" x14ac:dyDescent="0.2">
      <c r="L2236" s="270"/>
    </row>
    <row r="2237" spans="12:12" ht="18" customHeight="1" x14ac:dyDescent="0.2">
      <c r="L2237" s="270"/>
    </row>
    <row r="2238" spans="12:12" ht="18" customHeight="1" x14ac:dyDescent="0.2">
      <c r="L2238" s="270"/>
    </row>
    <row r="2239" spans="12:12" ht="18" customHeight="1" x14ac:dyDescent="0.2">
      <c r="L2239" s="270"/>
    </row>
    <row r="2240" spans="12:12" ht="18" customHeight="1" x14ac:dyDescent="0.2">
      <c r="L2240" s="270"/>
    </row>
    <row r="2241" spans="12:12" ht="18" customHeight="1" x14ac:dyDescent="0.2">
      <c r="L2241" s="270"/>
    </row>
    <row r="2242" spans="12:12" ht="18" customHeight="1" x14ac:dyDescent="0.2">
      <c r="L2242" s="270"/>
    </row>
    <row r="2243" spans="12:12" ht="18" customHeight="1" x14ac:dyDescent="0.2">
      <c r="L2243" s="270"/>
    </row>
    <row r="2244" spans="12:12" ht="18" customHeight="1" x14ac:dyDescent="0.2">
      <c r="L2244" s="270"/>
    </row>
    <row r="2245" spans="12:12" ht="18" customHeight="1" x14ac:dyDescent="0.2">
      <c r="L2245" s="270"/>
    </row>
    <row r="2246" spans="12:12" ht="18" customHeight="1" x14ac:dyDescent="0.2">
      <c r="L2246" s="270"/>
    </row>
    <row r="2247" spans="12:12" ht="18" customHeight="1" x14ac:dyDescent="0.2">
      <c r="L2247" s="270"/>
    </row>
    <row r="2248" spans="12:12" ht="18" customHeight="1" x14ac:dyDescent="0.2">
      <c r="L2248" s="270"/>
    </row>
    <row r="2249" spans="12:12" ht="18" customHeight="1" x14ac:dyDescent="0.2">
      <c r="L2249" s="270"/>
    </row>
    <row r="2250" spans="12:12" ht="18" customHeight="1" x14ac:dyDescent="0.2">
      <c r="L2250" s="270"/>
    </row>
    <row r="2251" spans="12:12" ht="18" customHeight="1" x14ac:dyDescent="0.2">
      <c r="L2251" s="270"/>
    </row>
    <row r="2252" spans="12:12" ht="18" customHeight="1" x14ac:dyDescent="0.2">
      <c r="L2252" s="270"/>
    </row>
    <row r="2253" spans="12:12" ht="18" customHeight="1" x14ac:dyDescent="0.2">
      <c r="L2253" s="270"/>
    </row>
    <row r="2254" spans="12:12" ht="18" customHeight="1" x14ac:dyDescent="0.2">
      <c r="L2254" s="270"/>
    </row>
    <row r="2255" spans="12:12" ht="18" customHeight="1" x14ac:dyDescent="0.2">
      <c r="L2255" s="270"/>
    </row>
    <row r="2256" spans="12:12" ht="18" customHeight="1" x14ac:dyDescent="0.2">
      <c r="L2256" s="270"/>
    </row>
    <row r="2257" spans="12:12" ht="18" customHeight="1" x14ac:dyDescent="0.2">
      <c r="L2257" s="270"/>
    </row>
    <row r="2258" spans="12:12" ht="18" customHeight="1" x14ac:dyDescent="0.2">
      <c r="L2258" s="270"/>
    </row>
    <row r="2259" spans="12:12" ht="18" customHeight="1" x14ac:dyDescent="0.2">
      <c r="L2259" s="270"/>
    </row>
    <row r="2260" spans="12:12" ht="18" customHeight="1" x14ac:dyDescent="0.2">
      <c r="L2260" s="270"/>
    </row>
    <row r="2261" spans="12:12" ht="18" customHeight="1" x14ac:dyDescent="0.2">
      <c r="L2261" s="270"/>
    </row>
    <row r="2262" spans="12:12" ht="18" customHeight="1" x14ac:dyDescent="0.2">
      <c r="L2262" s="270"/>
    </row>
    <row r="2263" spans="12:12" ht="18" customHeight="1" x14ac:dyDescent="0.2">
      <c r="L2263" s="270"/>
    </row>
    <row r="2264" spans="12:12" ht="18" customHeight="1" x14ac:dyDescent="0.2">
      <c r="L2264" s="270"/>
    </row>
    <row r="2265" spans="12:12" ht="18" customHeight="1" x14ac:dyDescent="0.2">
      <c r="L2265" s="270"/>
    </row>
    <row r="2266" spans="12:12" ht="18" customHeight="1" x14ac:dyDescent="0.2">
      <c r="L2266" s="270"/>
    </row>
    <row r="2267" spans="12:12" ht="18" customHeight="1" x14ac:dyDescent="0.2">
      <c r="L2267" s="270"/>
    </row>
    <row r="2268" spans="12:12" ht="18" customHeight="1" x14ac:dyDescent="0.2">
      <c r="L2268" s="270"/>
    </row>
    <row r="2269" spans="12:12" ht="18" customHeight="1" x14ac:dyDescent="0.2">
      <c r="L2269" s="270"/>
    </row>
    <row r="2270" spans="12:12" ht="18" customHeight="1" x14ac:dyDescent="0.2">
      <c r="L2270" s="270"/>
    </row>
    <row r="2271" spans="12:12" ht="18" customHeight="1" x14ac:dyDescent="0.2">
      <c r="L2271" s="270"/>
    </row>
    <row r="2272" spans="12:12" ht="18" customHeight="1" x14ac:dyDescent="0.2">
      <c r="L2272" s="270"/>
    </row>
    <row r="2273" spans="12:12" ht="18" customHeight="1" x14ac:dyDescent="0.2">
      <c r="L2273" s="270"/>
    </row>
    <row r="2274" spans="12:12" ht="18" customHeight="1" x14ac:dyDescent="0.2">
      <c r="L2274" s="270"/>
    </row>
    <row r="2275" spans="12:12" ht="18" customHeight="1" x14ac:dyDescent="0.2">
      <c r="L2275" s="270"/>
    </row>
    <row r="2276" spans="12:12" ht="18" customHeight="1" x14ac:dyDescent="0.2">
      <c r="L2276" s="270"/>
    </row>
    <row r="2277" spans="12:12" ht="18" customHeight="1" x14ac:dyDescent="0.2">
      <c r="L2277" s="270"/>
    </row>
    <row r="2278" spans="12:12" ht="18" customHeight="1" x14ac:dyDescent="0.2">
      <c r="L2278" s="270"/>
    </row>
    <row r="2279" spans="12:12" ht="18" customHeight="1" x14ac:dyDescent="0.2">
      <c r="L2279" s="270"/>
    </row>
    <row r="2280" spans="12:12" ht="18" customHeight="1" x14ac:dyDescent="0.2">
      <c r="L2280" s="270"/>
    </row>
    <row r="2281" spans="12:12" ht="18" customHeight="1" x14ac:dyDescent="0.2">
      <c r="L2281" s="270"/>
    </row>
    <row r="2282" spans="12:12" ht="18" customHeight="1" x14ac:dyDescent="0.2">
      <c r="L2282" s="270"/>
    </row>
    <row r="2283" spans="12:12" ht="18" customHeight="1" x14ac:dyDescent="0.2">
      <c r="L2283" s="270"/>
    </row>
    <row r="2284" spans="12:12" ht="18" customHeight="1" x14ac:dyDescent="0.2">
      <c r="L2284" s="270"/>
    </row>
    <row r="2285" spans="12:12" ht="18" customHeight="1" x14ac:dyDescent="0.2">
      <c r="L2285" s="270"/>
    </row>
    <row r="2286" spans="12:12" ht="18" customHeight="1" x14ac:dyDescent="0.2">
      <c r="L2286" s="270"/>
    </row>
    <row r="2287" spans="12:12" ht="18" customHeight="1" x14ac:dyDescent="0.2">
      <c r="L2287" s="270"/>
    </row>
    <row r="2288" spans="12:12" ht="18" customHeight="1" x14ac:dyDescent="0.2">
      <c r="L2288" s="270"/>
    </row>
    <row r="2289" spans="12:12" ht="18" customHeight="1" x14ac:dyDescent="0.2">
      <c r="L2289" s="270"/>
    </row>
    <row r="2290" spans="12:12" ht="18" customHeight="1" x14ac:dyDescent="0.2">
      <c r="L2290" s="270"/>
    </row>
    <row r="2291" spans="12:12" ht="18" customHeight="1" x14ac:dyDescent="0.2">
      <c r="L2291" s="270"/>
    </row>
    <row r="2292" spans="12:12" ht="18" customHeight="1" x14ac:dyDescent="0.2">
      <c r="L2292" s="270"/>
    </row>
    <row r="2293" spans="12:12" ht="18" customHeight="1" x14ac:dyDescent="0.2">
      <c r="L2293" s="270"/>
    </row>
    <row r="2294" spans="12:12" ht="18" customHeight="1" x14ac:dyDescent="0.2">
      <c r="L2294" s="270"/>
    </row>
    <row r="2295" spans="12:12" ht="18" customHeight="1" x14ac:dyDescent="0.2">
      <c r="L2295" s="270"/>
    </row>
    <row r="2296" spans="12:12" ht="18" customHeight="1" x14ac:dyDescent="0.2">
      <c r="L2296" s="270"/>
    </row>
    <row r="2297" spans="12:12" ht="18" customHeight="1" x14ac:dyDescent="0.2">
      <c r="L2297" s="270"/>
    </row>
    <row r="2298" spans="12:12" ht="18" customHeight="1" x14ac:dyDescent="0.2">
      <c r="L2298" s="270"/>
    </row>
    <row r="2299" spans="12:12" ht="18" customHeight="1" x14ac:dyDescent="0.2">
      <c r="L2299" s="270"/>
    </row>
    <row r="2300" spans="12:12" ht="18" customHeight="1" x14ac:dyDescent="0.2">
      <c r="L2300" s="270"/>
    </row>
    <row r="2301" spans="12:12" ht="18" customHeight="1" x14ac:dyDescent="0.2">
      <c r="L2301" s="270"/>
    </row>
    <row r="2302" spans="12:12" ht="18" customHeight="1" x14ac:dyDescent="0.2">
      <c r="L2302" s="270"/>
    </row>
    <row r="2303" spans="12:12" ht="18" customHeight="1" x14ac:dyDescent="0.2">
      <c r="L2303" s="270"/>
    </row>
    <row r="2304" spans="12:12" ht="18" customHeight="1" x14ac:dyDescent="0.2">
      <c r="L2304" s="270"/>
    </row>
    <row r="2305" spans="12:12" ht="18" customHeight="1" x14ac:dyDescent="0.2">
      <c r="L2305" s="270"/>
    </row>
    <row r="2306" spans="12:12" ht="18" customHeight="1" x14ac:dyDescent="0.2">
      <c r="L2306" s="270"/>
    </row>
    <row r="2307" spans="12:12" ht="18" customHeight="1" x14ac:dyDescent="0.2">
      <c r="L2307" s="270"/>
    </row>
    <row r="2308" spans="12:12" ht="18" customHeight="1" x14ac:dyDescent="0.2">
      <c r="L2308" s="270"/>
    </row>
    <row r="2309" spans="12:12" ht="18" customHeight="1" x14ac:dyDescent="0.2">
      <c r="L2309" s="270"/>
    </row>
    <row r="2310" spans="12:12" ht="18" customHeight="1" x14ac:dyDescent="0.2">
      <c r="L2310" s="270"/>
    </row>
    <row r="2311" spans="12:12" ht="18" customHeight="1" x14ac:dyDescent="0.2">
      <c r="L2311" s="270"/>
    </row>
    <row r="2312" spans="12:12" ht="18" customHeight="1" x14ac:dyDescent="0.2">
      <c r="L2312" s="270"/>
    </row>
    <row r="2313" spans="12:12" ht="18" customHeight="1" x14ac:dyDescent="0.2">
      <c r="L2313" s="270"/>
    </row>
    <row r="2314" spans="12:12" ht="18" customHeight="1" x14ac:dyDescent="0.2">
      <c r="L2314" s="270"/>
    </row>
    <row r="2315" spans="12:12" ht="18" customHeight="1" x14ac:dyDescent="0.2">
      <c r="L2315" s="270"/>
    </row>
    <row r="2316" spans="12:12" ht="18" customHeight="1" x14ac:dyDescent="0.2">
      <c r="L2316" s="270"/>
    </row>
    <row r="2317" spans="12:12" ht="18" customHeight="1" x14ac:dyDescent="0.2">
      <c r="L2317" s="270"/>
    </row>
    <row r="2318" spans="12:12" ht="18" customHeight="1" x14ac:dyDescent="0.2">
      <c r="L2318" s="270"/>
    </row>
    <row r="2319" spans="12:12" ht="18" customHeight="1" x14ac:dyDescent="0.2">
      <c r="L2319" s="270"/>
    </row>
    <row r="2320" spans="12:12" ht="18" customHeight="1" x14ac:dyDescent="0.2">
      <c r="L2320" s="270"/>
    </row>
    <row r="2321" spans="12:12" ht="18" customHeight="1" x14ac:dyDescent="0.2">
      <c r="L2321" s="270"/>
    </row>
    <row r="2322" spans="12:12" ht="18" customHeight="1" x14ac:dyDescent="0.2">
      <c r="L2322" s="270"/>
    </row>
    <row r="2323" spans="12:12" ht="18" customHeight="1" x14ac:dyDescent="0.2">
      <c r="L2323" s="270"/>
    </row>
    <row r="2324" spans="12:12" ht="18" customHeight="1" x14ac:dyDescent="0.2">
      <c r="L2324" s="270"/>
    </row>
    <row r="2325" spans="12:12" ht="18" customHeight="1" x14ac:dyDescent="0.2">
      <c r="L2325" s="270"/>
    </row>
    <row r="2326" spans="12:12" ht="18" customHeight="1" x14ac:dyDescent="0.2">
      <c r="L2326" s="270"/>
    </row>
    <row r="2327" spans="12:12" ht="18" customHeight="1" x14ac:dyDescent="0.2">
      <c r="L2327" s="270"/>
    </row>
    <row r="2328" spans="12:12" ht="18" customHeight="1" x14ac:dyDescent="0.2">
      <c r="L2328" s="270"/>
    </row>
    <row r="2329" spans="12:12" ht="18" customHeight="1" x14ac:dyDescent="0.2">
      <c r="L2329" s="270"/>
    </row>
    <row r="2330" spans="12:12" ht="18" customHeight="1" x14ac:dyDescent="0.2">
      <c r="L2330" s="270"/>
    </row>
    <row r="2331" spans="12:12" ht="18" customHeight="1" x14ac:dyDescent="0.2">
      <c r="L2331" s="270"/>
    </row>
    <row r="2332" spans="12:12" ht="18" customHeight="1" x14ac:dyDescent="0.2">
      <c r="L2332" s="270"/>
    </row>
    <row r="2333" spans="12:12" ht="18" customHeight="1" x14ac:dyDescent="0.2">
      <c r="L2333" s="270"/>
    </row>
    <row r="2334" spans="12:12" ht="18" customHeight="1" x14ac:dyDescent="0.2">
      <c r="L2334" s="270"/>
    </row>
    <row r="2335" spans="12:12" ht="18" customHeight="1" x14ac:dyDescent="0.2">
      <c r="L2335" s="270"/>
    </row>
    <row r="2336" spans="12:12" ht="18" customHeight="1" x14ac:dyDescent="0.2">
      <c r="L2336" s="270"/>
    </row>
    <row r="2337" spans="12:12" ht="18" customHeight="1" x14ac:dyDescent="0.2">
      <c r="L2337" s="270"/>
    </row>
    <row r="2338" spans="12:12" ht="18" customHeight="1" x14ac:dyDescent="0.2">
      <c r="L2338" s="270"/>
    </row>
    <row r="2339" spans="12:12" ht="18" customHeight="1" x14ac:dyDescent="0.2">
      <c r="L2339" s="270"/>
    </row>
    <row r="2340" spans="12:12" ht="18" customHeight="1" x14ac:dyDescent="0.2">
      <c r="L2340" s="270"/>
    </row>
    <row r="2341" spans="12:12" ht="18" customHeight="1" x14ac:dyDescent="0.2">
      <c r="L2341" s="270"/>
    </row>
    <row r="2342" spans="12:12" ht="18" customHeight="1" x14ac:dyDescent="0.2">
      <c r="L2342" s="270"/>
    </row>
    <row r="2343" spans="12:12" ht="18" customHeight="1" x14ac:dyDescent="0.2">
      <c r="L2343" s="270"/>
    </row>
    <row r="2344" spans="12:12" ht="18" customHeight="1" x14ac:dyDescent="0.2">
      <c r="L2344" s="270"/>
    </row>
    <row r="2345" spans="12:12" ht="18" customHeight="1" x14ac:dyDescent="0.2">
      <c r="L2345" s="270"/>
    </row>
    <row r="2346" spans="12:12" ht="18" customHeight="1" x14ac:dyDescent="0.2">
      <c r="L2346" s="270"/>
    </row>
    <row r="2347" spans="12:12" ht="18" customHeight="1" x14ac:dyDescent="0.2">
      <c r="L2347" s="270"/>
    </row>
    <row r="2348" spans="12:12" ht="18" customHeight="1" x14ac:dyDescent="0.2">
      <c r="L2348" s="270"/>
    </row>
    <row r="2349" spans="12:12" ht="18" customHeight="1" x14ac:dyDescent="0.2">
      <c r="L2349" s="270"/>
    </row>
    <row r="2350" spans="12:12" ht="18" customHeight="1" x14ac:dyDescent="0.2">
      <c r="L2350" s="270"/>
    </row>
    <row r="2351" spans="12:12" ht="18" customHeight="1" x14ac:dyDescent="0.2">
      <c r="L2351" s="270"/>
    </row>
    <row r="2352" spans="12:12" ht="18" customHeight="1" x14ac:dyDescent="0.2">
      <c r="L2352" s="270"/>
    </row>
    <row r="2353" spans="12:12" ht="18" customHeight="1" x14ac:dyDescent="0.2">
      <c r="L2353" s="270"/>
    </row>
    <row r="2354" spans="12:12" ht="18" customHeight="1" x14ac:dyDescent="0.2">
      <c r="L2354" s="270"/>
    </row>
    <row r="2355" spans="12:12" ht="18" customHeight="1" x14ac:dyDescent="0.2">
      <c r="L2355" s="270"/>
    </row>
    <row r="2356" spans="12:12" ht="18" customHeight="1" x14ac:dyDescent="0.2">
      <c r="L2356" s="270"/>
    </row>
    <row r="2357" spans="12:12" ht="18" customHeight="1" x14ac:dyDescent="0.2">
      <c r="L2357" s="270"/>
    </row>
    <row r="2358" spans="12:12" ht="18" customHeight="1" x14ac:dyDescent="0.2">
      <c r="L2358" s="270"/>
    </row>
    <row r="2359" spans="12:12" ht="18" customHeight="1" x14ac:dyDescent="0.2">
      <c r="L2359" s="270"/>
    </row>
    <row r="2360" spans="12:12" ht="18" customHeight="1" x14ac:dyDescent="0.2">
      <c r="L2360" s="270"/>
    </row>
    <row r="2361" spans="12:12" ht="18" customHeight="1" x14ac:dyDescent="0.2">
      <c r="L2361" s="270"/>
    </row>
    <row r="2362" spans="12:12" ht="18" customHeight="1" x14ac:dyDescent="0.2">
      <c r="L2362" s="270"/>
    </row>
    <row r="2363" spans="12:12" ht="18" customHeight="1" x14ac:dyDescent="0.2">
      <c r="L2363" s="270"/>
    </row>
    <row r="2364" spans="12:12" ht="18" customHeight="1" x14ac:dyDescent="0.2">
      <c r="L2364" s="270"/>
    </row>
    <row r="2365" spans="12:12" ht="18" customHeight="1" x14ac:dyDescent="0.2">
      <c r="L2365" s="270"/>
    </row>
    <row r="2366" spans="12:12" ht="18" customHeight="1" x14ac:dyDescent="0.2">
      <c r="L2366" s="270"/>
    </row>
    <row r="2367" spans="12:12" ht="18" customHeight="1" x14ac:dyDescent="0.2">
      <c r="L2367" s="270"/>
    </row>
    <row r="2368" spans="12:12" ht="18" customHeight="1" x14ac:dyDescent="0.2">
      <c r="L2368" s="270"/>
    </row>
    <row r="2369" spans="12:12" ht="18" customHeight="1" x14ac:dyDescent="0.2">
      <c r="L2369" s="270"/>
    </row>
    <row r="2370" spans="12:12" ht="18" customHeight="1" x14ac:dyDescent="0.2">
      <c r="L2370" s="270"/>
    </row>
    <row r="2371" spans="12:12" ht="18" customHeight="1" x14ac:dyDescent="0.2">
      <c r="L2371" s="270"/>
    </row>
    <row r="2372" spans="12:12" ht="18" customHeight="1" x14ac:dyDescent="0.2">
      <c r="L2372" s="270"/>
    </row>
    <row r="2373" spans="12:12" ht="18" customHeight="1" x14ac:dyDescent="0.2">
      <c r="L2373" s="270"/>
    </row>
    <row r="2374" spans="12:12" ht="18" customHeight="1" x14ac:dyDescent="0.2">
      <c r="L2374" s="270"/>
    </row>
    <row r="2375" spans="12:12" ht="18" customHeight="1" x14ac:dyDescent="0.2">
      <c r="L2375" s="270"/>
    </row>
    <row r="2376" spans="12:12" ht="18" customHeight="1" x14ac:dyDescent="0.2">
      <c r="L2376" s="270"/>
    </row>
    <row r="2377" spans="12:12" ht="18" customHeight="1" x14ac:dyDescent="0.2">
      <c r="L2377" s="270"/>
    </row>
    <row r="2378" spans="12:12" ht="18" customHeight="1" x14ac:dyDescent="0.2">
      <c r="L2378" s="270"/>
    </row>
    <row r="2379" spans="12:12" ht="18" customHeight="1" x14ac:dyDescent="0.2">
      <c r="L2379" s="270"/>
    </row>
    <row r="2380" spans="12:12" ht="18" customHeight="1" x14ac:dyDescent="0.2">
      <c r="L2380" s="270"/>
    </row>
    <row r="2381" spans="12:12" ht="18" customHeight="1" x14ac:dyDescent="0.2">
      <c r="L2381" s="270"/>
    </row>
    <row r="2382" spans="12:12" ht="18" customHeight="1" x14ac:dyDescent="0.2">
      <c r="L2382" s="270"/>
    </row>
    <row r="2383" spans="12:12" ht="18" customHeight="1" x14ac:dyDescent="0.2">
      <c r="L2383" s="270"/>
    </row>
    <row r="2384" spans="12:12" ht="18" customHeight="1" x14ac:dyDescent="0.2">
      <c r="L2384" s="270"/>
    </row>
    <row r="2385" spans="12:12" ht="18" customHeight="1" x14ac:dyDescent="0.2">
      <c r="L2385" s="270"/>
    </row>
    <row r="2386" spans="12:12" ht="18" customHeight="1" x14ac:dyDescent="0.2">
      <c r="L2386" s="270"/>
    </row>
    <row r="2387" spans="12:12" ht="18" customHeight="1" x14ac:dyDescent="0.2">
      <c r="L2387" s="270"/>
    </row>
    <row r="2388" spans="12:12" ht="18" customHeight="1" x14ac:dyDescent="0.2">
      <c r="L2388" s="270"/>
    </row>
    <row r="2389" spans="12:12" ht="18" customHeight="1" x14ac:dyDescent="0.2">
      <c r="L2389" s="270"/>
    </row>
    <row r="2390" spans="12:12" ht="18" customHeight="1" x14ac:dyDescent="0.2">
      <c r="L2390" s="270"/>
    </row>
    <row r="2391" spans="12:12" ht="18" customHeight="1" x14ac:dyDescent="0.2">
      <c r="L2391" s="270"/>
    </row>
    <row r="2392" spans="12:12" ht="18" customHeight="1" x14ac:dyDescent="0.2">
      <c r="L2392" s="270"/>
    </row>
    <row r="2393" spans="12:12" ht="18" customHeight="1" x14ac:dyDescent="0.2">
      <c r="L2393" s="270"/>
    </row>
    <row r="2394" spans="12:12" ht="18" customHeight="1" x14ac:dyDescent="0.2">
      <c r="L2394" s="270"/>
    </row>
    <row r="2395" spans="12:12" ht="18" customHeight="1" x14ac:dyDescent="0.2">
      <c r="L2395" s="270"/>
    </row>
    <row r="2396" spans="12:12" ht="18" customHeight="1" x14ac:dyDescent="0.2">
      <c r="L2396" s="270"/>
    </row>
    <row r="2397" spans="12:12" ht="18" customHeight="1" x14ac:dyDescent="0.2">
      <c r="L2397" s="270"/>
    </row>
    <row r="2398" spans="12:12" ht="18" customHeight="1" x14ac:dyDescent="0.2">
      <c r="L2398" s="270"/>
    </row>
    <row r="2399" spans="12:12" ht="18" customHeight="1" x14ac:dyDescent="0.2">
      <c r="L2399" s="270"/>
    </row>
    <row r="2400" spans="12:12" ht="18" customHeight="1" x14ac:dyDescent="0.2">
      <c r="L2400" s="270"/>
    </row>
    <row r="2401" spans="12:12" ht="18" customHeight="1" x14ac:dyDescent="0.2">
      <c r="L2401" s="270"/>
    </row>
    <row r="2402" spans="12:12" ht="18" customHeight="1" x14ac:dyDescent="0.2">
      <c r="L2402" s="270"/>
    </row>
    <row r="2403" spans="12:12" ht="18" customHeight="1" x14ac:dyDescent="0.2">
      <c r="L2403" s="270"/>
    </row>
    <row r="2404" spans="12:12" ht="18" customHeight="1" x14ac:dyDescent="0.2">
      <c r="L2404" s="270"/>
    </row>
    <row r="2405" spans="12:12" ht="18" customHeight="1" x14ac:dyDescent="0.2">
      <c r="L2405" s="270"/>
    </row>
    <row r="2406" spans="12:12" ht="18" customHeight="1" x14ac:dyDescent="0.2">
      <c r="L2406" s="270"/>
    </row>
    <row r="2407" spans="12:12" ht="18" customHeight="1" x14ac:dyDescent="0.2">
      <c r="L2407" s="270"/>
    </row>
    <row r="2408" spans="12:12" ht="18" customHeight="1" x14ac:dyDescent="0.2">
      <c r="L2408" s="270"/>
    </row>
    <row r="2409" spans="12:12" ht="18" customHeight="1" x14ac:dyDescent="0.2">
      <c r="L2409" s="270"/>
    </row>
    <row r="2410" spans="12:12" ht="18" customHeight="1" x14ac:dyDescent="0.2">
      <c r="L2410" s="270"/>
    </row>
    <row r="2411" spans="12:12" ht="18" customHeight="1" x14ac:dyDescent="0.2">
      <c r="L2411" s="270"/>
    </row>
    <row r="2412" spans="12:12" ht="18" customHeight="1" x14ac:dyDescent="0.2">
      <c r="L2412" s="270"/>
    </row>
    <row r="2413" spans="12:12" ht="18" customHeight="1" x14ac:dyDescent="0.2">
      <c r="L2413" s="270"/>
    </row>
    <row r="2414" spans="12:12" ht="18" customHeight="1" x14ac:dyDescent="0.2">
      <c r="L2414" s="270"/>
    </row>
    <row r="2415" spans="12:12" ht="18" customHeight="1" x14ac:dyDescent="0.2">
      <c r="L2415" s="270"/>
    </row>
    <row r="2416" spans="12:12" ht="18" customHeight="1" x14ac:dyDescent="0.2">
      <c r="L2416" s="270"/>
    </row>
    <row r="2417" spans="12:12" ht="18" customHeight="1" x14ac:dyDescent="0.2">
      <c r="L2417" s="270"/>
    </row>
    <row r="2418" spans="12:12" ht="18" customHeight="1" x14ac:dyDescent="0.2">
      <c r="L2418" s="270"/>
    </row>
    <row r="2419" spans="12:12" ht="18" customHeight="1" x14ac:dyDescent="0.2">
      <c r="L2419" s="270"/>
    </row>
    <row r="2420" spans="12:12" ht="18" customHeight="1" x14ac:dyDescent="0.2">
      <c r="L2420" s="270"/>
    </row>
    <row r="2421" spans="12:12" ht="18" customHeight="1" x14ac:dyDescent="0.2">
      <c r="L2421" s="270"/>
    </row>
    <row r="2422" spans="12:12" ht="18" customHeight="1" x14ac:dyDescent="0.2">
      <c r="L2422" s="270"/>
    </row>
    <row r="2423" spans="12:12" ht="18" customHeight="1" x14ac:dyDescent="0.2">
      <c r="L2423" s="270"/>
    </row>
    <row r="2424" spans="12:12" ht="18" customHeight="1" x14ac:dyDescent="0.2">
      <c r="L2424" s="270"/>
    </row>
    <row r="2425" spans="12:12" ht="18" customHeight="1" x14ac:dyDescent="0.2">
      <c r="L2425" s="270"/>
    </row>
    <row r="2426" spans="12:12" ht="18" customHeight="1" x14ac:dyDescent="0.2">
      <c r="L2426" s="270"/>
    </row>
    <row r="2427" spans="12:12" ht="18" customHeight="1" x14ac:dyDescent="0.2">
      <c r="L2427" s="270"/>
    </row>
    <row r="2428" spans="12:12" ht="18" customHeight="1" x14ac:dyDescent="0.2">
      <c r="L2428" s="270"/>
    </row>
    <row r="2429" spans="12:12" ht="18" customHeight="1" x14ac:dyDescent="0.2">
      <c r="L2429" s="270"/>
    </row>
    <row r="2430" spans="12:12" ht="18" customHeight="1" x14ac:dyDescent="0.2">
      <c r="L2430" s="270"/>
    </row>
    <row r="2431" spans="12:12" ht="18" customHeight="1" x14ac:dyDescent="0.2">
      <c r="L2431" s="270"/>
    </row>
    <row r="2432" spans="12:12" ht="18" customHeight="1" x14ac:dyDescent="0.2">
      <c r="L2432" s="270"/>
    </row>
    <row r="2433" spans="12:12" ht="18" customHeight="1" x14ac:dyDescent="0.2">
      <c r="L2433" s="270"/>
    </row>
    <row r="2434" spans="12:12" ht="18" customHeight="1" x14ac:dyDescent="0.2">
      <c r="L2434" s="270"/>
    </row>
    <row r="2435" spans="12:12" ht="18" customHeight="1" x14ac:dyDescent="0.2">
      <c r="L2435" s="270"/>
    </row>
    <row r="2436" spans="12:12" ht="18" customHeight="1" x14ac:dyDescent="0.2">
      <c r="L2436" s="270"/>
    </row>
    <row r="2437" spans="12:12" ht="18" customHeight="1" x14ac:dyDescent="0.2">
      <c r="L2437" s="270"/>
    </row>
    <row r="2438" spans="12:12" ht="18" customHeight="1" x14ac:dyDescent="0.2">
      <c r="L2438" s="270"/>
    </row>
    <row r="2439" spans="12:12" ht="18" customHeight="1" x14ac:dyDescent="0.2">
      <c r="L2439" s="270"/>
    </row>
    <row r="2440" spans="12:12" ht="18" customHeight="1" x14ac:dyDescent="0.2">
      <c r="L2440" s="270"/>
    </row>
    <row r="2441" spans="12:12" ht="18" customHeight="1" x14ac:dyDescent="0.2">
      <c r="L2441" s="270"/>
    </row>
    <row r="2442" spans="12:12" ht="18" customHeight="1" x14ac:dyDescent="0.2">
      <c r="L2442" s="270"/>
    </row>
    <row r="2443" spans="12:12" ht="18" customHeight="1" x14ac:dyDescent="0.2">
      <c r="L2443" s="270"/>
    </row>
    <row r="2444" spans="12:12" ht="18" customHeight="1" x14ac:dyDescent="0.2">
      <c r="L2444" s="270"/>
    </row>
    <row r="2445" spans="12:12" ht="18" customHeight="1" x14ac:dyDescent="0.2">
      <c r="L2445" s="270"/>
    </row>
    <row r="2446" spans="12:12" ht="18" customHeight="1" x14ac:dyDescent="0.2">
      <c r="L2446" s="270"/>
    </row>
    <row r="2447" spans="12:12" ht="18" customHeight="1" x14ac:dyDescent="0.2">
      <c r="L2447" s="270"/>
    </row>
    <row r="2448" spans="12:12" ht="18" customHeight="1" x14ac:dyDescent="0.2">
      <c r="L2448" s="270"/>
    </row>
    <row r="2449" spans="12:12" ht="18" customHeight="1" x14ac:dyDescent="0.2">
      <c r="L2449" s="270"/>
    </row>
    <row r="2450" spans="12:12" ht="18" customHeight="1" x14ac:dyDescent="0.2">
      <c r="L2450" s="270"/>
    </row>
    <row r="2451" spans="12:12" ht="18" customHeight="1" x14ac:dyDescent="0.2">
      <c r="L2451" s="270"/>
    </row>
    <row r="2452" spans="12:12" ht="18" customHeight="1" x14ac:dyDescent="0.2">
      <c r="L2452" s="270"/>
    </row>
    <row r="2453" spans="12:12" ht="18" customHeight="1" x14ac:dyDescent="0.2">
      <c r="L2453" s="270"/>
    </row>
    <row r="2454" spans="12:12" ht="18" customHeight="1" x14ac:dyDescent="0.2">
      <c r="L2454" s="270"/>
    </row>
    <row r="2455" spans="12:12" ht="18" customHeight="1" x14ac:dyDescent="0.2">
      <c r="L2455" s="270"/>
    </row>
    <row r="2456" spans="12:12" ht="18" customHeight="1" x14ac:dyDescent="0.2">
      <c r="L2456" s="270"/>
    </row>
    <row r="2457" spans="12:12" ht="18" customHeight="1" x14ac:dyDescent="0.2">
      <c r="L2457" s="270"/>
    </row>
    <row r="2458" spans="12:12" ht="18" customHeight="1" x14ac:dyDescent="0.2">
      <c r="L2458" s="270"/>
    </row>
    <row r="2459" spans="12:12" ht="18" customHeight="1" x14ac:dyDescent="0.2">
      <c r="L2459" s="270"/>
    </row>
    <row r="2460" spans="12:12" ht="18" customHeight="1" x14ac:dyDescent="0.2">
      <c r="L2460" s="270"/>
    </row>
    <row r="2461" spans="12:12" ht="18" customHeight="1" x14ac:dyDescent="0.2">
      <c r="L2461" s="270"/>
    </row>
    <row r="2462" spans="12:12" ht="18" customHeight="1" x14ac:dyDescent="0.2">
      <c r="L2462" s="270"/>
    </row>
    <row r="2463" spans="12:12" ht="18" customHeight="1" x14ac:dyDescent="0.2">
      <c r="L2463" s="270"/>
    </row>
    <row r="2464" spans="12:12" ht="18" customHeight="1" x14ac:dyDescent="0.2">
      <c r="L2464" s="270"/>
    </row>
    <row r="2465" spans="12:12" ht="18" customHeight="1" x14ac:dyDescent="0.2">
      <c r="L2465" s="270"/>
    </row>
    <row r="2466" spans="12:12" ht="18" customHeight="1" x14ac:dyDescent="0.2">
      <c r="L2466" s="270"/>
    </row>
    <row r="2467" spans="12:12" ht="18" customHeight="1" x14ac:dyDescent="0.2">
      <c r="L2467" s="270"/>
    </row>
    <row r="2468" spans="12:12" ht="18" customHeight="1" x14ac:dyDescent="0.2">
      <c r="L2468" s="270"/>
    </row>
    <row r="2469" spans="12:12" ht="18" customHeight="1" x14ac:dyDescent="0.2">
      <c r="L2469" s="270"/>
    </row>
    <row r="2470" spans="12:12" ht="18" customHeight="1" x14ac:dyDescent="0.2">
      <c r="L2470" s="270"/>
    </row>
    <row r="2471" spans="12:12" ht="18" customHeight="1" x14ac:dyDescent="0.2">
      <c r="L2471" s="270"/>
    </row>
    <row r="2472" spans="12:12" ht="18" customHeight="1" x14ac:dyDescent="0.2">
      <c r="L2472" s="270"/>
    </row>
    <row r="2473" spans="12:12" ht="18" customHeight="1" x14ac:dyDescent="0.2">
      <c r="L2473" s="270"/>
    </row>
    <row r="2474" spans="12:12" ht="18" customHeight="1" x14ac:dyDescent="0.2">
      <c r="L2474" s="270"/>
    </row>
    <row r="2475" spans="12:12" ht="18" customHeight="1" x14ac:dyDescent="0.2">
      <c r="L2475" s="270"/>
    </row>
    <row r="2476" spans="12:12" ht="18" customHeight="1" x14ac:dyDescent="0.2">
      <c r="L2476" s="270"/>
    </row>
    <row r="2477" spans="12:12" ht="18" customHeight="1" x14ac:dyDescent="0.2">
      <c r="L2477" s="270"/>
    </row>
    <row r="2478" spans="12:12" ht="18" customHeight="1" x14ac:dyDescent="0.2">
      <c r="L2478" s="270"/>
    </row>
    <row r="2479" spans="12:12" ht="18" customHeight="1" x14ac:dyDescent="0.2">
      <c r="L2479" s="270"/>
    </row>
    <row r="2480" spans="12:12" ht="18" customHeight="1" x14ac:dyDescent="0.2">
      <c r="L2480" s="270"/>
    </row>
    <row r="2481" spans="12:12" ht="18" customHeight="1" x14ac:dyDescent="0.2">
      <c r="L2481" s="270"/>
    </row>
    <row r="2482" spans="12:12" ht="18" customHeight="1" x14ac:dyDescent="0.2">
      <c r="L2482" s="270"/>
    </row>
    <row r="2483" spans="12:12" ht="18" customHeight="1" x14ac:dyDescent="0.2">
      <c r="L2483" s="270"/>
    </row>
    <row r="2484" spans="12:12" ht="18" customHeight="1" x14ac:dyDescent="0.2">
      <c r="L2484" s="270"/>
    </row>
    <row r="2485" spans="12:12" ht="18" customHeight="1" x14ac:dyDescent="0.2">
      <c r="L2485" s="270"/>
    </row>
    <row r="2486" spans="12:12" ht="18" customHeight="1" x14ac:dyDescent="0.2">
      <c r="L2486" s="270"/>
    </row>
    <row r="2487" spans="12:12" ht="18" customHeight="1" x14ac:dyDescent="0.2">
      <c r="L2487" s="270"/>
    </row>
    <row r="2488" spans="12:12" ht="18" customHeight="1" x14ac:dyDescent="0.2">
      <c r="L2488" s="270"/>
    </row>
    <row r="2489" spans="12:12" ht="18" customHeight="1" x14ac:dyDescent="0.2">
      <c r="L2489" s="270"/>
    </row>
    <row r="2490" spans="12:12" ht="18" customHeight="1" x14ac:dyDescent="0.2">
      <c r="L2490" s="270"/>
    </row>
    <row r="2491" spans="12:12" ht="18" customHeight="1" x14ac:dyDescent="0.2">
      <c r="L2491" s="270"/>
    </row>
    <row r="2492" spans="12:12" ht="18" customHeight="1" x14ac:dyDescent="0.2">
      <c r="L2492" s="270"/>
    </row>
    <row r="2493" spans="12:12" ht="18" customHeight="1" x14ac:dyDescent="0.2">
      <c r="L2493" s="270"/>
    </row>
    <row r="2494" spans="12:12" ht="18" customHeight="1" x14ac:dyDescent="0.2">
      <c r="L2494" s="270"/>
    </row>
    <row r="2495" spans="12:12" ht="18" customHeight="1" x14ac:dyDescent="0.2">
      <c r="L2495" s="270"/>
    </row>
    <row r="2496" spans="12:12" ht="18" customHeight="1" x14ac:dyDescent="0.2">
      <c r="L2496" s="270"/>
    </row>
    <row r="2497" spans="12:12" ht="18" customHeight="1" x14ac:dyDescent="0.2">
      <c r="L2497" s="270"/>
    </row>
    <row r="2498" spans="12:12" ht="18" customHeight="1" x14ac:dyDescent="0.2">
      <c r="L2498" s="270"/>
    </row>
    <row r="2499" spans="12:12" ht="18" customHeight="1" x14ac:dyDescent="0.2">
      <c r="L2499" s="270"/>
    </row>
    <row r="2500" spans="12:12" ht="18" customHeight="1" x14ac:dyDescent="0.2">
      <c r="L2500" s="270"/>
    </row>
    <row r="2501" spans="12:12" ht="18" customHeight="1" x14ac:dyDescent="0.2">
      <c r="L2501" s="270"/>
    </row>
    <row r="2502" spans="12:12" ht="18" customHeight="1" x14ac:dyDescent="0.2">
      <c r="L2502" s="270"/>
    </row>
    <row r="2503" spans="12:12" ht="18" customHeight="1" x14ac:dyDescent="0.2">
      <c r="L2503" s="270"/>
    </row>
    <row r="2504" spans="12:12" ht="18" customHeight="1" x14ac:dyDescent="0.2">
      <c r="L2504" s="270"/>
    </row>
    <row r="2505" spans="12:12" ht="18" customHeight="1" x14ac:dyDescent="0.2">
      <c r="L2505" s="270"/>
    </row>
    <row r="2506" spans="12:12" ht="18" customHeight="1" x14ac:dyDescent="0.2">
      <c r="L2506" s="270"/>
    </row>
    <row r="2507" spans="12:12" ht="18" customHeight="1" x14ac:dyDescent="0.2">
      <c r="L2507" s="270"/>
    </row>
    <row r="2508" spans="12:12" ht="18" customHeight="1" x14ac:dyDescent="0.2">
      <c r="L2508" s="270"/>
    </row>
    <row r="2509" spans="12:12" ht="18" customHeight="1" x14ac:dyDescent="0.2">
      <c r="L2509" s="270"/>
    </row>
    <row r="2510" spans="12:12" ht="18" customHeight="1" x14ac:dyDescent="0.2">
      <c r="L2510" s="270"/>
    </row>
    <row r="2511" spans="12:12" ht="18" customHeight="1" x14ac:dyDescent="0.2">
      <c r="L2511" s="270"/>
    </row>
    <row r="2512" spans="12:12" ht="18" customHeight="1" x14ac:dyDescent="0.2">
      <c r="L2512" s="270"/>
    </row>
    <row r="2513" spans="12:12" ht="18" customHeight="1" x14ac:dyDescent="0.2">
      <c r="L2513" s="270"/>
    </row>
    <row r="2514" spans="12:12" ht="18" customHeight="1" x14ac:dyDescent="0.2">
      <c r="L2514" s="270"/>
    </row>
    <row r="2515" spans="12:12" ht="18" customHeight="1" x14ac:dyDescent="0.2">
      <c r="L2515" s="270"/>
    </row>
    <row r="2516" spans="12:12" ht="18" customHeight="1" x14ac:dyDescent="0.2">
      <c r="L2516" s="270"/>
    </row>
    <row r="2517" spans="12:12" ht="18" customHeight="1" x14ac:dyDescent="0.2">
      <c r="L2517" s="270"/>
    </row>
    <row r="2518" spans="12:12" ht="18" customHeight="1" x14ac:dyDescent="0.2">
      <c r="L2518" s="270"/>
    </row>
    <row r="2519" spans="12:12" ht="18" customHeight="1" x14ac:dyDescent="0.2">
      <c r="L2519" s="270"/>
    </row>
    <row r="2520" spans="12:12" ht="18" customHeight="1" x14ac:dyDescent="0.2">
      <c r="L2520" s="270"/>
    </row>
    <row r="2521" spans="12:12" ht="18" customHeight="1" x14ac:dyDescent="0.2">
      <c r="L2521" s="270"/>
    </row>
    <row r="2522" spans="12:12" ht="18" customHeight="1" x14ac:dyDescent="0.2">
      <c r="L2522" s="270"/>
    </row>
    <row r="2523" spans="12:12" ht="18" customHeight="1" x14ac:dyDescent="0.2">
      <c r="L2523" s="270"/>
    </row>
    <row r="2524" spans="12:12" ht="18" customHeight="1" x14ac:dyDescent="0.2">
      <c r="L2524" s="270"/>
    </row>
    <row r="2525" spans="12:12" ht="18" customHeight="1" x14ac:dyDescent="0.2">
      <c r="L2525" s="270"/>
    </row>
    <row r="2526" spans="12:12" ht="18" customHeight="1" x14ac:dyDescent="0.2">
      <c r="L2526" s="270"/>
    </row>
    <row r="2527" spans="12:12" ht="18" customHeight="1" x14ac:dyDescent="0.2">
      <c r="L2527" s="270"/>
    </row>
    <row r="2528" spans="12:12" ht="18" customHeight="1" x14ac:dyDescent="0.2">
      <c r="L2528" s="270"/>
    </row>
    <row r="2529" spans="12:12" ht="18" customHeight="1" x14ac:dyDescent="0.2">
      <c r="L2529" s="270"/>
    </row>
    <row r="2530" spans="12:12" ht="18" customHeight="1" x14ac:dyDescent="0.2">
      <c r="L2530" s="270"/>
    </row>
    <row r="2531" spans="12:12" ht="18" customHeight="1" x14ac:dyDescent="0.2">
      <c r="L2531" s="270"/>
    </row>
    <row r="2532" spans="12:12" ht="18" customHeight="1" x14ac:dyDescent="0.2">
      <c r="L2532" s="270"/>
    </row>
    <row r="2533" spans="12:12" ht="18" customHeight="1" x14ac:dyDescent="0.2">
      <c r="L2533" s="270"/>
    </row>
    <row r="2534" spans="12:12" ht="18" customHeight="1" x14ac:dyDescent="0.2">
      <c r="L2534" s="270"/>
    </row>
    <row r="2535" spans="12:12" ht="18" customHeight="1" x14ac:dyDescent="0.2">
      <c r="L2535" s="270"/>
    </row>
    <row r="2536" spans="12:12" ht="18" customHeight="1" x14ac:dyDescent="0.2">
      <c r="L2536" s="270"/>
    </row>
    <row r="2537" spans="12:12" ht="18" customHeight="1" x14ac:dyDescent="0.2">
      <c r="L2537" s="270"/>
    </row>
    <row r="2538" spans="12:12" ht="18" customHeight="1" x14ac:dyDescent="0.2">
      <c r="L2538" s="270"/>
    </row>
    <row r="2539" spans="12:12" ht="18" customHeight="1" x14ac:dyDescent="0.2">
      <c r="L2539" s="270"/>
    </row>
    <row r="2540" spans="12:12" ht="18" customHeight="1" x14ac:dyDescent="0.2">
      <c r="L2540" s="270"/>
    </row>
    <row r="2541" spans="12:12" ht="18" customHeight="1" x14ac:dyDescent="0.2">
      <c r="L2541" s="270"/>
    </row>
    <row r="2542" spans="12:12" ht="18" customHeight="1" x14ac:dyDescent="0.2">
      <c r="L2542" s="270"/>
    </row>
    <row r="2543" spans="12:12" ht="18" customHeight="1" x14ac:dyDescent="0.2">
      <c r="L2543" s="270"/>
    </row>
    <row r="2544" spans="12:12" ht="18" customHeight="1" x14ac:dyDescent="0.2">
      <c r="L2544" s="270"/>
    </row>
    <row r="2545" spans="12:12" ht="18" customHeight="1" x14ac:dyDescent="0.2">
      <c r="L2545" s="270"/>
    </row>
    <row r="2546" spans="12:12" ht="18" customHeight="1" x14ac:dyDescent="0.2">
      <c r="L2546" s="270"/>
    </row>
    <row r="2547" spans="12:12" ht="18" customHeight="1" x14ac:dyDescent="0.2">
      <c r="L2547" s="270"/>
    </row>
    <row r="2548" spans="12:12" ht="18" customHeight="1" x14ac:dyDescent="0.2">
      <c r="L2548" s="270"/>
    </row>
    <row r="2549" spans="12:12" ht="18" customHeight="1" x14ac:dyDescent="0.2">
      <c r="L2549" s="270"/>
    </row>
    <row r="2550" spans="12:12" ht="18" customHeight="1" x14ac:dyDescent="0.2">
      <c r="L2550" s="270"/>
    </row>
    <row r="2551" spans="12:12" ht="18" customHeight="1" x14ac:dyDescent="0.2">
      <c r="L2551" s="270"/>
    </row>
    <row r="2552" spans="12:12" ht="18" customHeight="1" x14ac:dyDescent="0.2">
      <c r="L2552" s="270"/>
    </row>
    <row r="2553" spans="12:12" ht="18" customHeight="1" x14ac:dyDescent="0.2">
      <c r="L2553" s="270"/>
    </row>
    <row r="2554" spans="12:12" ht="18" customHeight="1" x14ac:dyDescent="0.2">
      <c r="L2554" s="270"/>
    </row>
    <row r="2555" spans="12:12" ht="18" customHeight="1" x14ac:dyDescent="0.2">
      <c r="L2555" s="270"/>
    </row>
    <row r="2556" spans="12:12" ht="18" customHeight="1" x14ac:dyDescent="0.2">
      <c r="L2556" s="270"/>
    </row>
    <row r="2557" spans="12:12" ht="18" customHeight="1" x14ac:dyDescent="0.2">
      <c r="L2557" s="270"/>
    </row>
    <row r="2558" spans="12:12" ht="18" customHeight="1" x14ac:dyDescent="0.2">
      <c r="L2558" s="270"/>
    </row>
    <row r="2559" spans="12:12" ht="18" customHeight="1" x14ac:dyDescent="0.2">
      <c r="L2559" s="270"/>
    </row>
    <row r="2560" spans="12:12" ht="18" customHeight="1" x14ac:dyDescent="0.2">
      <c r="L2560" s="270"/>
    </row>
    <row r="2561" spans="12:12" ht="18" customHeight="1" x14ac:dyDescent="0.2">
      <c r="L2561" s="270"/>
    </row>
    <row r="2562" spans="12:12" ht="18" customHeight="1" x14ac:dyDescent="0.2">
      <c r="L2562" s="270"/>
    </row>
    <row r="2563" spans="12:12" ht="18" customHeight="1" x14ac:dyDescent="0.2">
      <c r="L2563" s="270"/>
    </row>
    <row r="2564" spans="12:12" ht="18" customHeight="1" x14ac:dyDescent="0.2">
      <c r="L2564" s="270"/>
    </row>
    <row r="2565" spans="12:12" ht="18" customHeight="1" x14ac:dyDescent="0.2">
      <c r="L2565" s="270"/>
    </row>
    <row r="2566" spans="12:12" ht="18" customHeight="1" x14ac:dyDescent="0.2">
      <c r="L2566" s="270"/>
    </row>
    <row r="2567" spans="12:12" ht="18" customHeight="1" x14ac:dyDescent="0.2">
      <c r="L2567" s="270"/>
    </row>
    <row r="2568" spans="12:12" ht="18" customHeight="1" x14ac:dyDescent="0.2">
      <c r="L2568" s="270"/>
    </row>
    <row r="2569" spans="12:12" ht="18" customHeight="1" x14ac:dyDescent="0.2">
      <c r="L2569" s="270"/>
    </row>
    <row r="2570" spans="12:12" ht="18" customHeight="1" x14ac:dyDescent="0.2">
      <c r="L2570" s="270"/>
    </row>
    <row r="2571" spans="12:12" ht="18" customHeight="1" x14ac:dyDescent="0.2">
      <c r="L2571" s="270"/>
    </row>
    <row r="2572" spans="12:12" ht="18" customHeight="1" x14ac:dyDescent="0.2">
      <c r="L2572" s="270"/>
    </row>
    <row r="2573" spans="12:12" ht="18" customHeight="1" x14ac:dyDescent="0.2">
      <c r="L2573" s="270"/>
    </row>
    <row r="2574" spans="12:12" ht="18" customHeight="1" x14ac:dyDescent="0.2">
      <c r="L2574" s="270"/>
    </row>
    <row r="2575" spans="12:12" ht="18" customHeight="1" x14ac:dyDescent="0.2">
      <c r="L2575" s="270"/>
    </row>
    <row r="2576" spans="12:12" ht="18" customHeight="1" x14ac:dyDescent="0.2">
      <c r="L2576" s="270"/>
    </row>
    <row r="2577" spans="12:12" ht="18" customHeight="1" x14ac:dyDescent="0.2">
      <c r="L2577" s="270"/>
    </row>
    <row r="2578" spans="12:12" ht="18" customHeight="1" x14ac:dyDescent="0.2">
      <c r="L2578" s="270"/>
    </row>
    <row r="2579" spans="12:12" ht="18" customHeight="1" x14ac:dyDescent="0.2">
      <c r="L2579" s="270"/>
    </row>
    <row r="2580" spans="12:12" ht="18" customHeight="1" x14ac:dyDescent="0.2">
      <c r="L2580" s="270"/>
    </row>
    <row r="2581" spans="12:12" ht="18" customHeight="1" x14ac:dyDescent="0.2">
      <c r="L2581" s="270"/>
    </row>
    <row r="2582" spans="12:12" ht="18" customHeight="1" x14ac:dyDescent="0.2">
      <c r="L2582" s="270"/>
    </row>
    <row r="2583" spans="12:12" ht="18" customHeight="1" x14ac:dyDescent="0.2">
      <c r="L2583" s="270"/>
    </row>
    <row r="2584" spans="12:12" ht="18" customHeight="1" x14ac:dyDescent="0.2">
      <c r="L2584" s="270"/>
    </row>
    <row r="2585" spans="12:12" ht="18" customHeight="1" x14ac:dyDescent="0.2">
      <c r="L2585" s="270"/>
    </row>
    <row r="2586" spans="12:12" ht="18" customHeight="1" x14ac:dyDescent="0.2">
      <c r="L2586" s="270"/>
    </row>
    <row r="2587" spans="12:12" ht="18" customHeight="1" x14ac:dyDescent="0.2">
      <c r="L2587" s="270"/>
    </row>
    <row r="2588" spans="12:12" ht="18" customHeight="1" x14ac:dyDescent="0.2">
      <c r="L2588" s="270"/>
    </row>
    <row r="2589" spans="12:12" ht="18" customHeight="1" x14ac:dyDescent="0.2">
      <c r="L2589" s="270"/>
    </row>
    <row r="2590" spans="12:12" ht="18" customHeight="1" x14ac:dyDescent="0.2">
      <c r="L2590" s="270"/>
    </row>
    <row r="2591" spans="12:12" ht="18" customHeight="1" x14ac:dyDescent="0.2">
      <c r="L2591" s="270"/>
    </row>
    <row r="2592" spans="12:12" ht="18" customHeight="1" x14ac:dyDescent="0.2">
      <c r="L2592" s="270"/>
    </row>
    <row r="2593" spans="12:12" ht="18" customHeight="1" x14ac:dyDescent="0.2">
      <c r="L2593" s="270"/>
    </row>
    <row r="2594" spans="12:12" ht="18" customHeight="1" x14ac:dyDescent="0.2">
      <c r="L2594" s="270"/>
    </row>
    <row r="2595" spans="12:12" ht="18" customHeight="1" x14ac:dyDescent="0.2">
      <c r="L2595" s="270"/>
    </row>
    <row r="2596" spans="12:12" ht="18" customHeight="1" x14ac:dyDescent="0.2">
      <c r="L2596" s="270"/>
    </row>
    <row r="2597" spans="12:12" ht="18" customHeight="1" x14ac:dyDescent="0.2">
      <c r="L2597" s="270"/>
    </row>
    <row r="2598" spans="12:12" ht="18" customHeight="1" x14ac:dyDescent="0.2">
      <c r="L2598" s="270"/>
    </row>
    <row r="2599" spans="12:12" ht="18" customHeight="1" x14ac:dyDescent="0.2">
      <c r="L2599" s="270"/>
    </row>
    <row r="2600" spans="12:12" ht="18" customHeight="1" x14ac:dyDescent="0.2">
      <c r="L2600" s="270"/>
    </row>
    <row r="2601" spans="12:12" ht="18" customHeight="1" x14ac:dyDescent="0.2">
      <c r="L2601" s="270"/>
    </row>
    <row r="2602" spans="12:12" ht="18" customHeight="1" x14ac:dyDescent="0.2">
      <c r="L2602" s="270"/>
    </row>
    <row r="2603" spans="12:12" ht="18" customHeight="1" x14ac:dyDescent="0.2">
      <c r="L2603" s="270"/>
    </row>
    <row r="2604" spans="12:12" ht="18" customHeight="1" x14ac:dyDescent="0.2">
      <c r="L2604" s="270"/>
    </row>
    <row r="2605" spans="12:12" ht="18" customHeight="1" x14ac:dyDescent="0.2">
      <c r="L2605" s="270"/>
    </row>
    <row r="2606" spans="12:12" ht="18" customHeight="1" x14ac:dyDescent="0.2">
      <c r="L2606" s="270"/>
    </row>
    <row r="2607" spans="12:12" ht="18" customHeight="1" x14ac:dyDescent="0.2">
      <c r="L2607" s="270"/>
    </row>
    <row r="2608" spans="12:12" ht="18" customHeight="1" x14ac:dyDescent="0.2">
      <c r="L2608" s="270"/>
    </row>
    <row r="2609" spans="12:12" ht="18" customHeight="1" x14ac:dyDescent="0.2">
      <c r="L2609" s="270"/>
    </row>
    <row r="2610" spans="12:12" ht="18" customHeight="1" x14ac:dyDescent="0.2">
      <c r="L2610" s="270"/>
    </row>
    <row r="2611" spans="12:12" ht="18" customHeight="1" x14ac:dyDescent="0.2">
      <c r="L2611" s="270"/>
    </row>
    <row r="2612" spans="12:12" ht="18" customHeight="1" x14ac:dyDescent="0.2">
      <c r="L2612" s="270"/>
    </row>
    <row r="2613" spans="12:12" ht="18" customHeight="1" x14ac:dyDescent="0.2">
      <c r="L2613" s="270"/>
    </row>
    <row r="2614" spans="12:12" ht="18" customHeight="1" x14ac:dyDescent="0.2">
      <c r="L2614" s="270"/>
    </row>
    <row r="2615" spans="12:12" ht="18" customHeight="1" x14ac:dyDescent="0.2">
      <c r="L2615" s="270"/>
    </row>
    <row r="2616" spans="12:12" ht="18" customHeight="1" x14ac:dyDescent="0.2">
      <c r="L2616" s="270"/>
    </row>
    <row r="2617" spans="12:12" ht="18" customHeight="1" x14ac:dyDescent="0.2">
      <c r="L2617" s="270"/>
    </row>
    <row r="2618" spans="12:12" ht="18" customHeight="1" x14ac:dyDescent="0.2">
      <c r="L2618" s="270"/>
    </row>
    <row r="2619" spans="12:12" ht="18" customHeight="1" x14ac:dyDescent="0.2">
      <c r="L2619" s="270"/>
    </row>
    <row r="2620" spans="12:12" ht="18" customHeight="1" x14ac:dyDescent="0.2">
      <c r="L2620" s="270"/>
    </row>
    <row r="2621" spans="12:12" ht="18" customHeight="1" x14ac:dyDescent="0.2">
      <c r="L2621" s="270"/>
    </row>
    <row r="2622" spans="12:12" ht="18" customHeight="1" x14ac:dyDescent="0.2">
      <c r="L2622" s="270"/>
    </row>
    <row r="2623" spans="12:12" ht="18" customHeight="1" x14ac:dyDescent="0.2">
      <c r="L2623" s="270"/>
    </row>
    <row r="2624" spans="12:12" ht="18" customHeight="1" x14ac:dyDescent="0.2">
      <c r="L2624" s="270"/>
    </row>
    <row r="2625" spans="12:12" ht="18" customHeight="1" x14ac:dyDescent="0.2">
      <c r="L2625" s="270"/>
    </row>
    <row r="2626" spans="12:12" ht="18" customHeight="1" x14ac:dyDescent="0.2">
      <c r="L2626" s="270"/>
    </row>
    <row r="2627" spans="12:12" ht="18" customHeight="1" x14ac:dyDescent="0.2">
      <c r="L2627" s="270"/>
    </row>
    <row r="2628" spans="12:12" ht="18" customHeight="1" x14ac:dyDescent="0.2">
      <c r="L2628" s="270"/>
    </row>
    <row r="2629" spans="12:12" ht="18" customHeight="1" x14ac:dyDescent="0.2">
      <c r="L2629" s="270"/>
    </row>
    <row r="2630" spans="12:12" ht="18" customHeight="1" x14ac:dyDescent="0.2">
      <c r="L2630" s="270"/>
    </row>
    <row r="2631" spans="12:12" ht="18" customHeight="1" x14ac:dyDescent="0.2">
      <c r="L2631" s="270"/>
    </row>
    <row r="2632" spans="12:12" ht="18" customHeight="1" x14ac:dyDescent="0.2">
      <c r="L2632" s="270"/>
    </row>
    <row r="2633" spans="12:12" ht="18" customHeight="1" x14ac:dyDescent="0.2">
      <c r="L2633" s="270"/>
    </row>
    <row r="2634" spans="12:12" ht="18" customHeight="1" x14ac:dyDescent="0.2">
      <c r="L2634" s="270"/>
    </row>
    <row r="2635" spans="12:12" ht="18" customHeight="1" x14ac:dyDescent="0.2">
      <c r="L2635" s="270"/>
    </row>
    <row r="2636" spans="12:12" ht="18" customHeight="1" x14ac:dyDescent="0.2">
      <c r="L2636" s="270"/>
    </row>
    <row r="2637" spans="12:12" ht="18" customHeight="1" x14ac:dyDescent="0.2">
      <c r="L2637" s="270"/>
    </row>
    <row r="2638" spans="12:12" ht="18" customHeight="1" x14ac:dyDescent="0.2">
      <c r="L2638" s="270"/>
    </row>
    <row r="2639" spans="12:12" ht="18" customHeight="1" x14ac:dyDescent="0.2">
      <c r="L2639" s="270"/>
    </row>
    <row r="2640" spans="12:12" ht="18" customHeight="1" x14ac:dyDescent="0.2">
      <c r="L2640" s="270"/>
    </row>
    <row r="2641" spans="12:12" ht="18" customHeight="1" x14ac:dyDescent="0.2">
      <c r="L2641" s="270"/>
    </row>
    <row r="2642" spans="12:12" ht="18" customHeight="1" x14ac:dyDescent="0.2">
      <c r="L2642" s="270"/>
    </row>
    <row r="2643" spans="12:12" ht="18" customHeight="1" x14ac:dyDescent="0.2">
      <c r="L2643" s="270"/>
    </row>
    <row r="2644" spans="12:12" ht="18" customHeight="1" x14ac:dyDescent="0.2">
      <c r="L2644" s="270"/>
    </row>
    <row r="2645" spans="12:12" ht="18" customHeight="1" x14ac:dyDescent="0.2">
      <c r="L2645" s="270"/>
    </row>
    <row r="2646" spans="12:12" ht="18" customHeight="1" x14ac:dyDescent="0.2">
      <c r="L2646" s="270"/>
    </row>
    <row r="2647" spans="12:12" ht="18" customHeight="1" x14ac:dyDescent="0.2">
      <c r="L2647" s="270"/>
    </row>
    <row r="2648" spans="12:12" ht="18" customHeight="1" x14ac:dyDescent="0.2">
      <c r="L2648" s="270"/>
    </row>
    <row r="2649" spans="12:12" ht="18" customHeight="1" x14ac:dyDescent="0.2">
      <c r="L2649" s="270"/>
    </row>
    <row r="2650" spans="12:12" ht="18" customHeight="1" x14ac:dyDescent="0.2">
      <c r="L2650" s="270"/>
    </row>
    <row r="2651" spans="12:12" ht="18" customHeight="1" x14ac:dyDescent="0.2">
      <c r="L2651" s="270"/>
    </row>
    <row r="2652" spans="12:12" ht="18" customHeight="1" x14ac:dyDescent="0.2">
      <c r="L2652" s="270"/>
    </row>
    <row r="2653" spans="12:12" ht="18" customHeight="1" x14ac:dyDescent="0.2">
      <c r="L2653" s="270"/>
    </row>
    <row r="2654" spans="12:12" ht="18" customHeight="1" x14ac:dyDescent="0.2">
      <c r="L2654" s="270"/>
    </row>
    <row r="2655" spans="12:12" ht="18" customHeight="1" x14ac:dyDescent="0.2">
      <c r="L2655" s="270"/>
    </row>
    <row r="2656" spans="12:12" ht="18" customHeight="1" x14ac:dyDescent="0.2">
      <c r="L2656" s="270"/>
    </row>
    <row r="2657" spans="12:12" ht="18" customHeight="1" x14ac:dyDescent="0.2">
      <c r="L2657" s="270"/>
    </row>
    <row r="2658" spans="12:12" ht="18" customHeight="1" x14ac:dyDescent="0.2">
      <c r="L2658" s="270"/>
    </row>
    <row r="2659" spans="12:12" ht="18" customHeight="1" x14ac:dyDescent="0.2">
      <c r="L2659" s="270"/>
    </row>
    <row r="2660" spans="12:12" ht="18" customHeight="1" x14ac:dyDescent="0.2">
      <c r="L2660" s="270"/>
    </row>
    <row r="2661" spans="12:12" ht="18" customHeight="1" x14ac:dyDescent="0.2">
      <c r="L2661" s="270"/>
    </row>
    <row r="2662" spans="12:12" ht="18" customHeight="1" x14ac:dyDescent="0.2">
      <c r="L2662" s="270"/>
    </row>
    <row r="2663" spans="12:12" ht="18" customHeight="1" x14ac:dyDescent="0.2">
      <c r="L2663" s="270"/>
    </row>
    <row r="2664" spans="12:12" ht="18" customHeight="1" x14ac:dyDescent="0.2">
      <c r="L2664" s="270"/>
    </row>
    <row r="2665" spans="12:12" ht="18" customHeight="1" x14ac:dyDescent="0.2">
      <c r="L2665" s="270"/>
    </row>
    <row r="2666" spans="12:12" ht="18" customHeight="1" x14ac:dyDescent="0.2">
      <c r="L2666" s="270"/>
    </row>
    <row r="2667" spans="12:12" ht="18" customHeight="1" x14ac:dyDescent="0.2">
      <c r="L2667" s="270"/>
    </row>
    <row r="2668" spans="12:12" ht="18" customHeight="1" x14ac:dyDescent="0.2">
      <c r="L2668" s="270"/>
    </row>
    <row r="2669" spans="12:12" ht="18" customHeight="1" x14ac:dyDescent="0.2">
      <c r="L2669" s="270"/>
    </row>
    <row r="2670" spans="12:12" ht="18" customHeight="1" x14ac:dyDescent="0.2">
      <c r="L2670" s="270"/>
    </row>
    <row r="2671" spans="12:12" ht="18" customHeight="1" x14ac:dyDescent="0.2">
      <c r="L2671" s="270"/>
    </row>
    <row r="2672" spans="12:12" ht="18" customHeight="1" x14ac:dyDescent="0.2">
      <c r="L2672" s="270"/>
    </row>
    <row r="2673" spans="12:12" ht="18" customHeight="1" x14ac:dyDescent="0.2">
      <c r="L2673" s="270"/>
    </row>
    <row r="2674" spans="12:12" ht="18" customHeight="1" x14ac:dyDescent="0.2">
      <c r="L2674" s="270"/>
    </row>
    <row r="2675" spans="12:12" ht="18" customHeight="1" x14ac:dyDescent="0.2">
      <c r="L2675" s="270"/>
    </row>
    <row r="2676" spans="12:12" ht="18" customHeight="1" x14ac:dyDescent="0.2">
      <c r="L2676" s="270"/>
    </row>
    <row r="2677" spans="12:12" ht="18" customHeight="1" x14ac:dyDescent="0.2">
      <c r="L2677" s="270"/>
    </row>
    <row r="2678" spans="12:12" ht="18" customHeight="1" x14ac:dyDescent="0.2">
      <c r="L2678" s="270"/>
    </row>
    <row r="2679" spans="12:12" ht="18" customHeight="1" x14ac:dyDescent="0.2">
      <c r="L2679" s="270"/>
    </row>
    <row r="2680" spans="12:12" ht="18" customHeight="1" x14ac:dyDescent="0.2">
      <c r="L2680" s="270"/>
    </row>
    <row r="2681" spans="12:12" ht="18" customHeight="1" x14ac:dyDescent="0.2">
      <c r="L2681" s="270"/>
    </row>
    <row r="2682" spans="12:12" ht="18" customHeight="1" x14ac:dyDescent="0.2">
      <c r="L2682" s="270"/>
    </row>
    <row r="2683" spans="12:12" ht="18" customHeight="1" x14ac:dyDescent="0.2">
      <c r="L2683" s="270"/>
    </row>
    <row r="2684" spans="12:12" ht="18" customHeight="1" x14ac:dyDescent="0.2">
      <c r="L2684" s="270"/>
    </row>
    <row r="2685" spans="12:12" ht="18" customHeight="1" x14ac:dyDescent="0.2">
      <c r="L2685" s="270"/>
    </row>
    <row r="2686" spans="12:12" ht="18" customHeight="1" x14ac:dyDescent="0.2">
      <c r="L2686" s="270"/>
    </row>
    <row r="2687" spans="12:12" ht="18" customHeight="1" x14ac:dyDescent="0.2">
      <c r="L2687" s="270"/>
    </row>
    <row r="2688" spans="12:12" ht="18" customHeight="1" x14ac:dyDescent="0.2">
      <c r="L2688" s="270"/>
    </row>
    <row r="2689" spans="12:12" ht="18" customHeight="1" x14ac:dyDescent="0.2">
      <c r="L2689" s="270"/>
    </row>
    <row r="2690" spans="12:12" ht="18" customHeight="1" x14ac:dyDescent="0.2">
      <c r="L2690" s="270"/>
    </row>
    <row r="2691" spans="12:12" ht="18" customHeight="1" x14ac:dyDescent="0.2">
      <c r="L2691" s="270"/>
    </row>
    <row r="2692" spans="12:12" ht="18" customHeight="1" x14ac:dyDescent="0.2">
      <c r="L2692" s="270"/>
    </row>
    <row r="2693" spans="12:12" ht="18" customHeight="1" x14ac:dyDescent="0.2">
      <c r="L2693" s="270"/>
    </row>
    <row r="2694" spans="12:12" ht="18" customHeight="1" x14ac:dyDescent="0.2">
      <c r="L2694" s="270"/>
    </row>
    <row r="2695" spans="12:12" ht="18" customHeight="1" x14ac:dyDescent="0.2">
      <c r="L2695" s="270"/>
    </row>
    <row r="2696" spans="12:12" ht="18" customHeight="1" x14ac:dyDescent="0.2">
      <c r="L2696" s="270"/>
    </row>
    <row r="2697" spans="12:12" ht="18" customHeight="1" x14ac:dyDescent="0.2">
      <c r="L2697" s="270"/>
    </row>
    <row r="2698" spans="12:12" ht="18" customHeight="1" x14ac:dyDescent="0.2">
      <c r="L2698" s="270"/>
    </row>
    <row r="2699" spans="12:12" ht="18" customHeight="1" x14ac:dyDescent="0.2">
      <c r="L2699" s="270"/>
    </row>
    <row r="2700" spans="12:12" ht="18" customHeight="1" x14ac:dyDescent="0.2">
      <c r="L2700" s="270"/>
    </row>
    <row r="2701" spans="12:12" ht="18" customHeight="1" x14ac:dyDescent="0.2">
      <c r="L2701" s="270"/>
    </row>
    <row r="2702" spans="12:12" ht="18" customHeight="1" x14ac:dyDescent="0.2">
      <c r="L2702" s="270"/>
    </row>
    <row r="2703" spans="12:12" ht="18" customHeight="1" x14ac:dyDescent="0.2">
      <c r="L2703" s="270"/>
    </row>
    <row r="2704" spans="12:12" ht="18" customHeight="1" x14ac:dyDescent="0.2">
      <c r="L2704" s="270"/>
    </row>
    <row r="2705" spans="12:12" ht="18" customHeight="1" x14ac:dyDescent="0.2">
      <c r="L2705" s="270"/>
    </row>
    <row r="2706" spans="12:12" ht="18" customHeight="1" x14ac:dyDescent="0.2">
      <c r="L2706" s="270"/>
    </row>
    <row r="2707" spans="12:12" ht="18" customHeight="1" x14ac:dyDescent="0.2">
      <c r="L2707" s="270"/>
    </row>
    <row r="2708" spans="12:12" ht="18" customHeight="1" x14ac:dyDescent="0.2">
      <c r="L2708" s="270"/>
    </row>
    <row r="2709" spans="12:12" ht="18" customHeight="1" x14ac:dyDescent="0.2">
      <c r="L2709" s="270"/>
    </row>
    <row r="2710" spans="12:12" ht="18" customHeight="1" x14ac:dyDescent="0.2">
      <c r="L2710" s="270"/>
    </row>
    <row r="2711" spans="12:12" ht="18" customHeight="1" x14ac:dyDescent="0.2">
      <c r="L2711" s="270"/>
    </row>
    <row r="2712" spans="12:12" ht="18" customHeight="1" x14ac:dyDescent="0.2">
      <c r="L2712" s="270"/>
    </row>
    <row r="2713" spans="12:12" ht="18" customHeight="1" x14ac:dyDescent="0.2">
      <c r="L2713" s="270"/>
    </row>
    <row r="2714" spans="12:12" ht="18" customHeight="1" x14ac:dyDescent="0.2">
      <c r="L2714" s="270"/>
    </row>
    <row r="2715" spans="12:12" ht="18" customHeight="1" x14ac:dyDescent="0.2">
      <c r="L2715" s="270"/>
    </row>
    <row r="2716" spans="12:12" ht="18" customHeight="1" x14ac:dyDescent="0.2">
      <c r="L2716" s="270"/>
    </row>
    <row r="2717" spans="12:12" ht="18" customHeight="1" x14ac:dyDescent="0.2">
      <c r="L2717" s="270"/>
    </row>
    <row r="2718" spans="12:12" ht="18" customHeight="1" x14ac:dyDescent="0.2">
      <c r="L2718" s="270"/>
    </row>
    <row r="2719" spans="12:12" ht="18" customHeight="1" x14ac:dyDescent="0.2">
      <c r="L2719" s="270"/>
    </row>
    <row r="2720" spans="12:12" ht="18" customHeight="1" x14ac:dyDescent="0.2">
      <c r="L2720" s="270"/>
    </row>
    <row r="2721" spans="12:12" ht="18" customHeight="1" x14ac:dyDescent="0.2">
      <c r="L2721" s="270"/>
    </row>
    <row r="2722" spans="12:12" ht="18" customHeight="1" x14ac:dyDescent="0.2">
      <c r="L2722" s="270"/>
    </row>
    <row r="2723" spans="12:12" ht="18" customHeight="1" x14ac:dyDescent="0.2">
      <c r="L2723" s="270"/>
    </row>
    <row r="2724" spans="12:12" ht="18" customHeight="1" x14ac:dyDescent="0.2">
      <c r="L2724" s="270"/>
    </row>
    <row r="2725" spans="12:12" ht="18" customHeight="1" x14ac:dyDescent="0.2">
      <c r="L2725" s="270"/>
    </row>
    <row r="2726" spans="12:12" ht="18" customHeight="1" x14ac:dyDescent="0.2">
      <c r="L2726" s="270"/>
    </row>
    <row r="2727" spans="12:12" ht="18" customHeight="1" x14ac:dyDescent="0.2">
      <c r="L2727" s="270"/>
    </row>
    <row r="2728" spans="12:12" ht="18" customHeight="1" x14ac:dyDescent="0.2">
      <c r="L2728" s="270"/>
    </row>
    <row r="2729" spans="12:12" ht="18" customHeight="1" x14ac:dyDescent="0.2">
      <c r="L2729" s="270"/>
    </row>
    <row r="2730" spans="12:12" ht="18" customHeight="1" x14ac:dyDescent="0.2">
      <c r="L2730" s="270"/>
    </row>
    <row r="2731" spans="12:12" ht="18" customHeight="1" x14ac:dyDescent="0.2">
      <c r="L2731" s="270"/>
    </row>
    <row r="2732" spans="12:12" ht="18" customHeight="1" x14ac:dyDescent="0.2">
      <c r="L2732" s="270"/>
    </row>
    <row r="2733" spans="12:12" ht="18" customHeight="1" x14ac:dyDescent="0.2">
      <c r="L2733" s="270"/>
    </row>
    <row r="2734" spans="12:12" ht="18" customHeight="1" x14ac:dyDescent="0.2">
      <c r="L2734" s="270"/>
    </row>
    <row r="2735" spans="12:12" ht="18" customHeight="1" x14ac:dyDescent="0.2">
      <c r="L2735" s="270"/>
    </row>
    <row r="2736" spans="12:12" ht="18" customHeight="1" x14ac:dyDescent="0.2">
      <c r="L2736" s="270"/>
    </row>
    <row r="2737" spans="12:12" ht="18" customHeight="1" x14ac:dyDescent="0.2">
      <c r="L2737" s="270"/>
    </row>
    <row r="2738" spans="12:12" ht="18" customHeight="1" x14ac:dyDescent="0.2">
      <c r="L2738" s="270"/>
    </row>
    <row r="2739" spans="12:12" ht="18" customHeight="1" x14ac:dyDescent="0.2">
      <c r="L2739" s="270"/>
    </row>
    <row r="2740" spans="12:12" ht="18" customHeight="1" x14ac:dyDescent="0.2">
      <c r="L2740" s="270"/>
    </row>
    <row r="2741" spans="12:12" ht="18" customHeight="1" x14ac:dyDescent="0.2">
      <c r="L2741" s="270"/>
    </row>
    <row r="2742" spans="12:12" ht="18" customHeight="1" x14ac:dyDescent="0.2">
      <c r="L2742" s="270"/>
    </row>
    <row r="2743" spans="12:12" ht="18" customHeight="1" x14ac:dyDescent="0.2">
      <c r="L2743" s="270"/>
    </row>
    <row r="2744" spans="12:12" ht="18" customHeight="1" x14ac:dyDescent="0.2">
      <c r="L2744" s="270"/>
    </row>
    <row r="2745" spans="12:12" ht="18" customHeight="1" x14ac:dyDescent="0.2">
      <c r="L2745" s="270"/>
    </row>
    <row r="2746" spans="12:12" ht="18" customHeight="1" x14ac:dyDescent="0.2">
      <c r="L2746" s="270"/>
    </row>
    <row r="2747" spans="12:12" ht="18" customHeight="1" x14ac:dyDescent="0.2">
      <c r="L2747" s="270"/>
    </row>
    <row r="2748" spans="12:12" ht="18" customHeight="1" x14ac:dyDescent="0.2">
      <c r="L2748" s="270"/>
    </row>
    <row r="2749" spans="12:12" ht="18" customHeight="1" x14ac:dyDescent="0.2">
      <c r="L2749" s="270"/>
    </row>
    <row r="2750" spans="12:12" ht="18" customHeight="1" x14ac:dyDescent="0.2">
      <c r="L2750" s="270"/>
    </row>
    <row r="2751" spans="12:12" ht="18" customHeight="1" x14ac:dyDescent="0.2">
      <c r="L2751" s="270"/>
    </row>
    <row r="2752" spans="12:12" ht="18" customHeight="1" x14ac:dyDescent="0.2">
      <c r="L2752" s="270"/>
    </row>
    <row r="2753" spans="12:12" ht="18" customHeight="1" x14ac:dyDescent="0.2">
      <c r="L2753" s="270"/>
    </row>
    <row r="2754" spans="12:12" ht="18" customHeight="1" x14ac:dyDescent="0.2">
      <c r="L2754" s="270"/>
    </row>
    <row r="2755" spans="12:12" ht="18" customHeight="1" x14ac:dyDescent="0.2">
      <c r="L2755" s="270"/>
    </row>
    <row r="2756" spans="12:12" ht="18" customHeight="1" x14ac:dyDescent="0.2">
      <c r="L2756" s="270"/>
    </row>
    <row r="2757" spans="12:12" ht="18" customHeight="1" x14ac:dyDescent="0.2">
      <c r="L2757" s="270"/>
    </row>
    <row r="2758" spans="12:12" ht="18" customHeight="1" x14ac:dyDescent="0.2">
      <c r="L2758" s="270"/>
    </row>
    <row r="2759" spans="12:12" ht="18" customHeight="1" x14ac:dyDescent="0.2">
      <c r="L2759" s="270"/>
    </row>
    <row r="2760" spans="12:12" ht="18" customHeight="1" x14ac:dyDescent="0.2">
      <c r="L2760" s="270"/>
    </row>
    <row r="2761" spans="12:12" ht="18" customHeight="1" x14ac:dyDescent="0.2">
      <c r="L2761" s="270"/>
    </row>
    <row r="2762" spans="12:12" ht="18" customHeight="1" x14ac:dyDescent="0.2">
      <c r="L2762" s="270"/>
    </row>
    <row r="2763" spans="12:12" ht="18" customHeight="1" x14ac:dyDescent="0.2">
      <c r="L2763" s="270"/>
    </row>
    <row r="2764" spans="12:12" ht="18" customHeight="1" x14ac:dyDescent="0.2">
      <c r="L2764" s="270"/>
    </row>
    <row r="2765" spans="12:12" ht="18" customHeight="1" x14ac:dyDescent="0.2">
      <c r="L2765" s="270"/>
    </row>
    <row r="2766" spans="12:12" ht="18" customHeight="1" x14ac:dyDescent="0.2">
      <c r="L2766" s="270"/>
    </row>
    <row r="2767" spans="12:12" ht="18" customHeight="1" x14ac:dyDescent="0.2">
      <c r="L2767" s="270"/>
    </row>
    <row r="2768" spans="12:12" ht="18" customHeight="1" x14ac:dyDescent="0.2">
      <c r="L2768" s="270"/>
    </row>
    <row r="2769" spans="12:12" ht="18" customHeight="1" x14ac:dyDescent="0.2">
      <c r="L2769" s="270"/>
    </row>
    <row r="2770" spans="12:12" ht="18" customHeight="1" x14ac:dyDescent="0.2">
      <c r="L2770" s="270"/>
    </row>
    <row r="2771" spans="12:12" ht="18" customHeight="1" x14ac:dyDescent="0.2">
      <c r="L2771" s="270"/>
    </row>
    <row r="2772" spans="12:12" ht="18" customHeight="1" x14ac:dyDescent="0.2">
      <c r="L2772" s="270"/>
    </row>
    <row r="2773" spans="12:12" ht="18" customHeight="1" x14ac:dyDescent="0.2">
      <c r="L2773" s="270"/>
    </row>
    <row r="2774" spans="12:12" ht="18" customHeight="1" x14ac:dyDescent="0.2">
      <c r="L2774" s="270"/>
    </row>
    <row r="2775" spans="12:12" ht="18" customHeight="1" x14ac:dyDescent="0.2">
      <c r="L2775" s="270"/>
    </row>
    <row r="2776" spans="12:12" ht="18" customHeight="1" x14ac:dyDescent="0.2">
      <c r="L2776" s="270"/>
    </row>
    <row r="2777" spans="12:12" ht="18" customHeight="1" x14ac:dyDescent="0.2">
      <c r="L2777" s="270"/>
    </row>
    <row r="2778" spans="12:12" ht="18" customHeight="1" x14ac:dyDescent="0.2">
      <c r="L2778" s="270"/>
    </row>
    <row r="2779" spans="12:12" ht="18" customHeight="1" x14ac:dyDescent="0.2">
      <c r="L2779" s="270"/>
    </row>
    <row r="2780" spans="12:12" ht="18" customHeight="1" x14ac:dyDescent="0.2">
      <c r="L2780" s="270"/>
    </row>
    <row r="2781" spans="12:12" ht="18" customHeight="1" x14ac:dyDescent="0.2">
      <c r="L2781" s="270"/>
    </row>
    <row r="2782" spans="12:12" ht="18" customHeight="1" x14ac:dyDescent="0.2">
      <c r="L2782" s="270"/>
    </row>
    <row r="2783" spans="12:12" ht="18" customHeight="1" x14ac:dyDescent="0.2">
      <c r="L2783" s="270"/>
    </row>
    <row r="2784" spans="12:12" ht="18" customHeight="1" x14ac:dyDescent="0.2">
      <c r="L2784" s="270"/>
    </row>
    <row r="2785" spans="12:12" ht="18" customHeight="1" x14ac:dyDescent="0.2">
      <c r="L2785" s="270"/>
    </row>
    <row r="2786" spans="12:12" ht="18" customHeight="1" x14ac:dyDescent="0.2">
      <c r="L2786" s="270"/>
    </row>
    <row r="2787" spans="12:12" ht="18" customHeight="1" x14ac:dyDescent="0.2">
      <c r="L2787" s="270"/>
    </row>
    <row r="2788" spans="12:12" ht="18" customHeight="1" x14ac:dyDescent="0.2">
      <c r="L2788" s="270"/>
    </row>
    <row r="2789" spans="12:12" ht="18" customHeight="1" x14ac:dyDescent="0.2">
      <c r="L2789" s="270"/>
    </row>
    <row r="2790" spans="12:12" ht="18" customHeight="1" x14ac:dyDescent="0.2">
      <c r="L2790" s="270"/>
    </row>
    <row r="2791" spans="12:12" ht="18" customHeight="1" x14ac:dyDescent="0.2">
      <c r="L2791" s="270"/>
    </row>
    <row r="2792" spans="12:12" ht="18" customHeight="1" x14ac:dyDescent="0.2">
      <c r="L2792" s="270"/>
    </row>
    <row r="2793" spans="12:12" ht="18" customHeight="1" x14ac:dyDescent="0.2">
      <c r="L2793" s="270"/>
    </row>
    <row r="2794" spans="12:12" ht="18" customHeight="1" x14ac:dyDescent="0.2">
      <c r="L2794" s="270"/>
    </row>
    <row r="2795" spans="12:12" ht="18" customHeight="1" x14ac:dyDescent="0.2">
      <c r="L2795" s="270"/>
    </row>
    <row r="2796" spans="12:12" ht="18" customHeight="1" x14ac:dyDescent="0.2">
      <c r="L2796" s="270"/>
    </row>
    <row r="2797" spans="12:12" ht="18" customHeight="1" x14ac:dyDescent="0.2">
      <c r="L2797" s="270"/>
    </row>
    <row r="2798" spans="12:12" ht="18" customHeight="1" x14ac:dyDescent="0.2">
      <c r="L2798" s="270"/>
    </row>
    <row r="2799" spans="12:12" ht="18" customHeight="1" x14ac:dyDescent="0.2">
      <c r="L2799" s="270"/>
    </row>
    <row r="2800" spans="12:12" ht="18" customHeight="1" x14ac:dyDescent="0.2">
      <c r="L2800" s="270"/>
    </row>
    <row r="2801" spans="12:12" ht="18" customHeight="1" x14ac:dyDescent="0.2">
      <c r="L2801" s="270"/>
    </row>
    <row r="2802" spans="12:12" ht="18" customHeight="1" x14ac:dyDescent="0.2">
      <c r="L2802" s="270"/>
    </row>
    <row r="2803" spans="12:12" ht="18" customHeight="1" x14ac:dyDescent="0.2">
      <c r="L2803" s="270"/>
    </row>
    <row r="2804" spans="12:12" ht="18" customHeight="1" x14ac:dyDescent="0.2">
      <c r="L2804" s="270"/>
    </row>
    <row r="2805" spans="12:12" ht="18" customHeight="1" x14ac:dyDescent="0.2">
      <c r="L2805" s="270"/>
    </row>
    <row r="2806" spans="12:12" ht="18" customHeight="1" x14ac:dyDescent="0.2">
      <c r="L2806" s="270"/>
    </row>
    <row r="2807" spans="12:12" ht="18" customHeight="1" x14ac:dyDescent="0.2">
      <c r="L2807" s="270"/>
    </row>
    <row r="2808" spans="12:12" ht="18" customHeight="1" x14ac:dyDescent="0.2">
      <c r="L2808" s="270"/>
    </row>
    <row r="2809" spans="12:12" ht="18" customHeight="1" x14ac:dyDescent="0.2">
      <c r="L2809" s="270"/>
    </row>
    <row r="2810" spans="12:12" ht="18" customHeight="1" x14ac:dyDescent="0.2">
      <c r="L2810" s="270"/>
    </row>
    <row r="2811" spans="12:12" ht="18" customHeight="1" x14ac:dyDescent="0.2">
      <c r="L2811" s="270"/>
    </row>
    <row r="2812" spans="12:12" ht="18" customHeight="1" x14ac:dyDescent="0.2">
      <c r="L2812" s="270"/>
    </row>
    <row r="2813" spans="12:12" ht="18" customHeight="1" x14ac:dyDescent="0.2">
      <c r="L2813" s="270"/>
    </row>
    <row r="2814" spans="12:12" ht="18" customHeight="1" x14ac:dyDescent="0.2">
      <c r="L2814" s="270"/>
    </row>
    <row r="2815" spans="12:12" ht="18" customHeight="1" x14ac:dyDescent="0.2">
      <c r="L2815" s="270"/>
    </row>
    <row r="2816" spans="12:12" ht="18" customHeight="1" x14ac:dyDescent="0.2">
      <c r="L2816" s="270"/>
    </row>
    <row r="2817" spans="12:12" ht="18" customHeight="1" x14ac:dyDescent="0.2">
      <c r="L2817" s="270"/>
    </row>
    <row r="2818" spans="12:12" ht="18" customHeight="1" x14ac:dyDescent="0.2">
      <c r="L2818" s="270"/>
    </row>
    <row r="2819" spans="12:12" ht="18" customHeight="1" x14ac:dyDescent="0.2">
      <c r="L2819" s="270"/>
    </row>
    <row r="2820" spans="12:12" ht="18" customHeight="1" x14ac:dyDescent="0.2">
      <c r="L2820" s="270"/>
    </row>
    <row r="2821" spans="12:12" ht="18" customHeight="1" x14ac:dyDescent="0.2">
      <c r="L2821" s="270"/>
    </row>
    <row r="2822" spans="12:12" ht="18" customHeight="1" x14ac:dyDescent="0.2">
      <c r="L2822" s="270"/>
    </row>
    <row r="2823" spans="12:12" ht="18" customHeight="1" x14ac:dyDescent="0.2">
      <c r="L2823" s="270"/>
    </row>
    <row r="2824" spans="12:12" ht="18" customHeight="1" x14ac:dyDescent="0.2">
      <c r="L2824" s="270"/>
    </row>
    <row r="2825" spans="12:12" ht="18" customHeight="1" x14ac:dyDescent="0.2">
      <c r="L2825" s="270"/>
    </row>
    <row r="2826" spans="12:12" ht="18" customHeight="1" x14ac:dyDescent="0.2">
      <c r="L2826" s="270"/>
    </row>
    <row r="2827" spans="12:12" ht="18" customHeight="1" x14ac:dyDescent="0.2">
      <c r="L2827" s="270"/>
    </row>
    <row r="2828" spans="12:12" ht="18" customHeight="1" x14ac:dyDescent="0.2">
      <c r="L2828" s="270"/>
    </row>
    <row r="2829" spans="12:12" ht="18" customHeight="1" x14ac:dyDescent="0.2">
      <c r="L2829" s="270"/>
    </row>
    <row r="2830" spans="12:12" ht="18" customHeight="1" x14ac:dyDescent="0.2">
      <c r="L2830" s="270"/>
    </row>
    <row r="2831" spans="12:12" ht="18" customHeight="1" x14ac:dyDescent="0.2">
      <c r="L2831" s="270"/>
    </row>
    <row r="2832" spans="12:12" ht="18" customHeight="1" x14ac:dyDescent="0.2">
      <c r="L2832" s="270"/>
    </row>
    <row r="2833" spans="12:12" ht="18" customHeight="1" x14ac:dyDescent="0.2">
      <c r="L2833" s="270"/>
    </row>
    <row r="2834" spans="12:12" ht="18" customHeight="1" x14ac:dyDescent="0.2">
      <c r="L2834" s="270"/>
    </row>
    <row r="2835" spans="12:12" ht="18" customHeight="1" x14ac:dyDescent="0.2">
      <c r="L2835" s="270"/>
    </row>
    <row r="2836" spans="12:12" ht="18" customHeight="1" x14ac:dyDescent="0.2">
      <c r="L2836" s="270"/>
    </row>
    <row r="2837" spans="12:12" ht="18" customHeight="1" x14ac:dyDescent="0.2">
      <c r="L2837" s="270"/>
    </row>
    <row r="2838" spans="12:12" ht="18" customHeight="1" x14ac:dyDescent="0.2">
      <c r="L2838" s="270"/>
    </row>
    <row r="2839" spans="12:12" ht="18" customHeight="1" x14ac:dyDescent="0.2">
      <c r="L2839" s="270"/>
    </row>
    <row r="2840" spans="12:12" ht="18" customHeight="1" x14ac:dyDescent="0.2">
      <c r="L2840" s="270"/>
    </row>
    <row r="2841" spans="12:12" ht="18" customHeight="1" x14ac:dyDescent="0.2">
      <c r="L2841" s="270"/>
    </row>
    <row r="2842" spans="12:12" ht="18" customHeight="1" x14ac:dyDescent="0.2">
      <c r="L2842" s="270"/>
    </row>
    <row r="2843" spans="12:12" ht="18" customHeight="1" x14ac:dyDescent="0.2">
      <c r="L2843" s="270"/>
    </row>
    <row r="2844" spans="12:12" ht="18" customHeight="1" x14ac:dyDescent="0.2">
      <c r="L2844" s="270"/>
    </row>
    <row r="2845" spans="12:12" ht="18" customHeight="1" x14ac:dyDescent="0.2">
      <c r="L2845" s="270"/>
    </row>
    <row r="2846" spans="12:12" ht="18" customHeight="1" x14ac:dyDescent="0.2">
      <c r="L2846" s="270"/>
    </row>
    <row r="2847" spans="12:12" ht="18" customHeight="1" x14ac:dyDescent="0.2">
      <c r="L2847" s="270"/>
    </row>
    <row r="2848" spans="12:12" ht="18" customHeight="1" x14ac:dyDescent="0.2">
      <c r="L2848" s="270"/>
    </row>
    <row r="2849" spans="12:12" ht="18" customHeight="1" x14ac:dyDescent="0.2">
      <c r="L2849" s="270"/>
    </row>
    <row r="2850" spans="12:12" ht="18" customHeight="1" x14ac:dyDescent="0.2">
      <c r="L2850" s="270"/>
    </row>
    <row r="2851" spans="12:12" ht="18" customHeight="1" x14ac:dyDescent="0.2">
      <c r="L2851" s="270"/>
    </row>
    <row r="2852" spans="12:12" ht="18" customHeight="1" x14ac:dyDescent="0.2">
      <c r="L2852" s="270"/>
    </row>
    <row r="2853" spans="12:12" ht="18" customHeight="1" x14ac:dyDescent="0.2">
      <c r="L2853" s="270"/>
    </row>
    <row r="2854" spans="12:12" ht="18" customHeight="1" x14ac:dyDescent="0.2">
      <c r="L2854" s="270"/>
    </row>
    <row r="2855" spans="12:12" ht="18" customHeight="1" x14ac:dyDescent="0.2">
      <c r="L2855" s="270"/>
    </row>
    <row r="2856" spans="12:12" ht="18" customHeight="1" x14ac:dyDescent="0.2">
      <c r="L2856" s="270"/>
    </row>
    <row r="2857" spans="12:12" ht="18" customHeight="1" x14ac:dyDescent="0.2">
      <c r="L2857" s="270"/>
    </row>
    <row r="2858" spans="12:12" ht="18" customHeight="1" x14ac:dyDescent="0.2">
      <c r="L2858" s="270"/>
    </row>
    <row r="2859" spans="12:12" ht="18" customHeight="1" x14ac:dyDescent="0.2">
      <c r="L2859" s="270"/>
    </row>
    <row r="2860" spans="12:12" ht="18" customHeight="1" x14ac:dyDescent="0.2">
      <c r="L2860" s="270"/>
    </row>
    <row r="2861" spans="12:12" ht="18" customHeight="1" x14ac:dyDescent="0.2">
      <c r="L2861" s="270"/>
    </row>
    <row r="2862" spans="12:12" ht="18" customHeight="1" x14ac:dyDescent="0.2">
      <c r="L2862" s="270"/>
    </row>
    <row r="2863" spans="12:12" ht="18" customHeight="1" x14ac:dyDescent="0.2">
      <c r="L2863" s="270"/>
    </row>
    <row r="2864" spans="12:12" ht="18" customHeight="1" x14ac:dyDescent="0.2">
      <c r="L2864" s="270"/>
    </row>
    <row r="2865" spans="12:12" ht="18" customHeight="1" x14ac:dyDescent="0.2">
      <c r="L2865" s="270"/>
    </row>
    <row r="2866" spans="12:12" ht="18" customHeight="1" x14ac:dyDescent="0.2">
      <c r="L2866" s="270"/>
    </row>
    <row r="2867" spans="12:12" ht="18" customHeight="1" x14ac:dyDescent="0.2">
      <c r="L2867" s="270"/>
    </row>
    <row r="2868" spans="12:12" ht="18" customHeight="1" x14ac:dyDescent="0.2">
      <c r="L2868" s="270"/>
    </row>
    <row r="2869" spans="12:12" ht="18" customHeight="1" x14ac:dyDescent="0.2">
      <c r="L2869" s="270"/>
    </row>
    <row r="2870" spans="12:12" ht="18" customHeight="1" x14ac:dyDescent="0.2">
      <c r="L2870" s="270"/>
    </row>
    <row r="2871" spans="12:12" ht="18" customHeight="1" x14ac:dyDescent="0.2">
      <c r="L2871" s="270"/>
    </row>
    <row r="2872" spans="12:12" ht="18" customHeight="1" x14ac:dyDescent="0.2">
      <c r="L2872" s="270"/>
    </row>
    <row r="2873" spans="12:12" ht="18" customHeight="1" x14ac:dyDescent="0.2">
      <c r="L2873" s="270"/>
    </row>
    <row r="2874" spans="12:12" ht="18" customHeight="1" x14ac:dyDescent="0.2">
      <c r="L2874" s="270"/>
    </row>
    <row r="2875" spans="12:12" ht="18" customHeight="1" x14ac:dyDescent="0.2">
      <c r="L2875" s="270"/>
    </row>
    <row r="2876" spans="12:12" ht="18" customHeight="1" x14ac:dyDescent="0.2">
      <c r="L2876" s="270"/>
    </row>
    <row r="2877" spans="12:12" ht="18" customHeight="1" x14ac:dyDescent="0.2">
      <c r="L2877" s="270"/>
    </row>
    <row r="2878" spans="12:12" ht="18" customHeight="1" x14ac:dyDescent="0.2">
      <c r="L2878" s="270"/>
    </row>
    <row r="2879" spans="12:12" ht="18" customHeight="1" x14ac:dyDescent="0.2">
      <c r="L2879" s="270"/>
    </row>
    <row r="2880" spans="12:12" ht="18" customHeight="1" x14ac:dyDescent="0.2">
      <c r="L2880" s="270"/>
    </row>
    <row r="2881" spans="12:12" ht="18" customHeight="1" x14ac:dyDescent="0.2">
      <c r="L2881" s="270"/>
    </row>
    <row r="2882" spans="12:12" ht="18" customHeight="1" x14ac:dyDescent="0.2">
      <c r="L2882" s="270"/>
    </row>
    <row r="2883" spans="12:12" ht="18" customHeight="1" x14ac:dyDescent="0.2">
      <c r="L2883" s="270"/>
    </row>
    <row r="2884" spans="12:12" ht="18" customHeight="1" x14ac:dyDescent="0.2">
      <c r="L2884" s="270"/>
    </row>
    <row r="2885" spans="12:12" ht="18" customHeight="1" x14ac:dyDescent="0.2">
      <c r="L2885" s="270"/>
    </row>
    <row r="2886" spans="12:12" ht="18" customHeight="1" x14ac:dyDescent="0.2">
      <c r="L2886" s="270"/>
    </row>
    <row r="2887" spans="12:12" ht="18" customHeight="1" x14ac:dyDescent="0.2">
      <c r="L2887" s="270"/>
    </row>
    <row r="2888" spans="12:12" ht="18" customHeight="1" x14ac:dyDescent="0.2">
      <c r="L2888" s="270"/>
    </row>
    <row r="2889" spans="12:12" ht="18" customHeight="1" x14ac:dyDescent="0.2">
      <c r="L2889" s="270"/>
    </row>
    <row r="2890" spans="12:12" ht="18" customHeight="1" x14ac:dyDescent="0.2">
      <c r="L2890" s="270"/>
    </row>
    <row r="2891" spans="12:12" ht="18" customHeight="1" x14ac:dyDescent="0.2">
      <c r="L2891" s="270"/>
    </row>
    <row r="2892" spans="12:12" ht="18" customHeight="1" x14ac:dyDescent="0.2">
      <c r="L2892" s="270"/>
    </row>
    <row r="2893" spans="12:12" ht="18" customHeight="1" x14ac:dyDescent="0.2">
      <c r="L2893" s="270"/>
    </row>
    <row r="2894" spans="12:12" ht="18" customHeight="1" x14ac:dyDescent="0.2">
      <c r="L2894" s="270"/>
    </row>
    <row r="2895" spans="12:12" ht="18" customHeight="1" x14ac:dyDescent="0.2">
      <c r="L2895" s="270"/>
    </row>
    <row r="2896" spans="12:12" ht="18" customHeight="1" x14ac:dyDescent="0.2">
      <c r="L2896" s="270"/>
    </row>
    <row r="2897" spans="12:12" ht="18" customHeight="1" x14ac:dyDescent="0.2">
      <c r="L2897" s="270"/>
    </row>
    <row r="2898" spans="12:12" ht="18" customHeight="1" x14ac:dyDescent="0.2">
      <c r="L2898" s="270"/>
    </row>
    <row r="2899" spans="12:12" ht="18" customHeight="1" x14ac:dyDescent="0.2">
      <c r="L2899" s="270"/>
    </row>
    <row r="2900" spans="12:12" ht="18" customHeight="1" x14ac:dyDescent="0.2">
      <c r="L2900" s="270"/>
    </row>
    <row r="2901" spans="12:12" ht="18" customHeight="1" x14ac:dyDescent="0.2">
      <c r="L2901" s="270"/>
    </row>
    <row r="2902" spans="12:12" ht="18" customHeight="1" x14ac:dyDescent="0.2">
      <c r="L2902" s="270"/>
    </row>
    <row r="2903" spans="12:12" ht="18" customHeight="1" x14ac:dyDescent="0.2">
      <c r="L2903" s="270"/>
    </row>
    <row r="2904" spans="12:12" ht="18" customHeight="1" x14ac:dyDescent="0.2">
      <c r="L2904" s="270"/>
    </row>
    <row r="2905" spans="12:12" ht="18" customHeight="1" x14ac:dyDescent="0.2">
      <c r="L2905" s="270"/>
    </row>
    <row r="2906" spans="12:12" ht="18" customHeight="1" x14ac:dyDescent="0.2">
      <c r="L2906" s="270"/>
    </row>
    <row r="2907" spans="12:12" ht="18" customHeight="1" x14ac:dyDescent="0.2">
      <c r="L2907" s="270"/>
    </row>
    <row r="2908" spans="12:12" ht="18" customHeight="1" x14ac:dyDescent="0.2">
      <c r="L2908" s="270"/>
    </row>
    <row r="2909" spans="12:12" ht="18" customHeight="1" x14ac:dyDescent="0.2">
      <c r="L2909" s="270"/>
    </row>
    <row r="2910" spans="12:12" ht="18" customHeight="1" x14ac:dyDescent="0.2">
      <c r="L2910" s="270"/>
    </row>
    <row r="2911" spans="12:12" ht="18" customHeight="1" x14ac:dyDescent="0.2">
      <c r="L2911" s="270"/>
    </row>
    <row r="2912" spans="12:12" ht="18" customHeight="1" x14ac:dyDescent="0.2">
      <c r="L2912" s="270"/>
    </row>
    <row r="2913" spans="12:12" ht="18" customHeight="1" x14ac:dyDescent="0.2">
      <c r="L2913" s="270"/>
    </row>
    <row r="2914" spans="12:12" ht="18" customHeight="1" x14ac:dyDescent="0.2">
      <c r="L2914" s="270"/>
    </row>
    <row r="2915" spans="12:12" ht="18" customHeight="1" x14ac:dyDescent="0.2">
      <c r="L2915" s="270"/>
    </row>
    <row r="2916" spans="12:12" ht="18" customHeight="1" x14ac:dyDescent="0.2">
      <c r="L2916" s="270"/>
    </row>
    <row r="2917" spans="12:12" ht="18" customHeight="1" x14ac:dyDescent="0.2">
      <c r="L2917" s="270"/>
    </row>
    <row r="2918" spans="12:12" ht="18" customHeight="1" x14ac:dyDescent="0.2">
      <c r="L2918" s="270"/>
    </row>
    <row r="2919" spans="12:12" ht="18" customHeight="1" x14ac:dyDescent="0.2">
      <c r="L2919" s="270"/>
    </row>
    <row r="2920" spans="12:12" ht="18" customHeight="1" x14ac:dyDescent="0.2">
      <c r="L2920" s="270"/>
    </row>
    <row r="2921" spans="12:12" ht="18" customHeight="1" x14ac:dyDescent="0.2">
      <c r="L2921" s="270"/>
    </row>
    <row r="2922" spans="12:12" ht="18" customHeight="1" x14ac:dyDescent="0.2">
      <c r="L2922" s="270"/>
    </row>
    <row r="2923" spans="12:12" ht="18" customHeight="1" x14ac:dyDescent="0.2">
      <c r="L2923" s="270"/>
    </row>
    <row r="2924" spans="12:12" ht="18" customHeight="1" x14ac:dyDescent="0.2">
      <c r="L2924" s="270"/>
    </row>
    <row r="2925" spans="12:12" ht="18" customHeight="1" x14ac:dyDescent="0.2">
      <c r="L2925" s="270"/>
    </row>
    <row r="2926" spans="12:12" ht="18" customHeight="1" x14ac:dyDescent="0.2">
      <c r="L2926" s="270"/>
    </row>
    <row r="2927" spans="12:12" ht="18" customHeight="1" x14ac:dyDescent="0.2">
      <c r="L2927" s="270"/>
    </row>
    <row r="2928" spans="12:12" ht="18" customHeight="1" x14ac:dyDescent="0.2">
      <c r="L2928" s="270"/>
    </row>
    <row r="2929" spans="12:12" ht="18" customHeight="1" x14ac:dyDescent="0.2">
      <c r="L2929" s="270"/>
    </row>
    <row r="2930" spans="12:12" ht="18" customHeight="1" x14ac:dyDescent="0.2">
      <c r="L2930" s="270"/>
    </row>
    <row r="2931" spans="12:12" ht="18" customHeight="1" x14ac:dyDescent="0.2">
      <c r="L2931" s="270"/>
    </row>
    <row r="2932" spans="12:12" ht="18" customHeight="1" x14ac:dyDescent="0.2">
      <c r="L2932" s="270"/>
    </row>
    <row r="2933" spans="12:12" ht="18" customHeight="1" x14ac:dyDescent="0.2">
      <c r="L2933" s="270"/>
    </row>
    <row r="2934" spans="12:12" ht="18" customHeight="1" x14ac:dyDescent="0.2">
      <c r="L2934" s="270"/>
    </row>
    <row r="2935" spans="12:12" ht="18" customHeight="1" x14ac:dyDescent="0.2">
      <c r="L2935" s="270"/>
    </row>
    <row r="2936" spans="12:12" ht="18" customHeight="1" x14ac:dyDescent="0.2">
      <c r="L2936" s="270"/>
    </row>
    <row r="2937" spans="12:12" ht="18" customHeight="1" x14ac:dyDescent="0.2">
      <c r="L2937" s="270"/>
    </row>
    <row r="2938" spans="12:12" ht="18" customHeight="1" x14ac:dyDescent="0.2">
      <c r="L2938" s="270"/>
    </row>
    <row r="2939" spans="12:12" ht="18" customHeight="1" x14ac:dyDescent="0.2">
      <c r="L2939" s="270"/>
    </row>
    <row r="2940" spans="12:12" ht="18" customHeight="1" x14ac:dyDescent="0.2">
      <c r="L2940" s="270"/>
    </row>
    <row r="2941" spans="12:12" ht="18" customHeight="1" x14ac:dyDescent="0.2">
      <c r="L2941" s="270"/>
    </row>
    <row r="2942" spans="12:12" ht="18" customHeight="1" x14ac:dyDescent="0.2">
      <c r="L2942" s="270"/>
    </row>
    <row r="2943" spans="12:12" ht="18" customHeight="1" x14ac:dyDescent="0.2">
      <c r="L2943" s="270"/>
    </row>
    <row r="2944" spans="12:12" ht="18" customHeight="1" x14ac:dyDescent="0.2">
      <c r="L2944" s="270"/>
    </row>
    <row r="2945" spans="12:12" ht="18" customHeight="1" x14ac:dyDescent="0.2">
      <c r="L2945" s="270"/>
    </row>
    <row r="2946" spans="12:12" ht="18" customHeight="1" x14ac:dyDescent="0.2">
      <c r="L2946" s="270"/>
    </row>
    <row r="2947" spans="12:12" ht="18" customHeight="1" x14ac:dyDescent="0.2">
      <c r="L2947" s="270"/>
    </row>
    <row r="2948" spans="12:12" ht="18" customHeight="1" x14ac:dyDescent="0.2">
      <c r="L2948" s="270"/>
    </row>
    <row r="2949" spans="12:12" ht="18" customHeight="1" x14ac:dyDescent="0.2">
      <c r="L2949" s="270"/>
    </row>
    <row r="2950" spans="12:12" ht="18" customHeight="1" x14ac:dyDescent="0.2">
      <c r="L2950" s="270"/>
    </row>
    <row r="2951" spans="12:12" ht="18" customHeight="1" x14ac:dyDescent="0.2">
      <c r="L2951" s="270"/>
    </row>
    <row r="2952" spans="12:12" ht="18" customHeight="1" x14ac:dyDescent="0.2">
      <c r="L2952" s="270"/>
    </row>
    <row r="2953" spans="12:12" ht="18" customHeight="1" x14ac:dyDescent="0.2">
      <c r="L2953" s="270"/>
    </row>
    <row r="2954" spans="12:12" ht="18" customHeight="1" x14ac:dyDescent="0.2">
      <c r="L2954" s="270"/>
    </row>
    <row r="2955" spans="12:12" ht="18" customHeight="1" x14ac:dyDescent="0.2">
      <c r="L2955" s="270"/>
    </row>
    <row r="2956" spans="12:12" ht="18" customHeight="1" x14ac:dyDescent="0.2">
      <c r="L2956" s="270"/>
    </row>
    <row r="2957" spans="12:12" ht="18" customHeight="1" x14ac:dyDescent="0.2">
      <c r="L2957" s="270"/>
    </row>
    <row r="2958" spans="12:12" ht="18" customHeight="1" x14ac:dyDescent="0.2">
      <c r="L2958" s="270"/>
    </row>
    <row r="2959" spans="12:12" ht="18" customHeight="1" x14ac:dyDescent="0.2">
      <c r="L2959" s="270"/>
    </row>
    <row r="2960" spans="12:12" ht="18" customHeight="1" x14ac:dyDescent="0.2">
      <c r="L2960" s="270"/>
    </row>
    <row r="2961" spans="12:12" ht="18" customHeight="1" x14ac:dyDescent="0.2">
      <c r="L2961" s="270"/>
    </row>
    <row r="2962" spans="12:12" ht="18" customHeight="1" x14ac:dyDescent="0.2">
      <c r="L2962" s="270"/>
    </row>
    <row r="2963" spans="12:12" ht="18" customHeight="1" x14ac:dyDescent="0.2">
      <c r="L2963" s="270"/>
    </row>
    <row r="2964" spans="12:12" ht="18" customHeight="1" x14ac:dyDescent="0.2">
      <c r="L2964" s="270"/>
    </row>
    <row r="2965" spans="12:12" ht="18" customHeight="1" x14ac:dyDescent="0.2">
      <c r="L2965" s="270"/>
    </row>
    <row r="2966" spans="12:12" ht="18" customHeight="1" x14ac:dyDescent="0.2">
      <c r="L2966" s="270"/>
    </row>
    <row r="2967" spans="12:12" ht="18" customHeight="1" x14ac:dyDescent="0.2">
      <c r="L2967" s="270"/>
    </row>
    <row r="2968" spans="12:12" ht="18" customHeight="1" x14ac:dyDescent="0.2">
      <c r="L2968" s="270"/>
    </row>
    <row r="2969" spans="12:12" ht="18" customHeight="1" x14ac:dyDescent="0.2">
      <c r="L2969" s="270"/>
    </row>
    <row r="2970" spans="12:12" ht="18" customHeight="1" x14ac:dyDescent="0.2">
      <c r="L2970" s="270"/>
    </row>
    <row r="2971" spans="12:12" ht="18" customHeight="1" x14ac:dyDescent="0.2">
      <c r="L2971" s="270"/>
    </row>
    <row r="2972" spans="12:12" ht="18" customHeight="1" x14ac:dyDescent="0.2">
      <c r="L2972" s="270"/>
    </row>
    <row r="2973" spans="12:12" ht="18" customHeight="1" x14ac:dyDescent="0.2">
      <c r="L2973" s="270"/>
    </row>
    <row r="2974" spans="12:12" ht="18" customHeight="1" x14ac:dyDescent="0.2">
      <c r="L2974" s="270"/>
    </row>
    <row r="2975" spans="12:12" ht="18" customHeight="1" x14ac:dyDescent="0.2">
      <c r="L2975" s="270"/>
    </row>
    <row r="2976" spans="12:12" ht="18" customHeight="1" x14ac:dyDescent="0.2">
      <c r="L2976" s="270"/>
    </row>
    <row r="2977" spans="12:12" ht="18" customHeight="1" x14ac:dyDescent="0.2">
      <c r="L2977" s="270"/>
    </row>
    <row r="2978" spans="12:12" ht="18" customHeight="1" x14ac:dyDescent="0.2">
      <c r="L2978" s="270"/>
    </row>
    <row r="2979" spans="12:12" ht="18" customHeight="1" x14ac:dyDescent="0.2">
      <c r="L2979" s="270"/>
    </row>
    <row r="2980" spans="12:12" ht="18" customHeight="1" x14ac:dyDescent="0.2">
      <c r="L2980" s="270"/>
    </row>
    <row r="2981" spans="12:12" ht="18" customHeight="1" x14ac:dyDescent="0.2">
      <c r="L2981" s="270"/>
    </row>
    <row r="2982" spans="12:12" ht="18" customHeight="1" x14ac:dyDescent="0.2">
      <c r="L2982" s="270"/>
    </row>
    <row r="2983" spans="12:12" ht="18" customHeight="1" x14ac:dyDescent="0.2">
      <c r="L2983" s="270"/>
    </row>
    <row r="2984" spans="12:12" ht="18" customHeight="1" x14ac:dyDescent="0.2">
      <c r="L2984" s="270"/>
    </row>
    <row r="2985" spans="12:12" ht="18" customHeight="1" x14ac:dyDescent="0.2">
      <c r="L2985" s="270"/>
    </row>
    <row r="2986" spans="12:12" ht="18" customHeight="1" x14ac:dyDescent="0.2">
      <c r="L2986" s="270"/>
    </row>
    <row r="2987" spans="12:12" ht="18" customHeight="1" x14ac:dyDescent="0.2">
      <c r="L2987" s="270"/>
    </row>
    <row r="2988" spans="12:12" ht="18" customHeight="1" x14ac:dyDescent="0.2">
      <c r="L2988" s="270"/>
    </row>
    <row r="2989" spans="12:12" ht="18" customHeight="1" x14ac:dyDescent="0.2">
      <c r="L2989" s="270"/>
    </row>
    <row r="2990" spans="12:12" ht="18" customHeight="1" x14ac:dyDescent="0.2">
      <c r="L2990" s="270"/>
    </row>
    <row r="2991" spans="12:12" ht="18" customHeight="1" x14ac:dyDescent="0.2">
      <c r="L2991" s="270"/>
    </row>
    <row r="2992" spans="12:12" ht="18" customHeight="1" x14ac:dyDescent="0.2">
      <c r="L2992" s="270"/>
    </row>
    <row r="2993" spans="12:12" ht="18" customHeight="1" x14ac:dyDescent="0.2">
      <c r="L2993" s="270"/>
    </row>
    <row r="2994" spans="12:12" ht="18" customHeight="1" x14ac:dyDescent="0.2">
      <c r="L2994" s="270"/>
    </row>
    <row r="2995" spans="12:12" ht="18" customHeight="1" x14ac:dyDescent="0.2">
      <c r="L2995" s="270"/>
    </row>
    <row r="2996" spans="12:12" ht="18" customHeight="1" x14ac:dyDescent="0.2">
      <c r="L2996" s="270"/>
    </row>
    <row r="2997" spans="12:12" ht="18" customHeight="1" x14ac:dyDescent="0.2">
      <c r="L2997" s="270"/>
    </row>
    <row r="2998" spans="12:12" ht="18" customHeight="1" x14ac:dyDescent="0.2">
      <c r="L2998" s="270"/>
    </row>
    <row r="2999" spans="12:12" ht="18" customHeight="1" x14ac:dyDescent="0.2">
      <c r="L2999" s="270"/>
    </row>
    <row r="3000" spans="12:12" ht="18" customHeight="1" x14ac:dyDescent="0.2">
      <c r="L3000" s="270"/>
    </row>
    <row r="3001" spans="12:12" ht="18" customHeight="1" x14ac:dyDescent="0.2">
      <c r="L3001" s="270"/>
    </row>
    <row r="3002" spans="12:12" ht="18" customHeight="1" x14ac:dyDescent="0.2">
      <c r="L3002" s="270"/>
    </row>
    <row r="3003" spans="12:12" ht="18" customHeight="1" x14ac:dyDescent="0.2">
      <c r="L3003" s="270"/>
    </row>
    <row r="3004" spans="12:12" ht="18" customHeight="1" x14ac:dyDescent="0.2">
      <c r="L3004" s="270"/>
    </row>
    <row r="3005" spans="12:12" ht="18" customHeight="1" x14ac:dyDescent="0.2">
      <c r="L3005" s="270"/>
    </row>
    <row r="3006" spans="12:12" ht="18" customHeight="1" x14ac:dyDescent="0.2">
      <c r="L3006" s="270"/>
    </row>
    <row r="3007" spans="12:12" ht="18" customHeight="1" x14ac:dyDescent="0.2">
      <c r="L3007" s="270"/>
    </row>
    <row r="3008" spans="12:12" ht="18" customHeight="1" x14ac:dyDescent="0.2">
      <c r="L3008" s="270"/>
    </row>
    <row r="3009" spans="12:12" ht="18" customHeight="1" x14ac:dyDescent="0.2">
      <c r="L3009" s="270"/>
    </row>
    <row r="3010" spans="12:12" ht="18" customHeight="1" x14ac:dyDescent="0.2">
      <c r="L3010" s="270"/>
    </row>
    <row r="3011" spans="12:12" ht="18" customHeight="1" x14ac:dyDescent="0.2">
      <c r="L3011" s="270"/>
    </row>
    <row r="3012" spans="12:12" ht="18" customHeight="1" x14ac:dyDescent="0.2">
      <c r="L3012" s="270"/>
    </row>
    <row r="3013" spans="12:12" ht="18" customHeight="1" x14ac:dyDescent="0.2">
      <c r="L3013" s="270"/>
    </row>
    <row r="3014" spans="12:12" ht="18" customHeight="1" x14ac:dyDescent="0.2">
      <c r="L3014" s="270"/>
    </row>
    <row r="3015" spans="12:12" ht="18" customHeight="1" x14ac:dyDescent="0.2">
      <c r="L3015" s="270"/>
    </row>
    <row r="3016" spans="12:12" ht="18" customHeight="1" x14ac:dyDescent="0.2">
      <c r="L3016" s="270"/>
    </row>
    <row r="3017" spans="12:12" ht="18" customHeight="1" x14ac:dyDescent="0.2">
      <c r="L3017" s="270"/>
    </row>
    <row r="3018" spans="12:12" ht="18" customHeight="1" x14ac:dyDescent="0.2">
      <c r="L3018" s="270"/>
    </row>
    <row r="3019" spans="12:12" ht="18" customHeight="1" x14ac:dyDescent="0.2">
      <c r="L3019" s="270"/>
    </row>
    <row r="3020" spans="12:12" ht="18" customHeight="1" x14ac:dyDescent="0.2">
      <c r="L3020" s="270"/>
    </row>
    <row r="3021" spans="12:12" ht="18" customHeight="1" x14ac:dyDescent="0.2">
      <c r="L3021" s="270"/>
    </row>
    <row r="3022" spans="12:12" ht="18" customHeight="1" x14ac:dyDescent="0.2">
      <c r="L3022" s="270"/>
    </row>
    <row r="3023" spans="12:12" ht="18" customHeight="1" x14ac:dyDescent="0.2">
      <c r="L3023" s="270"/>
    </row>
    <row r="3024" spans="12:12" ht="18" customHeight="1" x14ac:dyDescent="0.2">
      <c r="L3024" s="270"/>
    </row>
    <row r="3025" spans="12:12" ht="18" customHeight="1" x14ac:dyDescent="0.2">
      <c r="L3025" s="270"/>
    </row>
    <row r="3026" spans="12:12" ht="18" customHeight="1" x14ac:dyDescent="0.2">
      <c r="L3026" s="270"/>
    </row>
    <row r="3027" spans="12:12" ht="18" customHeight="1" x14ac:dyDescent="0.2">
      <c r="L3027" s="270"/>
    </row>
    <row r="3028" spans="12:12" ht="18" customHeight="1" x14ac:dyDescent="0.2">
      <c r="L3028" s="270"/>
    </row>
    <row r="3029" spans="12:12" ht="18" customHeight="1" x14ac:dyDescent="0.2">
      <c r="L3029" s="270"/>
    </row>
    <row r="3030" spans="12:12" ht="18" customHeight="1" x14ac:dyDescent="0.2">
      <c r="L3030" s="270"/>
    </row>
    <row r="3031" spans="12:12" ht="18" customHeight="1" x14ac:dyDescent="0.2">
      <c r="L3031" s="270"/>
    </row>
    <row r="3032" spans="12:12" ht="18" customHeight="1" x14ac:dyDescent="0.2">
      <c r="L3032" s="270"/>
    </row>
    <row r="3033" spans="12:12" ht="18" customHeight="1" x14ac:dyDescent="0.2">
      <c r="L3033" s="270"/>
    </row>
    <row r="3034" spans="12:12" ht="18" customHeight="1" x14ac:dyDescent="0.2">
      <c r="L3034" s="270"/>
    </row>
    <row r="3035" spans="12:12" ht="18" customHeight="1" x14ac:dyDescent="0.2">
      <c r="L3035" s="270"/>
    </row>
    <row r="3036" spans="12:12" ht="18" customHeight="1" x14ac:dyDescent="0.2">
      <c r="L3036" s="270"/>
    </row>
    <row r="3037" spans="12:12" ht="18" customHeight="1" x14ac:dyDescent="0.2">
      <c r="L3037" s="270"/>
    </row>
    <row r="3038" spans="12:12" ht="18" customHeight="1" x14ac:dyDescent="0.2">
      <c r="L3038" s="270"/>
    </row>
    <row r="3039" spans="12:12" ht="18" customHeight="1" x14ac:dyDescent="0.2">
      <c r="L3039" s="270"/>
    </row>
    <row r="3040" spans="12:12" ht="18" customHeight="1" x14ac:dyDescent="0.2">
      <c r="L3040" s="270"/>
    </row>
    <row r="3041" spans="12:12" ht="18" customHeight="1" x14ac:dyDescent="0.2">
      <c r="L3041" s="270"/>
    </row>
    <row r="3042" spans="12:12" ht="18" customHeight="1" x14ac:dyDescent="0.2">
      <c r="L3042" s="270"/>
    </row>
    <row r="3043" spans="12:12" ht="18" customHeight="1" x14ac:dyDescent="0.2">
      <c r="L3043" s="270"/>
    </row>
    <row r="3044" spans="12:12" ht="18" customHeight="1" x14ac:dyDescent="0.2">
      <c r="L3044" s="270"/>
    </row>
    <row r="3045" spans="12:12" ht="18" customHeight="1" x14ac:dyDescent="0.2">
      <c r="L3045" s="270"/>
    </row>
    <row r="3046" spans="12:12" ht="18" customHeight="1" x14ac:dyDescent="0.2">
      <c r="L3046" s="270"/>
    </row>
    <row r="3047" spans="12:12" ht="18" customHeight="1" x14ac:dyDescent="0.2">
      <c r="L3047" s="270"/>
    </row>
    <row r="3048" spans="12:12" ht="18" customHeight="1" x14ac:dyDescent="0.2">
      <c r="L3048" s="270"/>
    </row>
    <row r="3049" spans="12:12" ht="18" customHeight="1" x14ac:dyDescent="0.2">
      <c r="L3049" s="270"/>
    </row>
    <row r="3050" spans="12:12" ht="18" customHeight="1" x14ac:dyDescent="0.2">
      <c r="L3050" s="270"/>
    </row>
    <row r="3051" spans="12:12" ht="18" customHeight="1" x14ac:dyDescent="0.2">
      <c r="L3051" s="270"/>
    </row>
    <row r="3052" spans="12:12" ht="18" customHeight="1" x14ac:dyDescent="0.2">
      <c r="L3052" s="270"/>
    </row>
    <row r="3053" spans="12:12" ht="18" customHeight="1" x14ac:dyDescent="0.2">
      <c r="L3053" s="270"/>
    </row>
    <row r="3054" spans="12:12" ht="18" customHeight="1" x14ac:dyDescent="0.2">
      <c r="L3054" s="270"/>
    </row>
    <row r="3055" spans="12:12" ht="18" customHeight="1" x14ac:dyDescent="0.2">
      <c r="L3055" s="270"/>
    </row>
    <row r="3056" spans="12:12" ht="18" customHeight="1" x14ac:dyDescent="0.2">
      <c r="L3056" s="270"/>
    </row>
    <row r="3057" spans="12:12" ht="18" customHeight="1" x14ac:dyDescent="0.2">
      <c r="L3057" s="270"/>
    </row>
    <row r="3058" spans="12:12" ht="18" customHeight="1" x14ac:dyDescent="0.2">
      <c r="L3058" s="270"/>
    </row>
    <row r="3059" spans="12:12" ht="18" customHeight="1" x14ac:dyDescent="0.2">
      <c r="L3059" s="270"/>
    </row>
    <row r="3060" spans="12:12" ht="18" customHeight="1" x14ac:dyDescent="0.2">
      <c r="L3060" s="270"/>
    </row>
    <row r="3061" spans="12:12" ht="18" customHeight="1" x14ac:dyDescent="0.2">
      <c r="L3061" s="270"/>
    </row>
    <row r="3062" spans="12:12" ht="18" customHeight="1" x14ac:dyDescent="0.2">
      <c r="L3062" s="270"/>
    </row>
    <row r="3063" spans="12:12" ht="18" customHeight="1" x14ac:dyDescent="0.2">
      <c r="L3063" s="270"/>
    </row>
    <row r="3064" spans="12:12" ht="18" customHeight="1" x14ac:dyDescent="0.2">
      <c r="L3064" s="270"/>
    </row>
    <row r="3065" spans="12:12" ht="18" customHeight="1" x14ac:dyDescent="0.2">
      <c r="L3065" s="270"/>
    </row>
    <row r="3066" spans="12:12" ht="18" customHeight="1" x14ac:dyDescent="0.2">
      <c r="L3066" s="270"/>
    </row>
    <row r="3067" spans="12:12" ht="18" customHeight="1" x14ac:dyDescent="0.2">
      <c r="L3067" s="270"/>
    </row>
    <row r="3068" spans="12:12" ht="18" customHeight="1" x14ac:dyDescent="0.2">
      <c r="L3068" s="270"/>
    </row>
    <row r="3069" spans="12:12" ht="18" customHeight="1" x14ac:dyDescent="0.2">
      <c r="L3069" s="270"/>
    </row>
    <row r="3070" spans="12:12" ht="18" customHeight="1" x14ac:dyDescent="0.2">
      <c r="L3070" s="270"/>
    </row>
    <row r="3071" spans="12:12" ht="18" customHeight="1" x14ac:dyDescent="0.2">
      <c r="L3071" s="270"/>
    </row>
    <row r="3072" spans="12:12" ht="18" customHeight="1" x14ac:dyDescent="0.2">
      <c r="L3072" s="270"/>
    </row>
    <row r="3073" spans="12:12" ht="18" customHeight="1" x14ac:dyDescent="0.2">
      <c r="L3073" s="270"/>
    </row>
    <row r="3074" spans="12:12" ht="18" customHeight="1" x14ac:dyDescent="0.2">
      <c r="L3074" s="270"/>
    </row>
    <row r="3075" spans="12:12" ht="18" customHeight="1" x14ac:dyDescent="0.2">
      <c r="L3075" s="270"/>
    </row>
    <row r="3076" spans="12:12" ht="18" customHeight="1" x14ac:dyDescent="0.2">
      <c r="L3076" s="270"/>
    </row>
    <row r="3077" spans="12:12" ht="18" customHeight="1" x14ac:dyDescent="0.2">
      <c r="L3077" s="270"/>
    </row>
    <row r="3078" spans="12:12" ht="18" customHeight="1" x14ac:dyDescent="0.2">
      <c r="L3078" s="270"/>
    </row>
    <row r="3079" spans="12:12" ht="18" customHeight="1" x14ac:dyDescent="0.2">
      <c r="L3079" s="270"/>
    </row>
    <row r="3080" spans="12:12" ht="18" customHeight="1" x14ac:dyDescent="0.2">
      <c r="L3080" s="270"/>
    </row>
    <row r="3081" spans="12:12" ht="18" customHeight="1" x14ac:dyDescent="0.2">
      <c r="L3081" s="270"/>
    </row>
    <row r="3082" spans="12:12" ht="18" customHeight="1" x14ac:dyDescent="0.2">
      <c r="L3082" s="270"/>
    </row>
    <row r="3083" spans="12:12" ht="18" customHeight="1" x14ac:dyDescent="0.2">
      <c r="L3083" s="270"/>
    </row>
    <row r="3084" spans="12:12" ht="18" customHeight="1" x14ac:dyDescent="0.2">
      <c r="L3084" s="270"/>
    </row>
    <row r="3085" spans="12:12" ht="18" customHeight="1" x14ac:dyDescent="0.2">
      <c r="L3085" s="270"/>
    </row>
    <row r="3086" spans="12:12" ht="18" customHeight="1" x14ac:dyDescent="0.2">
      <c r="L3086" s="270"/>
    </row>
    <row r="3087" spans="12:12" ht="18" customHeight="1" x14ac:dyDescent="0.2">
      <c r="L3087" s="270"/>
    </row>
    <row r="3088" spans="12:12" ht="18" customHeight="1" x14ac:dyDescent="0.2">
      <c r="L3088" s="270"/>
    </row>
    <row r="3089" spans="12:12" ht="18" customHeight="1" x14ac:dyDescent="0.2">
      <c r="L3089" s="270"/>
    </row>
    <row r="3090" spans="12:12" ht="18" customHeight="1" x14ac:dyDescent="0.2">
      <c r="L3090" s="270"/>
    </row>
    <row r="3091" spans="12:12" ht="18" customHeight="1" x14ac:dyDescent="0.2">
      <c r="L3091" s="270"/>
    </row>
    <row r="3092" spans="12:12" ht="18" customHeight="1" x14ac:dyDescent="0.2">
      <c r="L3092" s="270"/>
    </row>
    <row r="3093" spans="12:12" ht="18" customHeight="1" x14ac:dyDescent="0.2">
      <c r="L3093" s="270"/>
    </row>
    <row r="3094" spans="12:12" ht="18" customHeight="1" x14ac:dyDescent="0.2">
      <c r="L3094" s="270"/>
    </row>
    <row r="3095" spans="12:12" ht="18" customHeight="1" x14ac:dyDescent="0.2">
      <c r="L3095" s="270"/>
    </row>
    <row r="3096" spans="12:12" ht="18" customHeight="1" x14ac:dyDescent="0.2">
      <c r="L3096" s="270"/>
    </row>
    <row r="3097" spans="12:12" ht="18" customHeight="1" x14ac:dyDescent="0.2">
      <c r="L3097" s="270"/>
    </row>
    <row r="3098" spans="12:12" ht="18" customHeight="1" x14ac:dyDescent="0.2">
      <c r="L3098" s="270"/>
    </row>
    <row r="3099" spans="12:12" ht="18" customHeight="1" x14ac:dyDescent="0.2">
      <c r="L3099" s="270"/>
    </row>
    <row r="3100" spans="12:12" ht="18" customHeight="1" x14ac:dyDescent="0.2">
      <c r="L3100" s="270"/>
    </row>
    <row r="3101" spans="12:12" ht="18" customHeight="1" x14ac:dyDescent="0.2">
      <c r="L3101" s="270"/>
    </row>
    <row r="3102" spans="12:12" ht="18" customHeight="1" x14ac:dyDescent="0.2">
      <c r="L3102" s="270"/>
    </row>
    <row r="3103" spans="12:12" ht="18" customHeight="1" x14ac:dyDescent="0.2">
      <c r="L3103" s="270"/>
    </row>
    <row r="3104" spans="12:12" ht="18" customHeight="1" x14ac:dyDescent="0.2">
      <c r="L3104" s="270"/>
    </row>
    <row r="3105" spans="12:12" ht="18" customHeight="1" x14ac:dyDescent="0.2">
      <c r="L3105" s="270"/>
    </row>
    <row r="3106" spans="12:12" ht="18" customHeight="1" x14ac:dyDescent="0.2">
      <c r="L3106" s="270"/>
    </row>
    <row r="3107" spans="12:12" ht="18" customHeight="1" x14ac:dyDescent="0.2">
      <c r="L3107" s="270"/>
    </row>
    <row r="3108" spans="12:12" ht="18" customHeight="1" x14ac:dyDescent="0.2">
      <c r="L3108" s="270"/>
    </row>
    <row r="3109" spans="12:12" ht="18" customHeight="1" x14ac:dyDescent="0.2">
      <c r="L3109" s="270"/>
    </row>
    <row r="3110" spans="12:12" ht="18" customHeight="1" x14ac:dyDescent="0.2">
      <c r="L3110" s="270"/>
    </row>
    <row r="3111" spans="12:12" ht="18" customHeight="1" x14ac:dyDescent="0.2">
      <c r="L3111" s="270"/>
    </row>
    <row r="3112" spans="12:12" ht="18" customHeight="1" x14ac:dyDescent="0.2">
      <c r="L3112" s="270"/>
    </row>
    <row r="3113" spans="12:12" ht="18" customHeight="1" x14ac:dyDescent="0.2">
      <c r="L3113" s="270"/>
    </row>
    <row r="3114" spans="12:12" ht="18" customHeight="1" x14ac:dyDescent="0.2">
      <c r="L3114" s="270"/>
    </row>
    <row r="3115" spans="12:12" ht="18" customHeight="1" x14ac:dyDescent="0.2">
      <c r="L3115" s="270"/>
    </row>
    <row r="3116" spans="12:12" ht="18" customHeight="1" x14ac:dyDescent="0.2">
      <c r="L3116" s="270"/>
    </row>
    <row r="3117" spans="12:12" ht="18" customHeight="1" x14ac:dyDescent="0.2">
      <c r="L3117" s="270"/>
    </row>
    <row r="3118" spans="12:12" ht="18" customHeight="1" x14ac:dyDescent="0.2">
      <c r="L3118" s="270"/>
    </row>
    <row r="3119" spans="12:12" ht="18" customHeight="1" x14ac:dyDescent="0.2">
      <c r="L3119" s="270"/>
    </row>
    <row r="3120" spans="12:12" ht="18" customHeight="1" x14ac:dyDescent="0.2">
      <c r="L3120" s="270"/>
    </row>
    <row r="3121" spans="12:12" ht="18" customHeight="1" x14ac:dyDescent="0.2">
      <c r="L3121" s="270"/>
    </row>
    <row r="3122" spans="12:12" ht="18" customHeight="1" x14ac:dyDescent="0.2">
      <c r="L3122" s="270"/>
    </row>
    <row r="3123" spans="12:12" ht="18" customHeight="1" x14ac:dyDescent="0.2">
      <c r="L3123" s="270"/>
    </row>
    <row r="3124" spans="12:12" ht="18" customHeight="1" x14ac:dyDescent="0.2">
      <c r="L3124" s="270"/>
    </row>
    <row r="3125" spans="12:12" ht="18" customHeight="1" x14ac:dyDescent="0.2">
      <c r="L3125" s="270"/>
    </row>
    <row r="3126" spans="12:12" ht="18" customHeight="1" x14ac:dyDescent="0.2">
      <c r="L3126" s="270"/>
    </row>
    <row r="3127" spans="12:12" ht="18" customHeight="1" x14ac:dyDescent="0.2">
      <c r="L3127" s="270"/>
    </row>
    <row r="3128" spans="12:12" ht="18" customHeight="1" x14ac:dyDescent="0.2">
      <c r="L3128" s="270"/>
    </row>
    <row r="3129" spans="12:12" ht="18" customHeight="1" x14ac:dyDescent="0.2">
      <c r="L3129" s="270"/>
    </row>
    <row r="3130" spans="12:12" ht="18" customHeight="1" x14ac:dyDescent="0.2">
      <c r="L3130" s="270"/>
    </row>
    <row r="3131" spans="12:12" ht="18" customHeight="1" x14ac:dyDescent="0.2">
      <c r="L3131" s="270"/>
    </row>
    <row r="3132" spans="12:12" ht="18" customHeight="1" x14ac:dyDescent="0.2">
      <c r="L3132" s="270"/>
    </row>
    <row r="3133" spans="12:12" ht="18" customHeight="1" x14ac:dyDescent="0.2">
      <c r="L3133" s="270"/>
    </row>
    <row r="3134" spans="12:12" ht="18" customHeight="1" x14ac:dyDescent="0.2">
      <c r="L3134" s="270"/>
    </row>
    <row r="3135" spans="12:12" ht="18" customHeight="1" x14ac:dyDescent="0.2">
      <c r="L3135" s="270"/>
    </row>
    <row r="3136" spans="12:12" ht="18" customHeight="1" x14ac:dyDescent="0.2">
      <c r="L3136" s="270"/>
    </row>
    <row r="3137" spans="12:12" ht="18" customHeight="1" x14ac:dyDescent="0.2">
      <c r="L3137" s="270"/>
    </row>
    <row r="3138" spans="12:12" ht="18" customHeight="1" x14ac:dyDescent="0.2">
      <c r="L3138" s="270"/>
    </row>
    <row r="3139" spans="12:12" ht="18" customHeight="1" x14ac:dyDescent="0.2">
      <c r="L3139" s="270"/>
    </row>
    <row r="3140" spans="12:12" ht="18" customHeight="1" x14ac:dyDescent="0.2">
      <c r="L3140" s="270"/>
    </row>
    <row r="3141" spans="12:12" ht="18" customHeight="1" x14ac:dyDescent="0.2">
      <c r="L3141" s="270"/>
    </row>
    <row r="3142" spans="12:12" ht="18" customHeight="1" x14ac:dyDescent="0.2">
      <c r="L3142" s="270"/>
    </row>
    <row r="3143" spans="12:12" ht="18" customHeight="1" x14ac:dyDescent="0.2">
      <c r="L3143" s="270"/>
    </row>
    <row r="3144" spans="12:12" ht="18" customHeight="1" x14ac:dyDescent="0.2">
      <c r="L3144" s="270"/>
    </row>
    <row r="3145" spans="12:12" ht="18" customHeight="1" x14ac:dyDescent="0.2">
      <c r="L3145" s="270"/>
    </row>
    <row r="3146" spans="12:12" ht="18" customHeight="1" x14ac:dyDescent="0.2">
      <c r="L3146" s="270"/>
    </row>
    <row r="3147" spans="12:12" ht="18" customHeight="1" x14ac:dyDescent="0.2">
      <c r="L3147" s="270"/>
    </row>
    <row r="3148" spans="12:12" ht="18" customHeight="1" x14ac:dyDescent="0.2">
      <c r="L3148" s="270"/>
    </row>
    <row r="3149" spans="12:12" ht="18" customHeight="1" x14ac:dyDescent="0.2">
      <c r="L3149" s="270"/>
    </row>
    <row r="3150" spans="12:12" ht="18" customHeight="1" x14ac:dyDescent="0.2">
      <c r="L3150" s="270"/>
    </row>
    <row r="3151" spans="12:12" ht="18" customHeight="1" x14ac:dyDescent="0.2">
      <c r="L3151" s="270"/>
    </row>
    <row r="3152" spans="12:12" ht="18" customHeight="1" x14ac:dyDescent="0.2">
      <c r="L3152" s="270"/>
    </row>
    <row r="3153" spans="12:12" ht="18" customHeight="1" x14ac:dyDescent="0.2">
      <c r="L3153" s="270"/>
    </row>
    <row r="3154" spans="12:12" ht="18" customHeight="1" x14ac:dyDescent="0.2">
      <c r="L3154" s="270"/>
    </row>
    <row r="3155" spans="12:12" ht="18" customHeight="1" x14ac:dyDescent="0.2">
      <c r="L3155" s="270"/>
    </row>
    <row r="3156" spans="12:12" ht="18" customHeight="1" x14ac:dyDescent="0.2">
      <c r="L3156" s="270"/>
    </row>
    <row r="3157" spans="12:12" ht="18" customHeight="1" x14ac:dyDescent="0.2">
      <c r="L3157" s="270"/>
    </row>
    <row r="3158" spans="12:12" ht="18" customHeight="1" x14ac:dyDescent="0.2">
      <c r="L3158" s="270"/>
    </row>
    <row r="3159" spans="12:12" ht="18" customHeight="1" x14ac:dyDescent="0.2">
      <c r="L3159" s="270"/>
    </row>
    <row r="3160" spans="12:12" ht="18" customHeight="1" x14ac:dyDescent="0.2">
      <c r="L3160" s="270"/>
    </row>
    <row r="3161" spans="12:12" ht="18" customHeight="1" x14ac:dyDescent="0.2">
      <c r="L3161" s="270"/>
    </row>
    <row r="3162" spans="12:12" ht="18" customHeight="1" x14ac:dyDescent="0.2">
      <c r="L3162" s="270"/>
    </row>
    <row r="3163" spans="12:12" ht="18" customHeight="1" x14ac:dyDescent="0.2">
      <c r="L3163" s="270"/>
    </row>
    <row r="3164" spans="12:12" ht="18" customHeight="1" x14ac:dyDescent="0.2">
      <c r="L3164" s="270"/>
    </row>
    <row r="3165" spans="12:12" ht="18" customHeight="1" x14ac:dyDescent="0.2">
      <c r="L3165" s="270"/>
    </row>
    <row r="3166" spans="12:12" ht="18" customHeight="1" x14ac:dyDescent="0.2">
      <c r="L3166" s="270"/>
    </row>
    <row r="3167" spans="12:12" ht="18" customHeight="1" x14ac:dyDescent="0.2">
      <c r="L3167" s="270"/>
    </row>
    <row r="3168" spans="12:12" ht="18" customHeight="1" x14ac:dyDescent="0.2">
      <c r="L3168" s="270"/>
    </row>
    <row r="3169" spans="12:12" ht="18" customHeight="1" x14ac:dyDescent="0.2">
      <c r="L3169" s="270"/>
    </row>
    <row r="3170" spans="12:12" ht="18" customHeight="1" x14ac:dyDescent="0.2">
      <c r="L3170" s="270"/>
    </row>
    <row r="3171" spans="12:12" ht="18" customHeight="1" x14ac:dyDescent="0.2">
      <c r="L3171" s="270"/>
    </row>
    <row r="3172" spans="12:12" ht="18" customHeight="1" x14ac:dyDescent="0.2">
      <c r="L3172" s="270"/>
    </row>
    <row r="3173" spans="12:12" ht="18" customHeight="1" x14ac:dyDescent="0.2">
      <c r="L3173" s="270"/>
    </row>
    <row r="3174" spans="12:12" ht="18" customHeight="1" x14ac:dyDescent="0.2">
      <c r="L3174" s="270"/>
    </row>
    <row r="3175" spans="12:12" ht="18" customHeight="1" x14ac:dyDescent="0.2">
      <c r="L3175" s="270"/>
    </row>
    <row r="3176" spans="12:12" ht="18" customHeight="1" x14ac:dyDescent="0.2">
      <c r="L3176" s="270"/>
    </row>
    <row r="3177" spans="12:12" ht="18" customHeight="1" x14ac:dyDescent="0.2">
      <c r="L3177" s="270"/>
    </row>
    <row r="3178" spans="12:12" ht="18" customHeight="1" x14ac:dyDescent="0.2">
      <c r="L3178" s="270"/>
    </row>
    <row r="3179" spans="12:12" ht="18" customHeight="1" x14ac:dyDescent="0.2">
      <c r="L3179" s="270"/>
    </row>
    <row r="3180" spans="12:12" ht="18" customHeight="1" x14ac:dyDescent="0.2">
      <c r="L3180" s="270"/>
    </row>
    <row r="3181" spans="12:12" ht="18" customHeight="1" x14ac:dyDescent="0.2">
      <c r="L3181" s="270"/>
    </row>
    <row r="3182" spans="12:12" ht="18" customHeight="1" x14ac:dyDescent="0.2">
      <c r="L3182" s="270"/>
    </row>
    <row r="3183" spans="12:12" ht="18" customHeight="1" x14ac:dyDescent="0.2">
      <c r="L3183" s="270"/>
    </row>
    <row r="3184" spans="12:12" ht="18" customHeight="1" x14ac:dyDescent="0.2">
      <c r="L3184" s="270"/>
    </row>
    <row r="3185" spans="12:12" ht="18" customHeight="1" x14ac:dyDescent="0.2">
      <c r="L3185" s="270"/>
    </row>
    <row r="3186" spans="12:12" ht="18" customHeight="1" x14ac:dyDescent="0.2">
      <c r="L3186" s="270"/>
    </row>
    <row r="3187" spans="12:12" ht="18" customHeight="1" x14ac:dyDescent="0.2">
      <c r="L3187" s="270"/>
    </row>
    <row r="3188" spans="12:12" ht="18" customHeight="1" x14ac:dyDescent="0.2">
      <c r="L3188" s="270"/>
    </row>
    <row r="3189" spans="12:12" ht="18" customHeight="1" x14ac:dyDescent="0.2">
      <c r="L3189" s="270"/>
    </row>
    <row r="3190" spans="12:12" ht="18" customHeight="1" x14ac:dyDescent="0.2">
      <c r="L3190" s="270"/>
    </row>
    <row r="3191" spans="12:12" ht="18" customHeight="1" x14ac:dyDescent="0.2">
      <c r="L3191" s="270"/>
    </row>
    <row r="3192" spans="12:12" ht="18" customHeight="1" x14ac:dyDescent="0.2">
      <c r="L3192" s="270"/>
    </row>
    <row r="3193" spans="12:12" ht="18" customHeight="1" x14ac:dyDescent="0.2">
      <c r="L3193" s="270"/>
    </row>
    <row r="3194" spans="12:12" ht="18" customHeight="1" x14ac:dyDescent="0.2">
      <c r="L3194" s="270"/>
    </row>
    <row r="3195" spans="12:12" ht="18" customHeight="1" x14ac:dyDescent="0.2">
      <c r="L3195" s="270"/>
    </row>
    <row r="3196" spans="12:12" ht="18" customHeight="1" x14ac:dyDescent="0.2">
      <c r="L3196" s="270"/>
    </row>
    <row r="3197" spans="12:12" ht="18" customHeight="1" x14ac:dyDescent="0.2">
      <c r="L3197" s="270"/>
    </row>
    <row r="3198" spans="12:12" ht="18" customHeight="1" x14ac:dyDescent="0.2">
      <c r="L3198" s="270"/>
    </row>
    <row r="3199" spans="12:12" ht="18" customHeight="1" x14ac:dyDescent="0.2">
      <c r="L3199" s="270"/>
    </row>
    <row r="3200" spans="12:12" ht="18" customHeight="1" x14ac:dyDescent="0.2">
      <c r="L3200" s="270"/>
    </row>
    <row r="3201" spans="12:12" ht="18" customHeight="1" x14ac:dyDescent="0.2">
      <c r="L3201" s="270"/>
    </row>
    <row r="3202" spans="12:12" ht="18" customHeight="1" x14ac:dyDescent="0.2">
      <c r="L3202" s="270"/>
    </row>
    <row r="3203" spans="12:12" ht="18" customHeight="1" x14ac:dyDescent="0.2">
      <c r="L3203" s="270"/>
    </row>
    <row r="3204" spans="12:12" ht="18" customHeight="1" x14ac:dyDescent="0.2">
      <c r="L3204" s="270"/>
    </row>
    <row r="3205" spans="12:12" ht="18" customHeight="1" x14ac:dyDescent="0.2">
      <c r="L3205" s="270"/>
    </row>
    <row r="3206" spans="12:12" ht="18" customHeight="1" x14ac:dyDescent="0.2">
      <c r="L3206" s="270"/>
    </row>
    <row r="3207" spans="12:12" ht="18" customHeight="1" x14ac:dyDescent="0.2">
      <c r="L3207" s="270"/>
    </row>
    <row r="3208" spans="12:12" ht="18" customHeight="1" x14ac:dyDescent="0.2">
      <c r="L3208" s="270"/>
    </row>
    <row r="3209" spans="12:12" ht="18" customHeight="1" x14ac:dyDescent="0.2">
      <c r="L3209" s="270"/>
    </row>
    <row r="3210" spans="12:12" ht="18" customHeight="1" x14ac:dyDescent="0.2">
      <c r="L3210" s="270"/>
    </row>
    <row r="3211" spans="12:12" ht="18" customHeight="1" x14ac:dyDescent="0.2">
      <c r="L3211" s="270"/>
    </row>
    <row r="3212" spans="12:12" ht="18" customHeight="1" x14ac:dyDescent="0.2">
      <c r="L3212" s="270"/>
    </row>
    <row r="3213" spans="12:12" ht="18" customHeight="1" x14ac:dyDescent="0.2">
      <c r="L3213" s="270"/>
    </row>
    <row r="3214" spans="12:12" ht="18" customHeight="1" x14ac:dyDescent="0.2">
      <c r="L3214" s="270"/>
    </row>
    <row r="3215" spans="12:12" ht="18" customHeight="1" x14ac:dyDescent="0.2">
      <c r="L3215" s="270"/>
    </row>
    <row r="3216" spans="12:12" ht="18" customHeight="1" x14ac:dyDescent="0.2">
      <c r="L3216" s="270"/>
    </row>
    <row r="3217" spans="12:12" ht="18" customHeight="1" x14ac:dyDescent="0.2">
      <c r="L3217" s="270"/>
    </row>
    <row r="3218" spans="12:12" ht="18" customHeight="1" x14ac:dyDescent="0.2">
      <c r="L3218" s="270"/>
    </row>
    <row r="3219" spans="12:12" ht="18" customHeight="1" x14ac:dyDescent="0.2">
      <c r="L3219" s="270"/>
    </row>
    <row r="3220" spans="12:12" ht="18" customHeight="1" x14ac:dyDescent="0.2">
      <c r="L3220" s="270"/>
    </row>
    <row r="3221" spans="12:12" ht="18" customHeight="1" x14ac:dyDescent="0.2">
      <c r="L3221" s="270"/>
    </row>
    <row r="3222" spans="12:12" ht="18" customHeight="1" x14ac:dyDescent="0.2">
      <c r="L3222" s="270"/>
    </row>
    <row r="3223" spans="12:12" ht="18" customHeight="1" x14ac:dyDescent="0.2">
      <c r="L3223" s="270"/>
    </row>
    <row r="3224" spans="12:12" ht="18" customHeight="1" x14ac:dyDescent="0.2">
      <c r="L3224" s="270"/>
    </row>
    <row r="3225" spans="12:12" ht="18" customHeight="1" x14ac:dyDescent="0.2">
      <c r="L3225" s="270"/>
    </row>
    <row r="3226" spans="12:12" ht="18" customHeight="1" x14ac:dyDescent="0.2">
      <c r="L3226" s="270"/>
    </row>
    <row r="3227" spans="12:12" ht="18" customHeight="1" x14ac:dyDescent="0.2">
      <c r="L3227" s="270"/>
    </row>
    <row r="3228" spans="12:12" ht="18" customHeight="1" x14ac:dyDescent="0.2">
      <c r="L3228" s="270"/>
    </row>
    <row r="3229" spans="12:12" ht="18" customHeight="1" x14ac:dyDescent="0.2">
      <c r="L3229" s="270"/>
    </row>
    <row r="3230" spans="12:12" ht="18" customHeight="1" x14ac:dyDescent="0.2">
      <c r="L3230" s="270"/>
    </row>
    <row r="3231" spans="12:12" ht="18" customHeight="1" x14ac:dyDescent="0.2">
      <c r="L3231" s="270"/>
    </row>
    <row r="3232" spans="12:12" ht="18" customHeight="1" x14ac:dyDescent="0.2">
      <c r="L3232" s="270"/>
    </row>
    <row r="3233" spans="12:12" ht="18" customHeight="1" x14ac:dyDescent="0.2">
      <c r="L3233" s="270"/>
    </row>
    <row r="3234" spans="12:12" ht="18" customHeight="1" x14ac:dyDescent="0.2">
      <c r="L3234" s="270"/>
    </row>
    <row r="3235" spans="12:12" ht="18" customHeight="1" x14ac:dyDescent="0.2">
      <c r="L3235" s="270"/>
    </row>
    <row r="3236" spans="12:12" ht="18" customHeight="1" x14ac:dyDescent="0.2">
      <c r="L3236" s="270"/>
    </row>
    <row r="3237" spans="12:12" ht="18" customHeight="1" x14ac:dyDescent="0.2">
      <c r="L3237" s="270"/>
    </row>
    <row r="3238" spans="12:12" ht="18" customHeight="1" x14ac:dyDescent="0.2">
      <c r="L3238" s="270"/>
    </row>
    <row r="3239" spans="12:12" ht="18" customHeight="1" x14ac:dyDescent="0.2">
      <c r="L3239" s="270"/>
    </row>
    <row r="3240" spans="12:12" ht="18" customHeight="1" x14ac:dyDescent="0.2">
      <c r="L3240" s="270"/>
    </row>
    <row r="3241" spans="12:12" ht="18" customHeight="1" x14ac:dyDescent="0.2">
      <c r="L3241" s="270"/>
    </row>
    <row r="3242" spans="12:12" ht="18" customHeight="1" x14ac:dyDescent="0.2">
      <c r="L3242" s="270"/>
    </row>
    <row r="3243" spans="12:12" ht="18" customHeight="1" x14ac:dyDescent="0.2">
      <c r="L3243" s="270"/>
    </row>
    <row r="3244" spans="12:12" ht="18" customHeight="1" x14ac:dyDescent="0.2">
      <c r="L3244" s="270"/>
    </row>
    <row r="3245" spans="12:12" ht="18" customHeight="1" x14ac:dyDescent="0.2">
      <c r="L3245" s="270"/>
    </row>
    <row r="3246" spans="12:12" ht="18" customHeight="1" x14ac:dyDescent="0.2">
      <c r="L3246" s="270"/>
    </row>
    <row r="3247" spans="12:12" ht="18" customHeight="1" x14ac:dyDescent="0.2">
      <c r="L3247" s="270"/>
    </row>
    <row r="3248" spans="12:12" ht="18" customHeight="1" x14ac:dyDescent="0.2">
      <c r="L3248" s="270"/>
    </row>
    <row r="3249" spans="12:12" ht="18" customHeight="1" x14ac:dyDescent="0.2">
      <c r="L3249" s="270"/>
    </row>
    <row r="3250" spans="12:12" ht="18" customHeight="1" x14ac:dyDescent="0.2">
      <c r="L3250" s="270"/>
    </row>
    <row r="3251" spans="12:12" ht="18" customHeight="1" x14ac:dyDescent="0.2">
      <c r="L3251" s="270"/>
    </row>
    <row r="3252" spans="12:12" ht="18" customHeight="1" x14ac:dyDescent="0.2">
      <c r="L3252" s="270"/>
    </row>
    <row r="3253" spans="12:12" ht="18" customHeight="1" x14ac:dyDescent="0.2">
      <c r="L3253" s="270"/>
    </row>
    <row r="3254" spans="12:12" ht="18" customHeight="1" x14ac:dyDescent="0.2">
      <c r="L3254" s="270"/>
    </row>
    <row r="3255" spans="12:12" ht="18" customHeight="1" x14ac:dyDescent="0.2">
      <c r="L3255" s="270"/>
    </row>
    <row r="3256" spans="12:12" ht="18" customHeight="1" x14ac:dyDescent="0.2">
      <c r="L3256" s="270"/>
    </row>
    <row r="3257" spans="12:12" ht="18" customHeight="1" x14ac:dyDescent="0.2">
      <c r="L3257" s="270"/>
    </row>
    <row r="3258" spans="12:12" ht="18" customHeight="1" x14ac:dyDescent="0.2">
      <c r="L3258" s="270"/>
    </row>
    <row r="3259" spans="12:12" ht="18" customHeight="1" x14ac:dyDescent="0.2">
      <c r="L3259" s="270"/>
    </row>
    <row r="3260" spans="12:12" ht="18" customHeight="1" x14ac:dyDescent="0.2">
      <c r="L3260" s="270"/>
    </row>
    <row r="3261" spans="12:12" ht="18" customHeight="1" x14ac:dyDescent="0.2">
      <c r="L3261" s="270"/>
    </row>
    <row r="3262" spans="12:12" ht="18" customHeight="1" x14ac:dyDescent="0.2">
      <c r="L3262" s="270"/>
    </row>
    <row r="3263" spans="12:12" ht="18" customHeight="1" x14ac:dyDescent="0.2">
      <c r="L3263" s="270"/>
    </row>
    <row r="3264" spans="12:12" ht="18" customHeight="1" x14ac:dyDescent="0.2">
      <c r="L3264" s="270"/>
    </row>
    <row r="3265" spans="12:12" ht="18" customHeight="1" x14ac:dyDescent="0.2">
      <c r="L3265" s="270"/>
    </row>
    <row r="3266" spans="12:12" ht="18" customHeight="1" x14ac:dyDescent="0.2">
      <c r="L3266" s="270"/>
    </row>
    <row r="3267" spans="12:12" ht="18" customHeight="1" x14ac:dyDescent="0.2">
      <c r="L3267" s="270"/>
    </row>
    <row r="3268" spans="12:12" ht="18" customHeight="1" x14ac:dyDescent="0.2">
      <c r="L3268" s="270"/>
    </row>
    <row r="3269" spans="12:12" ht="18" customHeight="1" x14ac:dyDescent="0.2">
      <c r="L3269" s="270"/>
    </row>
    <row r="3270" spans="12:12" ht="18" customHeight="1" x14ac:dyDescent="0.2">
      <c r="L3270" s="270"/>
    </row>
    <row r="3271" spans="12:12" ht="18" customHeight="1" x14ac:dyDescent="0.2">
      <c r="L3271" s="270"/>
    </row>
    <row r="3272" spans="12:12" ht="18" customHeight="1" x14ac:dyDescent="0.2">
      <c r="L3272" s="270"/>
    </row>
    <row r="3273" spans="12:12" ht="18" customHeight="1" x14ac:dyDescent="0.2">
      <c r="L3273" s="270"/>
    </row>
    <row r="3274" spans="12:12" ht="18" customHeight="1" x14ac:dyDescent="0.2">
      <c r="L3274" s="270"/>
    </row>
    <row r="3275" spans="12:12" ht="18" customHeight="1" x14ac:dyDescent="0.2">
      <c r="L3275" s="270"/>
    </row>
    <row r="3276" spans="12:12" ht="18" customHeight="1" x14ac:dyDescent="0.2">
      <c r="L3276" s="270"/>
    </row>
    <row r="3277" spans="12:12" ht="18" customHeight="1" x14ac:dyDescent="0.2">
      <c r="L3277" s="270"/>
    </row>
    <row r="3278" spans="12:12" ht="18" customHeight="1" x14ac:dyDescent="0.2">
      <c r="L3278" s="270"/>
    </row>
    <row r="3279" spans="12:12" ht="18" customHeight="1" x14ac:dyDescent="0.2">
      <c r="L3279" s="270"/>
    </row>
    <row r="3280" spans="12:12" ht="18" customHeight="1" x14ac:dyDescent="0.2">
      <c r="L3280" s="270"/>
    </row>
    <row r="3281" spans="12:12" ht="18" customHeight="1" x14ac:dyDescent="0.2">
      <c r="L3281" s="270"/>
    </row>
    <row r="3282" spans="12:12" ht="18" customHeight="1" x14ac:dyDescent="0.2">
      <c r="L3282" s="270"/>
    </row>
    <row r="3283" spans="12:12" ht="18" customHeight="1" x14ac:dyDescent="0.2">
      <c r="L3283" s="270"/>
    </row>
    <row r="3284" spans="12:12" ht="18" customHeight="1" x14ac:dyDescent="0.2">
      <c r="L3284" s="270"/>
    </row>
    <row r="3285" spans="12:12" ht="18" customHeight="1" x14ac:dyDescent="0.2">
      <c r="L3285" s="270"/>
    </row>
    <row r="3286" spans="12:12" ht="18" customHeight="1" x14ac:dyDescent="0.2">
      <c r="L3286" s="270"/>
    </row>
    <row r="3287" spans="12:12" ht="18" customHeight="1" x14ac:dyDescent="0.2">
      <c r="L3287" s="270"/>
    </row>
    <row r="3288" spans="12:12" ht="18" customHeight="1" x14ac:dyDescent="0.2">
      <c r="L3288" s="270"/>
    </row>
    <row r="3289" spans="12:12" ht="18" customHeight="1" x14ac:dyDescent="0.2">
      <c r="L3289" s="270"/>
    </row>
    <row r="3290" spans="12:12" ht="18" customHeight="1" x14ac:dyDescent="0.2">
      <c r="L3290" s="270"/>
    </row>
    <row r="3291" spans="12:12" ht="18" customHeight="1" x14ac:dyDescent="0.2">
      <c r="L3291" s="270"/>
    </row>
    <row r="3292" spans="12:12" ht="18" customHeight="1" x14ac:dyDescent="0.2">
      <c r="L3292" s="270"/>
    </row>
    <row r="3293" spans="12:12" ht="18" customHeight="1" x14ac:dyDescent="0.2">
      <c r="L3293" s="270"/>
    </row>
    <row r="3294" spans="12:12" ht="18" customHeight="1" x14ac:dyDescent="0.2">
      <c r="L3294" s="270"/>
    </row>
    <row r="3295" spans="12:12" ht="18" customHeight="1" x14ac:dyDescent="0.2">
      <c r="L3295" s="270"/>
    </row>
    <row r="3296" spans="12:12" ht="18" customHeight="1" x14ac:dyDescent="0.2">
      <c r="L3296" s="270"/>
    </row>
    <row r="3297" spans="12:12" ht="18" customHeight="1" x14ac:dyDescent="0.2">
      <c r="L3297" s="270"/>
    </row>
    <row r="3298" spans="12:12" ht="18" customHeight="1" x14ac:dyDescent="0.2">
      <c r="L3298" s="270"/>
    </row>
    <row r="3299" spans="12:12" ht="18" customHeight="1" x14ac:dyDescent="0.2">
      <c r="L3299" s="270"/>
    </row>
    <row r="3300" spans="12:12" ht="18" customHeight="1" x14ac:dyDescent="0.2">
      <c r="L3300" s="270"/>
    </row>
    <row r="3301" spans="12:12" ht="18" customHeight="1" x14ac:dyDescent="0.2">
      <c r="L3301" s="270"/>
    </row>
    <row r="3302" spans="12:12" ht="18" customHeight="1" x14ac:dyDescent="0.2">
      <c r="L3302" s="270"/>
    </row>
    <row r="3303" spans="12:12" ht="18" customHeight="1" x14ac:dyDescent="0.2">
      <c r="L3303" s="270"/>
    </row>
    <row r="3304" spans="12:12" ht="18" customHeight="1" x14ac:dyDescent="0.2">
      <c r="L3304" s="270"/>
    </row>
    <row r="3305" spans="12:12" ht="18" customHeight="1" x14ac:dyDescent="0.2">
      <c r="L3305" s="270"/>
    </row>
    <row r="3306" spans="12:12" ht="18" customHeight="1" x14ac:dyDescent="0.2">
      <c r="L3306" s="270"/>
    </row>
    <row r="3307" spans="12:12" ht="18" customHeight="1" x14ac:dyDescent="0.2">
      <c r="L3307" s="270"/>
    </row>
    <row r="3308" spans="12:12" ht="18" customHeight="1" x14ac:dyDescent="0.2">
      <c r="L3308" s="270"/>
    </row>
    <row r="3309" spans="12:12" ht="18" customHeight="1" x14ac:dyDescent="0.2">
      <c r="L3309" s="270"/>
    </row>
    <row r="3310" spans="12:12" ht="18" customHeight="1" x14ac:dyDescent="0.2">
      <c r="L3310" s="270"/>
    </row>
    <row r="3311" spans="12:12" ht="18" customHeight="1" x14ac:dyDescent="0.2">
      <c r="L3311" s="270"/>
    </row>
    <row r="3312" spans="12:12" ht="18" customHeight="1" x14ac:dyDescent="0.2">
      <c r="L3312" s="270"/>
    </row>
    <row r="3313" spans="12:12" ht="18" customHeight="1" x14ac:dyDescent="0.2">
      <c r="L3313" s="270"/>
    </row>
    <row r="3314" spans="12:12" ht="18" customHeight="1" x14ac:dyDescent="0.2">
      <c r="L3314" s="270"/>
    </row>
    <row r="3315" spans="12:12" ht="18" customHeight="1" x14ac:dyDescent="0.2">
      <c r="L3315" s="270"/>
    </row>
    <row r="3316" spans="12:12" ht="18" customHeight="1" x14ac:dyDescent="0.2">
      <c r="L3316" s="270"/>
    </row>
    <row r="3317" spans="12:12" ht="18" customHeight="1" x14ac:dyDescent="0.2">
      <c r="L3317" s="270"/>
    </row>
    <row r="3318" spans="12:12" ht="18" customHeight="1" x14ac:dyDescent="0.2">
      <c r="L3318" s="270"/>
    </row>
    <row r="3319" spans="12:12" ht="18" customHeight="1" x14ac:dyDescent="0.2">
      <c r="L3319" s="270"/>
    </row>
    <row r="3320" spans="12:12" ht="18" customHeight="1" x14ac:dyDescent="0.2">
      <c r="L3320" s="270"/>
    </row>
    <row r="3321" spans="12:12" ht="18" customHeight="1" x14ac:dyDescent="0.2">
      <c r="L3321" s="270"/>
    </row>
    <row r="3322" spans="12:12" ht="18" customHeight="1" x14ac:dyDescent="0.2">
      <c r="L3322" s="270"/>
    </row>
    <row r="3323" spans="12:12" ht="18" customHeight="1" x14ac:dyDescent="0.2">
      <c r="L3323" s="270"/>
    </row>
    <row r="3324" spans="12:12" ht="18" customHeight="1" x14ac:dyDescent="0.2">
      <c r="L3324" s="270"/>
    </row>
    <row r="3325" spans="12:12" ht="18" customHeight="1" x14ac:dyDescent="0.2">
      <c r="L3325" s="270"/>
    </row>
    <row r="3326" spans="12:12" ht="18" customHeight="1" x14ac:dyDescent="0.2">
      <c r="L3326" s="270"/>
    </row>
    <row r="3327" spans="12:12" ht="18" customHeight="1" x14ac:dyDescent="0.2">
      <c r="L3327" s="270"/>
    </row>
    <row r="3328" spans="12:12" ht="18" customHeight="1" x14ac:dyDescent="0.2">
      <c r="L3328" s="270"/>
    </row>
    <row r="3329" spans="12:12" ht="18" customHeight="1" x14ac:dyDescent="0.2">
      <c r="L3329" s="270"/>
    </row>
    <row r="3330" spans="12:12" ht="18" customHeight="1" x14ac:dyDescent="0.2">
      <c r="L3330" s="270"/>
    </row>
    <row r="3331" spans="12:12" ht="18" customHeight="1" x14ac:dyDescent="0.2">
      <c r="L3331" s="270"/>
    </row>
    <row r="3332" spans="12:12" ht="18" customHeight="1" x14ac:dyDescent="0.2">
      <c r="L3332" s="270"/>
    </row>
    <row r="3333" spans="12:12" ht="18" customHeight="1" x14ac:dyDescent="0.2">
      <c r="L3333" s="270"/>
    </row>
    <row r="3334" spans="12:12" ht="18" customHeight="1" x14ac:dyDescent="0.2">
      <c r="L3334" s="270"/>
    </row>
    <row r="3335" spans="12:12" ht="18" customHeight="1" x14ac:dyDescent="0.2">
      <c r="L3335" s="270"/>
    </row>
    <row r="3336" spans="12:12" ht="18" customHeight="1" x14ac:dyDescent="0.2">
      <c r="L3336" s="270"/>
    </row>
    <row r="3337" spans="12:12" ht="18" customHeight="1" x14ac:dyDescent="0.2">
      <c r="L3337" s="270"/>
    </row>
    <row r="3338" spans="12:12" ht="18" customHeight="1" x14ac:dyDescent="0.2">
      <c r="L3338" s="270"/>
    </row>
    <row r="3339" spans="12:12" ht="18" customHeight="1" x14ac:dyDescent="0.2">
      <c r="L3339" s="270"/>
    </row>
    <row r="3340" spans="12:12" ht="18" customHeight="1" x14ac:dyDescent="0.2">
      <c r="L3340" s="270"/>
    </row>
    <row r="3341" spans="12:12" ht="18" customHeight="1" x14ac:dyDescent="0.2">
      <c r="L3341" s="270"/>
    </row>
    <row r="3342" spans="12:12" ht="18" customHeight="1" x14ac:dyDescent="0.2">
      <c r="L3342" s="270"/>
    </row>
    <row r="3343" spans="12:12" ht="18" customHeight="1" x14ac:dyDescent="0.2">
      <c r="L3343" s="270"/>
    </row>
    <row r="3344" spans="12:12" ht="18" customHeight="1" x14ac:dyDescent="0.2">
      <c r="L3344" s="270"/>
    </row>
    <row r="3345" spans="12:12" ht="18" customHeight="1" x14ac:dyDescent="0.2">
      <c r="L3345" s="270"/>
    </row>
    <row r="3346" spans="12:12" ht="18" customHeight="1" x14ac:dyDescent="0.2">
      <c r="L3346" s="270"/>
    </row>
    <row r="3347" spans="12:12" ht="18" customHeight="1" x14ac:dyDescent="0.2">
      <c r="L3347" s="270"/>
    </row>
    <row r="3348" spans="12:12" ht="18" customHeight="1" x14ac:dyDescent="0.2">
      <c r="L3348" s="270"/>
    </row>
    <row r="3349" spans="12:12" ht="18" customHeight="1" x14ac:dyDescent="0.2">
      <c r="L3349" s="270"/>
    </row>
    <row r="3350" spans="12:12" ht="18" customHeight="1" x14ac:dyDescent="0.2">
      <c r="L3350" s="270"/>
    </row>
    <row r="3351" spans="12:12" ht="18" customHeight="1" x14ac:dyDescent="0.2">
      <c r="L3351" s="270"/>
    </row>
    <row r="3352" spans="12:12" ht="18" customHeight="1" x14ac:dyDescent="0.2">
      <c r="L3352" s="270"/>
    </row>
    <row r="3353" spans="12:12" ht="18" customHeight="1" x14ac:dyDescent="0.2">
      <c r="L3353" s="270"/>
    </row>
    <row r="3354" spans="12:12" ht="18" customHeight="1" x14ac:dyDescent="0.2">
      <c r="L3354" s="270"/>
    </row>
    <row r="3355" spans="12:12" ht="18" customHeight="1" x14ac:dyDescent="0.2">
      <c r="L3355" s="270"/>
    </row>
    <row r="3356" spans="12:12" ht="18" customHeight="1" x14ac:dyDescent="0.2">
      <c r="L3356" s="270"/>
    </row>
    <row r="3357" spans="12:12" ht="18" customHeight="1" x14ac:dyDescent="0.2">
      <c r="L3357" s="270"/>
    </row>
    <row r="3358" spans="12:12" ht="18" customHeight="1" x14ac:dyDescent="0.2">
      <c r="L3358" s="270"/>
    </row>
    <row r="3359" spans="12:12" ht="18" customHeight="1" x14ac:dyDescent="0.2">
      <c r="L3359" s="270"/>
    </row>
    <row r="3360" spans="12:12" ht="18" customHeight="1" x14ac:dyDescent="0.2">
      <c r="L3360" s="270"/>
    </row>
    <row r="3361" spans="12:12" ht="18" customHeight="1" x14ac:dyDescent="0.2">
      <c r="L3361" s="270"/>
    </row>
    <row r="3362" spans="12:12" ht="18" customHeight="1" x14ac:dyDescent="0.2">
      <c r="L3362" s="270"/>
    </row>
    <row r="3363" spans="12:12" ht="18" customHeight="1" x14ac:dyDescent="0.2">
      <c r="L3363" s="270"/>
    </row>
    <row r="3364" spans="12:12" ht="18" customHeight="1" x14ac:dyDescent="0.2">
      <c r="L3364" s="270"/>
    </row>
    <row r="3365" spans="12:12" ht="18" customHeight="1" x14ac:dyDescent="0.2">
      <c r="L3365" s="270"/>
    </row>
    <row r="3366" spans="12:12" ht="18" customHeight="1" x14ac:dyDescent="0.2">
      <c r="L3366" s="270"/>
    </row>
    <row r="3367" spans="12:12" ht="18" customHeight="1" x14ac:dyDescent="0.2">
      <c r="L3367" s="270"/>
    </row>
    <row r="3368" spans="12:12" ht="18" customHeight="1" x14ac:dyDescent="0.2">
      <c r="L3368" s="270"/>
    </row>
    <row r="3369" spans="12:12" ht="18" customHeight="1" x14ac:dyDescent="0.2">
      <c r="L3369" s="270"/>
    </row>
    <row r="3370" spans="12:12" ht="18" customHeight="1" x14ac:dyDescent="0.2">
      <c r="L3370" s="270"/>
    </row>
    <row r="3371" spans="12:12" ht="18" customHeight="1" x14ac:dyDescent="0.2">
      <c r="L3371" s="270"/>
    </row>
    <row r="3372" spans="12:12" ht="18" customHeight="1" x14ac:dyDescent="0.2">
      <c r="L3372" s="270"/>
    </row>
    <row r="3373" spans="12:12" ht="18" customHeight="1" x14ac:dyDescent="0.2">
      <c r="L3373" s="270"/>
    </row>
    <row r="3374" spans="12:12" ht="18" customHeight="1" x14ac:dyDescent="0.2">
      <c r="L3374" s="270"/>
    </row>
    <row r="3375" spans="12:12" ht="18" customHeight="1" x14ac:dyDescent="0.2">
      <c r="L3375" s="270"/>
    </row>
    <row r="3376" spans="12:12" ht="18" customHeight="1" x14ac:dyDescent="0.2">
      <c r="L3376" s="270"/>
    </row>
    <row r="3377" spans="12:12" ht="18" customHeight="1" x14ac:dyDescent="0.2">
      <c r="L3377" s="270"/>
    </row>
    <row r="3378" spans="12:12" ht="18" customHeight="1" x14ac:dyDescent="0.2">
      <c r="L3378" s="270"/>
    </row>
    <row r="3379" spans="12:12" ht="18" customHeight="1" x14ac:dyDescent="0.2">
      <c r="L3379" s="270"/>
    </row>
    <row r="3380" spans="12:12" ht="18" customHeight="1" x14ac:dyDescent="0.2">
      <c r="L3380" s="270"/>
    </row>
    <row r="3381" spans="12:12" ht="18" customHeight="1" x14ac:dyDescent="0.2">
      <c r="L3381" s="270"/>
    </row>
    <row r="3382" spans="12:12" ht="18" customHeight="1" x14ac:dyDescent="0.2">
      <c r="L3382" s="270"/>
    </row>
    <row r="3383" spans="12:12" ht="18" customHeight="1" x14ac:dyDescent="0.2">
      <c r="L3383" s="270"/>
    </row>
    <row r="3384" spans="12:12" ht="18" customHeight="1" x14ac:dyDescent="0.2">
      <c r="L3384" s="270"/>
    </row>
    <row r="3385" spans="12:12" ht="18" customHeight="1" x14ac:dyDescent="0.2">
      <c r="L3385" s="270"/>
    </row>
    <row r="3386" spans="12:12" ht="18" customHeight="1" x14ac:dyDescent="0.2">
      <c r="L3386" s="270"/>
    </row>
    <row r="3387" spans="12:12" ht="18" customHeight="1" x14ac:dyDescent="0.2">
      <c r="L3387" s="270"/>
    </row>
    <row r="3388" spans="12:12" ht="18" customHeight="1" x14ac:dyDescent="0.2">
      <c r="L3388" s="270"/>
    </row>
    <row r="3389" spans="12:12" ht="18" customHeight="1" x14ac:dyDescent="0.2">
      <c r="L3389" s="270"/>
    </row>
    <row r="3390" spans="12:12" ht="18" customHeight="1" x14ac:dyDescent="0.2">
      <c r="L3390" s="270"/>
    </row>
    <row r="3391" spans="12:12" ht="18" customHeight="1" x14ac:dyDescent="0.2">
      <c r="L3391" s="270"/>
    </row>
    <row r="3392" spans="12:12" ht="18" customHeight="1" x14ac:dyDescent="0.2">
      <c r="L3392" s="270"/>
    </row>
    <row r="3393" spans="12:12" ht="18" customHeight="1" x14ac:dyDescent="0.2">
      <c r="L3393" s="270"/>
    </row>
    <row r="3394" spans="12:12" ht="18" customHeight="1" x14ac:dyDescent="0.2">
      <c r="L3394" s="270"/>
    </row>
    <row r="3395" spans="12:12" ht="18" customHeight="1" x14ac:dyDescent="0.2">
      <c r="L3395" s="270"/>
    </row>
    <row r="3396" spans="12:12" ht="18" customHeight="1" x14ac:dyDescent="0.2">
      <c r="L3396" s="270"/>
    </row>
    <row r="3397" spans="12:12" ht="18" customHeight="1" x14ac:dyDescent="0.2">
      <c r="L3397" s="270"/>
    </row>
    <row r="3398" spans="12:12" ht="18" customHeight="1" x14ac:dyDescent="0.2">
      <c r="L3398" s="270"/>
    </row>
    <row r="3399" spans="12:12" ht="18" customHeight="1" x14ac:dyDescent="0.2">
      <c r="L3399" s="270"/>
    </row>
    <row r="3400" spans="12:12" ht="18" customHeight="1" x14ac:dyDescent="0.2">
      <c r="L3400" s="270"/>
    </row>
    <row r="3401" spans="12:12" ht="18" customHeight="1" x14ac:dyDescent="0.2">
      <c r="L3401" s="270"/>
    </row>
    <row r="3402" spans="12:12" ht="18" customHeight="1" x14ac:dyDescent="0.2">
      <c r="L3402" s="270"/>
    </row>
    <row r="3403" spans="12:12" ht="18" customHeight="1" x14ac:dyDescent="0.2">
      <c r="L3403" s="270"/>
    </row>
    <row r="3404" spans="12:12" ht="18" customHeight="1" x14ac:dyDescent="0.2">
      <c r="L3404" s="270"/>
    </row>
    <row r="3405" spans="12:12" ht="18" customHeight="1" x14ac:dyDescent="0.2">
      <c r="L3405" s="270"/>
    </row>
    <row r="3406" spans="12:12" ht="18" customHeight="1" x14ac:dyDescent="0.2">
      <c r="L3406" s="270"/>
    </row>
    <row r="3407" spans="12:12" ht="18" customHeight="1" x14ac:dyDescent="0.2">
      <c r="L3407" s="270"/>
    </row>
    <row r="3408" spans="12:12" ht="18" customHeight="1" x14ac:dyDescent="0.2">
      <c r="L3408" s="270"/>
    </row>
    <row r="3409" spans="12:12" ht="18" customHeight="1" x14ac:dyDescent="0.2">
      <c r="L3409" s="270"/>
    </row>
    <row r="3410" spans="12:12" ht="18" customHeight="1" x14ac:dyDescent="0.2">
      <c r="L3410" s="270"/>
    </row>
    <row r="3411" spans="12:12" ht="18" customHeight="1" x14ac:dyDescent="0.2">
      <c r="L3411" s="270"/>
    </row>
    <row r="3412" spans="12:12" ht="18" customHeight="1" x14ac:dyDescent="0.2">
      <c r="L3412" s="270"/>
    </row>
    <row r="3413" spans="12:12" ht="18" customHeight="1" x14ac:dyDescent="0.2">
      <c r="L3413" s="270"/>
    </row>
    <row r="3414" spans="12:12" ht="18" customHeight="1" x14ac:dyDescent="0.2">
      <c r="L3414" s="270"/>
    </row>
    <row r="3415" spans="12:12" ht="18" customHeight="1" x14ac:dyDescent="0.2">
      <c r="L3415" s="270"/>
    </row>
    <row r="3416" spans="12:12" ht="18" customHeight="1" x14ac:dyDescent="0.2">
      <c r="L3416" s="270"/>
    </row>
    <row r="3417" spans="12:12" ht="18" customHeight="1" x14ac:dyDescent="0.2">
      <c r="L3417" s="270"/>
    </row>
    <row r="3418" spans="12:12" ht="18" customHeight="1" x14ac:dyDescent="0.2">
      <c r="L3418" s="270"/>
    </row>
    <row r="3419" spans="12:12" ht="18" customHeight="1" x14ac:dyDescent="0.2">
      <c r="L3419" s="270"/>
    </row>
    <row r="3420" spans="12:12" ht="18" customHeight="1" x14ac:dyDescent="0.2">
      <c r="L3420" s="270"/>
    </row>
    <row r="3421" spans="12:12" ht="18" customHeight="1" x14ac:dyDescent="0.2">
      <c r="L3421" s="270"/>
    </row>
    <row r="3422" spans="12:12" ht="18" customHeight="1" x14ac:dyDescent="0.2">
      <c r="L3422" s="270"/>
    </row>
    <row r="3423" spans="12:12" ht="18" customHeight="1" x14ac:dyDescent="0.2">
      <c r="L3423" s="270"/>
    </row>
    <row r="3424" spans="12:12" ht="18" customHeight="1" x14ac:dyDescent="0.2">
      <c r="L3424" s="270"/>
    </row>
    <row r="3425" spans="12:12" ht="18" customHeight="1" x14ac:dyDescent="0.2">
      <c r="L3425" s="270"/>
    </row>
    <row r="3426" spans="12:12" ht="18" customHeight="1" x14ac:dyDescent="0.2">
      <c r="L3426" s="270"/>
    </row>
    <row r="3427" spans="12:12" ht="18" customHeight="1" x14ac:dyDescent="0.2">
      <c r="L3427" s="270"/>
    </row>
    <row r="3428" spans="12:12" ht="18" customHeight="1" x14ac:dyDescent="0.2">
      <c r="L3428" s="270"/>
    </row>
    <row r="3429" spans="12:12" ht="18" customHeight="1" x14ac:dyDescent="0.2">
      <c r="L3429" s="270"/>
    </row>
    <row r="3430" spans="12:12" ht="18" customHeight="1" x14ac:dyDescent="0.2">
      <c r="L3430" s="270"/>
    </row>
    <row r="3431" spans="12:12" ht="18" customHeight="1" x14ac:dyDescent="0.2">
      <c r="L3431" s="270"/>
    </row>
    <row r="3432" spans="12:12" ht="18" customHeight="1" x14ac:dyDescent="0.2">
      <c r="L3432" s="270"/>
    </row>
    <row r="3433" spans="12:12" ht="18" customHeight="1" x14ac:dyDescent="0.2">
      <c r="L3433" s="270"/>
    </row>
    <row r="3434" spans="12:12" ht="18" customHeight="1" x14ac:dyDescent="0.2">
      <c r="L3434" s="270"/>
    </row>
    <row r="3435" spans="12:12" ht="18" customHeight="1" x14ac:dyDescent="0.2">
      <c r="L3435" s="270"/>
    </row>
    <row r="3436" spans="12:12" ht="18" customHeight="1" x14ac:dyDescent="0.2">
      <c r="L3436" s="270"/>
    </row>
    <row r="3437" spans="12:12" ht="18" customHeight="1" x14ac:dyDescent="0.2">
      <c r="L3437" s="270"/>
    </row>
    <row r="3438" spans="12:12" ht="18" customHeight="1" x14ac:dyDescent="0.2">
      <c r="L3438" s="270"/>
    </row>
    <row r="3439" spans="12:12" ht="18" customHeight="1" x14ac:dyDescent="0.2">
      <c r="L3439" s="270"/>
    </row>
    <row r="3440" spans="12:12" ht="18" customHeight="1" x14ac:dyDescent="0.2">
      <c r="L3440" s="270"/>
    </row>
    <row r="3441" spans="12:12" ht="18" customHeight="1" x14ac:dyDescent="0.2">
      <c r="L3441" s="270"/>
    </row>
    <row r="3442" spans="12:12" ht="18" customHeight="1" x14ac:dyDescent="0.2">
      <c r="L3442" s="270"/>
    </row>
    <row r="3443" spans="12:12" ht="18" customHeight="1" x14ac:dyDescent="0.2">
      <c r="L3443" s="270"/>
    </row>
    <row r="3444" spans="12:12" ht="18" customHeight="1" x14ac:dyDescent="0.2">
      <c r="L3444" s="270"/>
    </row>
    <row r="3445" spans="12:12" ht="18" customHeight="1" x14ac:dyDescent="0.2">
      <c r="L3445" s="270"/>
    </row>
    <row r="3446" spans="12:12" ht="18" customHeight="1" x14ac:dyDescent="0.2">
      <c r="L3446" s="270"/>
    </row>
    <row r="3447" spans="12:12" ht="18" customHeight="1" x14ac:dyDescent="0.2">
      <c r="L3447" s="270"/>
    </row>
    <row r="3448" spans="12:12" ht="18" customHeight="1" x14ac:dyDescent="0.2">
      <c r="L3448" s="270"/>
    </row>
    <row r="3449" spans="12:12" ht="18" customHeight="1" x14ac:dyDescent="0.2">
      <c r="L3449" s="270"/>
    </row>
    <row r="3450" spans="12:12" ht="18" customHeight="1" x14ac:dyDescent="0.2">
      <c r="L3450" s="270"/>
    </row>
    <row r="3451" spans="12:12" ht="18" customHeight="1" x14ac:dyDescent="0.2">
      <c r="L3451" s="270"/>
    </row>
    <row r="3452" spans="12:12" ht="18" customHeight="1" x14ac:dyDescent="0.2">
      <c r="L3452" s="270"/>
    </row>
    <row r="3453" spans="12:12" ht="18" customHeight="1" x14ac:dyDescent="0.2">
      <c r="L3453" s="270"/>
    </row>
    <row r="3454" spans="12:12" ht="18" customHeight="1" x14ac:dyDescent="0.2">
      <c r="L3454" s="270"/>
    </row>
    <row r="3455" spans="12:12" ht="18" customHeight="1" x14ac:dyDescent="0.2">
      <c r="L3455" s="270"/>
    </row>
    <row r="3456" spans="12:12" ht="18" customHeight="1" x14ac:dyDescent="0.2">
      <c r="L3456" s="270"/>
    </row>
    <row r="3457" spans="12:12" ht="18" customHeight="1" x14ac:dyDescent="0.2">
      <c r="L3457" s="270"/>
    </row>
    <row r="3458" spans="12:12" ht="18" customHeight="1" x14ac:dyDescent="0.2">
      <c r="L3458" s="270"/>
    </row>
    <row r="3459" spans="12:12" ht="18" customHeight="1" x14ac:dyDescent="0.2">
      <c r="L3459" s="270"/>
    </row>
    <row r="3460" spans="12:12" ht="18" customHeight="1" x14ac:dyDescent="0.2">
      <c r="L3460" s="270"/>
    </row>
    <row r="3461" spans="12:12" ht="18" customHeight="1" x14ac:dyDescent="0.2">
      <c r="L3461" s="270"/>
    </row>
    <row r="3462" spans="12:12" ht="18" customHeight="1" x14ac:dyDescent="0.2">
      <c r="L3462" s="270"/>
    </row>
    <row r="3463" spans="12:12" ht="18" customHeight="1" x14ac:dyDescent="0.2">
      <c r="L3463" s="270"/>
    </row>
    <row r="3464" spans="12:12" ht="18" customHeight="1" x14ac:dyDescent="0.2">
      <c r="L3464" s="270"/>
    </row>
    <row r="3465" spans="12:12" ht="18" customHeight="1" x14ac:dyDescent="0.2">
      <c r="L3465" s="270"/>
    </row>
    <row r="3466" spans="12:12" ht="18" customHeight="1" x14ac:dyDescent="0.2">
      <c r="L3466" s="270"/>
    </row>
    <row r="3467" spans="12:12" ht="18" customHeight="1" x14ac:dyDescent="0.2">
      <c r="L3467" s="270"/>
    </row>
    <row r="3468" spans="12:12" ht="18" customHeight="1" x14ac:dyDescent="0.2">
      <c r="L3468" s="270"/>
    </row>
    <row r="3469" spans="12:12" ht="18" customHeight="1" x14ac:dyDescent="0.2">
      <c r="L3469" s="270"/>
    </row>
    <row r="3470" spans="12:12" ht="18" customHeight="1" x14ac:dyDescent="0.2">
      <c r="L3470" s="270"/>
    </row>
    <row r="3471" spans="12:12" ht="18" customHeight="1" x14ac:dyDescent="0.2">
      <c r="L3471" s="270"/>
    </row>
    <row r="3472" spans="12:12" ht="18" customHeight="1" x14ac:dyDescent="0.2">
      <c r="L3472" s="270"/>
    </row>
    <row r="3473" spans="12:12" ht="18" customHeight="1" x14ac:dyDescent="0.2">
      <c r="L3473" s="270"/>
    </row>
    <row r="3474" spans="12:12" ht="18" customHeight="1" x14ac:dyDescent="0.2">
      <c r="L3474" s="270"/>
    </row>
    <row r="3475" spans="12:12" ht="18" customHeight="1" x14ac:dyDescent="0.2">
      <c r="L3475" s="270"/>
    </row>
    <row r="3476" spans="12:12" ht="18" customHeight="1" x14ac:dyDescent="0.2">
      <c r="L3476" s="270"/>
    </row>
    <row r="3477" spans="12:12" ht="18" customHeight="1" x14ac:dyDescent="0.2">
      <c r="L3477" s="270"/>
    </row>
    <row r="3478" spans="12:12" ht="18" customHeight="1" x14ac:dyDescent="0.2">
      <c r="L3478" s="270"/>
    </row>
    <row r="3479" spans="12:12" ht="18" customHeight="1" x14ac:dyDescent="0.2">
      <c r="L3479" s="270"/>
    </row>
    <row r="3480" spans="12:12" ht="18" customHeight="1" x14ac:dyDescent="0.2">
      <c r="L3480" s="270"/>
    </row>
    <row r="3481" spans="12:12" ht="18" customHeight="1" x14ac:dyDescent="0.2">
      <c r="L3481" s="270"/>
    </row>
    <row r="3482" spans="12:12" ht="18" customHeight="1" x14ac:dyDescent="0.2">
      <c r="L3482" s="270"/>
    </row>
    <row r="3483" spans="12:12" ht="18" customHeight="1" x14ac:dyDescent="0.2">
      <c r="L3483" s="270"/>
    </row>
    <row r="3484" spans="12:12" ht="18" customHeight="1" x14ac:dyDescent="0.2">
      <c r="L3484" s="270"/>
    </row>
    <row r="3485" spans="12:12" ht="18" customHeight="1" x14ac:dyDescent="0.2">
      <c r="L3485" s="270"/>
    </row>
    <row r="3486" spans="12:12" ht="18" customHeight="1" x14ac:dyDescent="0.2">
      <c r="L3486" s="270"/>
    </row>
    <row r="3487" spans="12:12" ht="18" customHeight="1" x14ac:dyDescent="0.2">
      <c r="L3487" s="270"/>
    </row>
    <row r="3488" spans="12:12" ht="18" customHeight="1" x14ac:dyDescent="0.2">
      <c r="L3488" s="270"/>
    </row>
    <row r="3489" spans="12:12" ht="18" customHeight="1" x14ac:dyDescent="0.2">
      <c r="L3489" s="270"/>
    </row>
    <row r="3490" spans="12:12" ht="18" customHeight="1" x14ac:dyDescent="0.2">
      <c r="L3490" s="270"/>
    </row>
    <row r="3491" spans="12:12" ht="18" customHeight="1" x14ac:dyDescent="0.2">
      <c r="L3491" s="270"/>
    </row>
    <row r="3492" spans="12:12" ht="18" customHeight="1" x14ac:dyDescent="0.2">
      <c r="L3492" s="270"/>
    </row>
    <row r="3493" spans="12:12" ht="18" customHeight="1" x14ac:dyDescent="0.2">
      <c r="L3493" s="270"/>
    </row>
    <row r="3494" spans="12:12" ht="18" customHeight="1" x14ac:dyDescent="0.2">
      <c r="L3494" s="270"/>
    </row>
    <row r="3495" spans="12:12" ht="18" customHeight="1" x14ac:dyDescent="0.2">
      <c r="L3495" s="270"/>
    </row>
    <row r="3496" spans="12:12" ht="18" customHeight="1" x14ac:dyDescent="0.2">
      <c r="L3496" s="270"/>
    </row>
    <row r="3497" spans="12:12" ht="18" customHeight="1" x14ac:dyDescent="0.2">
      <c r="L3497" s="270"/>
    </row>
    <row r="3498" spans="12:12" ht="18" customHeight="1" x14ac:dyDescent="0.2">
      <c r="L3498" s="270"/>
    </row>
    <row r="3499" spans="12:12" ht="18" customHeight="1" x14ac:dyDescent="0.2">
      <c r="L3499" s="270"/>
    </row>
    <row r="3500" spans="12:12" ht="18" customHeight="1" x14ac:dyDescent="0.2">
      <c r="L3500" s="270"/>
    </row>
    <row r="3501" spans="12:12" ht="18" customHeight="1" x14ac:dyDescent="0.2">
      <c r="L3501" s="270"/>
    </row>
    <row r="3502" spans="12:12" ht="18" customHeight="1" x14ac:dyDescent="0.2">
      <c r="L3502" s="270"/>
    </row>
    <row r="3503" spans="12:12" ht="18" customHeight="1" x14ac:dyDescent="0.2">
      <c r="L3503" s="270"/>
    </row>
    <row r="3504" spans="12:12" ht="18" customHeight="1" x14ac:dyDescent="0.2">
      <c r="L3504" s="270"/>
    </row>
    <row r="3505" spans="12:12" ht="18" customHeight="1" x14ac:dyDescent="0.2">
      <c r="L3505" s="270"/>
    </row>
    <row r="3506" spans="12:12" ht="18" customHeight="1" x14ac:dyDescent="0.2">
      <c r="L3506" s="270"/>
    </row>
    <row r="3507" spans="12:12" ht="18" customHeight="1" x14ac:dyDescent="0.2">
      <c r="L3507" s="270"/>
    </row>
    <row r="3508" spans="12:12" ht="18" customHeight="1" x14ac:dyDescent="0.2">
      <c r="L3508" s="270"/>
    </row>
    <row r="3509" spans="12:12" ht="18" customHeight="1" x14ac:dyDescent="0.2">
      <c r="L3509" s="270"/>
    </row>
    <row r="3510" spans="12:12" ht="18" customHeight="1" x14ac:dyDescent="0.2">
      <c r="L3510" s="270"/>
    </row>
    <row r="3511" spans="12:12" ht="18" customHeight="1" x14ac:dyDescent="0.2">
      <c r="L3511" s="270"/>
    </row>
    <row r="3512" spans="12:12" ht="18" customHeight="1" x14ac:dyDescent="0.2">
      <c r="L3512" s="270"/>
    </row>
    <row r="3513" spans="12:12" ht="18" customHeight="1" x14ac:dyDescent="0.2">
      <c r="L3513" s="270"/>
    </row>
    <row r="3514" spans="12:12" ht="18" customHeight="1" x14ac:dyDescent="0.2">
      <c r="L3514" s="270"/>
    </row>
    <row r="3515" spans="12:12" ht="18" customHeight="1" x14ac:dyDescent="0.2">
      <c r="L3515" s="270"/>
    </row>
    <row r="3516" spans="12:12" ht="18" customHeight="1" x14ac:dyDescent="0.2">
      <c r="L3516" s="270"/>
    </row>
    <row r="3517" spans="12:12" ht="18" customHeight="1" x14ac:dyDescent="0.2">
      <c r="L3517" s="270"/>
    </row>
    <row r="3518" spans="12:12" ht="18" customHeight="1" x14ac:dyDescent="0.2">
      <c r="L3518" s="270"/>
    </row>
    <row r="3519" spans="12:12" ht="18" customHeight="1" x14ac:dyDescent="0.2">
      <c r="L3519" s="270"/>
    </row>
    <row r="3520" spans="12:12" ht="18" customHeight="1" x14ac:dyDescent="0.2">
      <c r="L3520" s="270"/>
    </row>
    <row r="3521" spans="12:12" ht="18" customHeight="1" x14ac:dyDescent="0.2">
      <c r="L3521" s="270"/>
    </row>
    <row r="3522" spans="12:12" ht="18" customHeight="1" x14ac:dyDescent="0.2">
      <c r="L3522" s="270"/>
    </row>
    <row r="3523" spans="12:12" ht="18" customHeight="1" x14ac:dyDescent="0.2">
      <c r="L3523" s="270"/>
    </row>
    <row r="3524" spans="12:12" ht="18" customHeight="1" x14ac:dyDescent="0.2">
      <c r="L3524" s="270"/>
    </row>
    <row r="3525" spans="12:12" ht="18" customHeight="1" x14ac:dyDescent="0.2">
      <c r="L3525" s="270"/>
    </row>
    <row r="3526" spans="12:12" ht="18" customHeight="1" x14ac:dyDescent="0.2">
      <c r="L3526" s="270"/>
    </row>
    <row r="3527" spans="12:12" ht="18" customHeight="1" x14ac:dyDescent="0.2">
      <c r="L3527" s="270"/>
    </row>
    <row r="3528" spans="12:12" ht="18" customHeight="1" x14ac:dyDescent="0.2">
      <c r="L3528" s="270"/>
    </row>
    <row r="3529" spans="12:12" ht="18" customHeight="1" x14ac:dyDescent="0.2">
      <c r="L3529" s="270"/>
    </row>
    <row r="3530" spans="12:12" ht="18" customHeight="1" x14ac:dyDescent="0.2">
      <c r="L3530" s="270"/>
    </row>
    <row r="3531" spans="12:12" ht="18" customHeight="1" x14ac:dyDescent="0.2">
      <c r="L3531" s="270"/>
    </row>
    <row r="3532" spans="12:12" ht="18" customHeight="1" x14ac:dyDescent="0.2">
      <c r="L3532" s="270"/>
    </row>
    <row r="3533" spans="12:12" ht="18" customHeight="1" x14ac:dyDescent="0.2">
      <c r="L3533" s="270"/>
    </row>
    <row r="3534" spans="12:12" ht="18" customHeight="1" x14ac:dyDescent="0.2">
      <c r="L3534" s="270"/>
    </row>
    <row r="3535" spans="12:12" ht="18" customHeight="1" x14ac:dyDescent="0.2">
      <c r="L3535" s="270"/>
    </row>
    <row r="3536" spans="12:12" ht="18" customHeight="1" x14ac:dyDescent="0.2">
      <c r="L3536" s="270"/>
    </row>
    <row r="3537" spans="12:12" ht="18" customHeight="1" x14ac:dyDescent="0.2">
      <c r="L3537" s="270"/>
    </row>
    <row r="3538" spans="12:12" ht="18" customHeight="1" x14ac:dyDescent="0.2">
      <c r="L3538" s="270"/>
    </row>
    <row r="3539" spans="12:12" ht="18" customHeight="1" x14ac:dyDescent="0.2">
      <c r="L3539" s="270"/>
    </row>
    <row r="3540" spans="12:12" ht="18" customHeight="1" x14ac:dyDescent="0.2">
      <c r="L3540" s="270"/>
    </row>
    <row r="3541" spans="12:12" ht="18" customHeight="1" x14ac:dyDescent="0.2">
      <c r="L3541" s="270"/>
    </row>
    <row r="3542" spans="12:12" ht="18" customHeight="1" x14ac:dyDescent="0.2">
      <c r="L3542" s="270"/>
    </row>
    <row r="3543" spans="12:12" ht="18" customHeight="1" x14ac:dyDescent="0.2">
      <c r="L3543" s="270"/>
    </row>
    <row r="3544" spans="12:12" ht="18" customHeight="1" x14ac:dyDescent="0.2">
      <c r="L3544" s="270"/>
    </row>
    <row r="3545" spans="12:12" ht="18" customHeight="1" x14ac:dyDescent="0.2">
      <c r="L3545" s="270"/>
    </row>
    <row r="3546" spans="12:12" ht="18" customHeight="1" x14ac:dyDescent="0.2">
      <c r="L3546" s="270"/>
    </row>
    <row r="3547" spans="12:12" ht="18" customHeight="1" x14ac:dyDescent="0.2">
      <c r="L3547" s="270"/>
    </row>
    <row r="3548" spans="12:12" ht="18" customHeight="1" x14ac:dyDescent="0.2">
      <c r="L3548" s="270"/>
    </row>
    <row r="3549" spans="12:12" ht="18" customHeight="1" x14ac:dyDescent="0.2">
      <c r="L3549" s="270"/>
    </row>
    <row r="3550" spans="12:12" ht="18" customHeight="1" x14ac:dyDescent="0.2">
      <c r="L3550" s="270"/>
    </row>
    <row r="3551" spans="12:12" ht="18" customHeight="1" x14ac:dyDescent="0.2">
      <c r="L3551" s="270"/>
    </row>
    <row r="3552" spans="12:12" ht="18" customHeight="1" x14ac:dyDescent="0.2">
      <c r="L3552" s="270"/>
    </row>
    <row r="3553" spans="12:12" ht="18" customHeight="1" x14ac:dyDescent="0.2">
      <c r="L3553" s="270"/>
    </row>
    <row r="3554" spans="12:12" ht="18" customHeight="1" x14ac:dyDescent="0.2">
      <c r="L3554" s="270"/>
    </row>
    <row r="3555" spans="12:12" ht="18" customHeight="1" x14ac:dyDescent="0.2">
      <c r="L3555" s="270"/>
    </row>
    <row r="3556" spans="12:12" ht="18" customHeight="1" x14ac:dyDescent="0.2">
      <c r="L3556" s="270"/>
    </row>
    <row r="3557" spans="12:12" ht="18" customHeight="1" x14ac:dyDescent="0.2">
      <c r="L3557" s="270"/>
    </row>
    <row r="3558" spans="12:12" ht="18" customHeight="1" x14ac:dyDescent="0.2">
      <c r="L3558" s="270"/>
    </row>
    <row r="3559" spans="12:12" ht="18" customHeight="1" x14ac:dyDescent="0.2">
      <c r="L3559" s="270"/>
    </row>
    <row r="3560" spans="12:12" ht="18" customHeight="1" x14ac:dyDescent="0.2">
      <c r="L3560" s="270"/>
    </row>
    <row r="3561" spans="12:12" ht="18" customHeight="1" x14ac:dyDescent="0.2">
      <c r="L3561" s="270"/>
    </row>
    <row r="3562" spans="12:12" ht="18" customHeight="1" x14ac:dyDescent="0.2">
      <c r="L3562" s="270"/>
    </row>
    <row r="3563" spans="12:12" ht="18" customHeight="1" x14ac:dyDescent="0.2">
      <c r="L3563" s="270"/>
    </row>
    <row r="3564" spans="12:12" ht="18" customHeight="1" x14ac:dyDescent="0.2">
      <c r="L3564" s="270"/>
    </row>
    <row r="3565" spans="12:12" ht="18" customHeight="1" x14ac:dyDescent="0.2">
      <c r="L3565" s="270"/>
    </row>
    <row r="3566" spans="12:12" ht="18" customHeight="1" x14ac:dyDescent="0.2">
      <c r="L3566" s="270"/>
    </row>
    <row r="3567" spans="12:12" ht="18" customHeight="1" x14ac:dyDescent="0.2">
      <c r="L3567" s="270"/>
    </row>
    <row r="3568" spans="12:12" ht="18" customHeight="1" x14ac:dyDescent="0.2">
      <c r="L3568" s="270"/>
    </row>
    <row r="3569" spans="12:12" ht="18" customHeight="1" x14ac:dyDescent="0.2">
      <c r="L3569" s="270"/>
    </row>
    <row r="3570" spans="12:12" ht="18" customHeight="1" x14ac:dyDescent="0.2">
      <c r="L3570" s="270"/>
    </row>
    <row r="3571" spans="12:12" ht="18" customHeight="1" x14ac:dyDescent="0.2">
      <c r="L3571" s="270"/>
    </row>
    <row r="3572" spans="12:12" ht="18" customHeight="1" x14ac:dyDescent="0.2">
      <c r="L3572" s="270"/>
    </row>
    <row r="3573" spans="12:12" ht="18" customHeight="1" x14ac:dyDescent="0.2">
      <c r="L3573" s="270"/>
    </row>
    <row r="3574" spans="12:12" ht="18" customHeight="1" x14ac:dyDescent="0.2">
      <c r="L3574" s="270"/>
    </row>
    <row r="3575" spans="12:12" ht="18" customHeight="1" x14ac:dyDescent="0.2">
      <c r="L3575" s="270"/>
    </row>
    <row r="3576" spans="12:12" ht="18" customHeight="1" x14ac:dyDescent="0.2">
      <c r="L3576" s="270"/>
    </row>
    <row r="3577" spans="12:12" ht="18" customHeight="1" x14ac:dyDescent="0.2">
      <c r="L3577" s="270"/>
    </row>
    <row r="3578" spans="12:12" ht="18" customHeight="1" x14ac:dyDescent="0.2">
      <c r="L3578" s="270"/>
    </row>
    <row r="3579" spans="12:12" ht="18" customHeight="1" x14ac:dyDescent="0.2">
      <c r="L3579" s="270"/>
    </row>
    <row r="3580" spans="12:12" ht="18" customHeight="1" x14ac:dyDescent="0.2">
      <c r="L3580" s="270"/>
    </row>
    <row r="3581" spans="12:12" ht="18" customHeight="1" x14ac:dyDescent="0.2">
      <c r="L3581" s="270"/>
    </row>
    <row r="3582" spans="12:12" ht="18" customHeight="1" x14ac:dyDescent="0.2">
      <c r="L3582" s="270"/>
    </row>
    <row r="3583" spans="12:12" ht="18" customHeight="1" x14ac:dyDescent="0.2">
      <c r="L3583" s="270"/>
    </row>
    <row r="3584" spans="12:12" ht="18" customHeight="1" x14ac:dyDescent="0.2">
      <c r="L3584" s="270"/>
    </row>
    <row r="3585" spans="12:12" ht="18" customHeight="1" x14ac:dyDescent="0.2">
      <c r="L3585" s="270"/>
    </row>
    <row r="3586" spans="12:12" ht="18" customHeight="1" x14ac:dyDescent="0.2">
      <c r="L3586" s="270"/>
    </row>
    <row r="3587" spans="12:12" ht="18" customHeight="1" x14ac:dyDescent="0.2">
      <c r="L3587" s="270"/>
    </row>
    <row r="3588" spans="12:12" ht="18" customHeight="1" x14ac:dyDescent="0.2">
      <c r="L3588" s="270"/>
    </row>
    <row r="3589" spans="12:12" ht="18" customHeight="1" x14ac:dyDescent="0.2">
      <c r="L3589" s="270"/>
    </row>
    <row r="3590" spans="12:12" ht="18" customHeight="1" x14ac:dyDescent="0.2">
      <c r="L3590" s="270"/>
    </row>
    <row r="3591" spans="12:12" ht="18" customHeight="1" x14ac:dyDescent="0.2">
      <c r="L3591" s="270"/>
    </row>
    <row r="3592" spans="12:12" ht="18" customHeight="1" x14ac:dyDescent="0.2">
      <c r="L3592" s="270"/>
    </row>
    <row r="3593" spans="12:12" ht="18" customHeight="1" x14ac:dyDescent="0.2">
      <c r="L3593" s="270"/>
    </row>
    <row r="3594" spans="12:12" ht="18" customHeight="1" x14ac:dyDescent="0.2">
      <c r="L3594" s="270"/>
    </row>
    <row r="3595" spans="12:12" ht="18" customHeight="1" x14ac:dyDescent="0.2">
      <c r="L3595" s="270"/>
    </row>
    <row r="3596" spans="12:12" ht="18" customHeight="1" x14ac:dyDescent="0.2">
      <c r="L3596" s="270"/>
    </row>
    <row r="3597" spans="12:12" ht="18" customHeight="1" x14ac:dyDescent="0.2">
      <c r="L3597" s="270"/>
    </row>
    <row r="3598" spans="12:12" ht="18" customHeight="1" x14ac:dyDescent="0.2">
      <c r="L3598" s="270"/>
    </row>
    <row r="3599" spans="12:12" ht="18" customHeight="1" x14ac:dyDescent="0.2">
      <c r="L3599" s="270"/>
    </row>
    <row r="3600" spans="12:12" ht="18" customHeight="1" x14ac:dyDescent="0.2">
      <c r="L3600" s="270"/>
    </row>
    <row r="3601" spans="12:12" ht="18" customHeight="1" x14ac:dyDescent="0.2">
      <c r="L3601" s="270"/>
    </row>
    <row r="3602" spans="12:12" ht="18" customHeight="1" x14ac:dyDescent="0.2">
      <c r="L3602" s="270"/>
    </row>
    <row r="3603" spans="12:12" ht="18" customHeight="1" x14ac:dyDescent="0.2">
      <c r="L3603" s="270"/>
    </row>
    <row r="3604" spans="12:12" ht="18" customHeight="1" x14ac:dyDescent="0.2">
      <c r="L3604" s="270"/>
    </row>
    <row r="3605" spans="12:12" ht="18" customHeight="1" x14ac:dyDescent="0.2">
      <c r="L3605" s="270"/>
    </row>
    <row r="3606" spans="12:12" ht="18" customHeight="1" x14ac:dyDescent="0.2">
      <c r="L3606" s="270"/>
    </row>
    <row r="3607" spans="12:12" ht="18" customHeight="1" x14ac:dyDescent="0.2">
      <c r="L3607" s="270"/>
    </row>
    <row r="3608" spans="12:12" ht="18" customHeight="1" x14ac:dyDescent="0.2">
      <c r="L3608" s="270"/>
    </row>
    <row r="3609" spans="12:12" ht="18" customHeight="1" x14ac:dyDescent="0.2">
      <c r="L3609" s="270"/>
    </row>
    <row r="3610" spans="12:12" ht="18" customHeight="1" x14ac:dyDescent="0.2">
      <c r="L3610" s="270"/>
    </row>
    <row r="3611" spans="12:12" ht="18" customHeight="1" x14ac:dyDescent="0.2">
      <c r="L3611" s="270"/>
    </row>
    <row r="3612" spans="12:12" ht="18" customHeight="1" x14ac:dyDescent="0.2">
      <c r="L3612" s="270"/>
    </row>
    <row r="3613" spans="12:12" ht="18" customHeight="1" x14ac:dyDescent="0.2">
      <c r="L3613" s="270"/>
    </row>
    <row r="3614" spans="12:12" ht="18" customHeight="1" x14ac:dyDescent="0.2">
      <c r="L3614" s="270"/>
    </row>
    <row r="3615" spans="12:12" ht="18" customHeight="1" x14ac:dyDescent="0.2">
      <c r="L3615" s="270"/>
    </row>
    <row r="3616" spans="12:12" ht="18" customHeight="1" x14ac:dyDescent="0.2">
      <c r="L3616" s="270"/>
    </row>
    <row r="3617" spans="12:12" ht="18" customHeight="1" x14ac:dyDescent="0.2">
      <c r="L3617" s="270"/>
    </row>
    <row r="3618" spans="12:12" ht="18" customHeight="1" x14ac:dyDescent="0.2">
      <c r="L3618" s="270"/>
    </row>
    <row r="3619" spans="12:12" ht="18" customHeight="1" x14ac:dyDescent="0.2">
      <c r="L3619" s="270"/>
    </row>
    <row r="3620" spans="12:12" ht="18" customHeight="1" x14ac:dyDescent="0.2">
      <c r="L3620" s="270"/>
    </row>
    <row r="3621" spans="12:12" ht="18" customHeight="1" x14ac:dyDescent="0.2">
      <c r="L3621" s="270"/>
    </row>
    <row r="3622" spans="12:12" ht="18" customHeight="1" x14ac:dyDescent="0.2">
      <c r="L3622" s="270"/>
    </row>
    <row r="3623" spans="12:12" ht="18" customHeight="1" x14ac:dyDescent="0.2">
      <c r="L3623" s="270"/>
    </row>
    <row r="3624" spans="12:12" ht="18" customHeight="1" x14ac:dyDescent="0.2">
      <c r="L3624" s="270"/>
    </row>
    <row r="3625" spans="12:12" ht="18" customHeight="1" x14ac:dyDescent="0.2">
      <c r="L3625" s="270"/>
    </row>
    <row r="3626" spans="12:12" ht="18" customHeight="1" x14ac:dyDescent="0.2">
      <c r="L3626" s="270"/>
    </row>
    <row r="3627" spans="12:12" ht="18" customHeight="1" x14ac:dyDescent="0.2">
      <c r="L3627" s="270"/>
    </row>
    <row r="3628" spans="12:12" ht="18" customHeight="1" x14ac:dyDescent="0.2">
      <c r="L3628" s="270"/>
    </row>
    <row r="3629" spans="12:12" ht="18" customHeight="1" x14ac:dyDescent="0.2">
      <c r="L3629" s="270"/>
    </row>
    <row r="3630" spans="12:12" ht="18" customHeight="1" x14ac:dyDescent="0.2">
      <c r="L3630" s="270"/>
    </row>
    <row r="3631" spans="12:12" ht="18" customHeight="1" x14ac:dyDescent="0.2">
      <c r="L3631" s="270"/>
    </row>
    <row r="3632" spans="12:12" ht="18" customHeight="1" x14ac:dyDescent="0.2">
      <c r="L3632" s="270"/>
    </row>
    <row r="3633" spans="12:12" ht="18" customHeight="1" x14ac:dyDescent="0.2">
      <c r="L3633" s="270"/>
    </row>
    <row r="3634" spans="12:12" ht="18" customHeight="1" x14ac:dyDescent="0.2">
      <c r="L3634" s="270"/>
    </row>
    <row r="3635" spans="12:12" ht="18" customHeight="1" x14ac:dyDescent="0.2">
      <c r="L3635" s="270"/>
    </row>
    <row r="3636" spans="12:12" ht="18" customHeight="1" x14ac:dyDescent="0.2">
      <c r="L3636" s="270"/>
    </row>
    <row r="3637" spans="12:12" ht="18" customHeight="1" x14ac:dyDescent="0.2">
      <c r="L3637" s="270"/>
    </row>
    <row r="3638" spans="12:12" ht="18" customHeight="1" x14ac:dyDescent="0.2">
      <c r="L3638" s="270"/>
    </row>
    <row r="3639" spans="12:12" ht="18" customHeight="1" x14ac:dyDescent="0.2">
      <c r="L3639" s="270"/>
    </row>
    <row r="3640" spans="12:12" ht="18" customHeight="1" x14ac:dyDescent="0.2">
      <c r="L3640" s="270"/>
    </row>
    <row r="3641" spans="12:12" ht="18" customHeight="1" x14ac:dyDescent="0.2">
      <c r="L3641" s="270"/>
    </row>
    <row r="3642" spans="12:12" ht="18" customHeight="1" x14ac:dyDescent="0.2">
      <c r="L3642" s="270"/>
    </row>
    <row r="3643" spans="12:12" ht="18" customHeight="1" x14ac:dyDescent="0.2">
      <c r="L3643" s="270"/>
    </row>
    <row r="3644" spans="12:12" ht="18" customHeight="1" x14ac:dyDescent="0.2">
      <c r="L3644" s="270"/>
    </row>
    <row r="3645" spans="12:12" ht="18" customHeight="1" x14ac:dyDescent="0.2">
      <c r="L3645" s="270"/>
    </row>
    <row r="3646" spans="12:12" ht="18" customHeight="1" x14ac:dyDescent="0.2">
      <c r="L3646" s="270"/>
    </row>
    <row r="3647" spans="12:12" ht="18" customHeight="1" x14ac:dyDescent="0.2">
      <c r="L3647" s="270"/>
    </row>
    <row r="3648" spans="12:12" ht="18" customHeight="1" x14ac:dyDescent="0.2">
      <c r="L3648" s="270"/>
    </row>
    <row r="3649" spans="12:12" ht="18" customHeight="1" x14ac:dyDescent="0.2">
      <c r="L3649" s="270"/>
    </row>
    <row r="3650" spans="12:12" ht="18" customHeight="1" x14ac:dyDescent="0.2">
      <c r="L3650" s="270"/>
    </row>
    <row r="3651" spans="12:12" ht="18" customHeight="1" x14ac:dyDescent="0.2">
      <c r="L3651" s="270"/>
    </row>
    <row r="3652" spans="12:12" ht="18" customHeight="1" x14ac:dyDescent="0.2">
      <c r="L3652" s="270"/>
    </row>
    <row r="3653" spans="12:12" ht="18" customHeight="1" x14ac:dyDescent="0.2">
      <c r="L3653" s="270"/>
    </row>
    <row r="3654" spans="12:12" ht="18" customHeight="1" x14ac:dyDescent="0.2">
      <c r="L3654" s="270"/>
    </row>
    <row r="3655" spans="12:12" ht="18" customHeight="1" x14ac:dyDescent="0.2">
      <c r="L3655" s="270"/>
    </row>
    <row r="3656" spans="12:12" ht="18" customHeight="1" x14ac:dyDescent="0.2">
      <c r="L3656" s="270"/>
    </row>
    <row r="3657" spans="12:12" ht="18" customHeight="1" x14ac:dyDescent="0.2">
      <c r="L3657" s="270"/>
    </row>
    <row r="3658" spans="12:12" ht="18" customHeight="1" x14ac:dyDescent="0.2">
      <c r="L3658" s="270"/>
    </row>
    <row r="3659" spans="12:12" ht="18" customHeight="1" x14ac:dyDescent="0.2">
      <c r="L3659" s="270"/>
    </row>
    <row r="3660" spans="12:12" ht="18" customHeight="1" x14ac:dyDescent="0.2">
      <c r="L3660" s="270"/>
    </row>
    <row r="3661" spans="12:12" ht="18" customHeight="1" x14ac:dyDescent="0.2">
      <c r="L3661" s="270"/>
    </row>
    <row r="3662" spans="12:12" ht="18" customHeight="1" x14ac:dyDescent="0.2">
      <c r="L3662" s="270"/>
    </row>
    <row r="3663" spans="12:12" ht="18" customHeight="1" x14ac:dyDescent="0.2">
      <c r="L3663" s="270"/>
    </row>
    <row r="3664" spans="12:12" ht="18" customHeight="1" x14ac:dyDescent="0.2">
      <c r="L3664" s="270"/>
    </row>
    <row r="3665" spans="12:12" ht="18" customHeight="1" x14ac:dyDescent="0.2">
      <c r="L3665" s="270"/>
    </row>
    <row r="3666" spans="12:12" ht="18" customHeight="1" x14ac:dyDescent="0.2">
      <c r="L3666" s="270"/>
    </row>
    <row r="3667" spans="12:12" ht="18" customHeight="1" x14ac:dyDescent="0.2">
      <c r="L3667" s="270"/>
    </row>
    <row r="3668" spans="12:12" ht="18" customHeight="1" x14ac:dyDescent="0.2">
      <c r="L3668" s="270"/>
    </row>
    <row r="3669" spans="12:12" ht="18" customHeight="1" x14ac:dyDescent="0.2">
      <c r="L3669" s="270"/>
    </row>
    <row r="3670" spans="12:12" ht="18" customHeight="1" x14ac:dyDescent="0.2">
      <c r="L3670" s="270"/>
    </row>
    <row r="3671" spans="12:12" ht="18" customHeight="1" x14ac:dyDescent="0.2">
      <c r="L3671" s="270"/>
    </row>
    <row r="3672" spans="12:12" ht="18" customHeight="1" x14ac:dyDescent="0.2">
      <c r="L3672" s="270"/>
    </row>
    <row r="3673" spans="12:12" ht="18" customHeight="1" x14ac:dyDescent="0.2">
      <c r="L3673" s="270"/>
    </row>
    <row r="3674" spans="12:12" ht="18" customHeight="1" x14ac:dyDescent="0.2">
      <c r="L3674" s="270"/>
    </row>
    <row r="3675" spans="12:12" ht="18" customHeight="1" x14ac:dyDescent="0.2">
      <c r="L3675" s="270"/>
    </row>
    <row r="3676" spans="12:12" ht="18" customHeight="1" x14ac:dyDescent="0.2">
      <c r="L3676" s="270"/>
    </row>
    <row r="3677" spans="12:12" ht="18" customHeight="1" x14ac:dyDescent="0.2">
      <c r="L3677" s="270"/>
    </row>
    <row r="3678" spans="12:12" ht="18" customHeight="1" x14ac:dyDescent="0.2">
      <c r="L3678" s="270"/>
    </row>
    <row r="3679" spans="12:12" ht="18" customHeight="1" x14ac:dyDescent="0.2">
      <c r="L3679" s="270"/>
    </row>
    <row r="3680" spans="12:12" ht="18" customHeight="1" x14ac:dyDescent="0.2">
      <c r="L3680" s="270"/>
    </row>
    <row r="3681" spans="12:12" ht="18" customHeight="1" x14ac:dyDescent="0.2">
      <c r="L3681" s="270"/>
    </row>
    <row r="3682" spans="12:12" ht="18" customHeight="1" x14ac:dyDescent="0.2">
      <c r="L3682" s="270"/>
    </row>
    <row r="3683" spans="12:12" ht="18" customHeight="1" x14ac:dyDescent="0.2">
      <c r="L3683" s="270"/>
    </row>
    <row r="3684" spans="12:12" ht="18" customHeight="1" x14ac:dyDescent="0.2">
      <c r="L3684" s="270"/>
    </row>
    <row r="3685" spans="12:12" ht="18" customHeight="1" x14ac:dyDescent="0.2">
      <c r="L3685" s="270"/>
    </row>
    <row r="3686" spans="12:12" ht="18" customHeight="1" x14ac:dyDescent="0.2">
      <c r="L3686" s="270"/>
    </row>
    <row r="3687" spans="12:12" ht="18" customHeight="1" x14ac:dyDescent="0.2">
      <c r="L3687" s="270"/>
    </row>
    <row r="3688" spans="12:12" ht="18" customHeight="1" x14ac:dyDescent="0.2">
      <c r="L3688" s="270"/>
    </row>
    <row r="3689" spans="12:12" ht="18" customHeight="1" x14ac:dyDescent="0.2">
      <c r="L3689" s="270"/>
    </row>
    <row r="3690" spans="12:12" ht="18" customHeight="1" x14ac:dyDescent="0.2">
      <c r="L3690" s="270"/>
    </row>
    <row r="3691" spans="12:12" ht="18" customHeight="1" x14ac:dyDescent="0.2">
      <c r="L3691" s="270"/>
    </row>
    <row r="3692" spans="12:12" ht="18" customHeight="1" x14ac:dyDescent="0.2">
      <c r="L3692" s="270"/>
    </row>
    <row r="3693" spans="12:12" ht="18" customHeight="1" x14ac:dyDescent="0.2">
      <c r="L3693" s="270"/>
    </row>
    <row r="3694" spans="12:12" ht="18" customHeight="1" x14ac:dyDescent="0.2">
      <c r="L3694" s="270"/>
    </row>
    <row r="3695" spans="12:12" ht="18" customHeight="1" x14ac:dyDescent="0.2">
      <c r="L3695" s="270"/>
    </row>
    <row r="3696" spans="12:12" ht="18" customHeight="1" x14ac:dyDescent="0.2">
      <c r="L3696" s="270"/>
    </row>
    <row r="3697" spans="12:12" ht="18" customHeight="1" x14ac:dyDescent="0.2">
      <c r="L3697" s="270"/>
    </row>
    <row r="3698" spans="12:12" ht="18" customHeight="1" x14ac:dyDescent="0.2">
      <c r="L3698" s="270"/>
    </row>
    <row r="3699" spans="12:12" ht="18" customHeight="1" x14ac:dyDescent="0.2">
      <c r="L3699" s="270"/>
    </row>
    <row r="3700" spans="12:12" ht="18" customHeight="1" x14ac:dyDescent="0.2">
      <c r="L3700" s="270"/>
    </row>
    <row r="3701" spans="12:12" ht="18" customHeight="1" x14ac:dyDescent="0.2">
      <c r="L3701" s="270"/>
    </row>
    <row r="3702" spans="12:12" ht="18" customHeight="1" x14ac:dyDescent="0.2">
      <c r="L3702" s="270"/>
    </row>
    <row r="3703" spans="12:12" ht="18" customHeight="1" x14ac:dyDescent="0.2">
      <c r="L3703" s="270"/>
    </row>
    <row r="3704" spans="12:12" ht="18" customHeight="1" x14ac:dyDescent="0.2">
      <c r="L3704" s="270"/>
    </row>
    <row r="3705" spans="12:12" ht="18" customHeight="1" x14ac:dyDescent="0.2">
      <c r="L3705" s="270"/>
    </row>
    <row r="3706" spans="12:12" ht="18" customHeight="1" x14ac:dyDescent="0.2">
      <c r="L3706" s="270"/>
    </row>
    <row r="3707" spans="12:12" ht="18" customHeight="1" x14ac:dyDescent="0.2">
      <c r="L3707" s="270"/>
    </row>
    <row r="3708" spans="12:12" ht="18" customHeight="1" x14ac:dyDescent="0.2">
      <c r="L3708" s="270"/>
    </row>
    <row r="3709" spans="12:12" ht="18" customHeight="1" x14ac:dyDescent="0.2">
      <c r="L3709" s="270"/>
    </row>
    <row r="3710" spans="12:12" ht="18" customHeight="1" x14ac:dyDescent="0.2">
      <c r="L3710" s="270"/>
    </row>
    <row r="3711" spans="12:12" ht="18" customHeight="1" x14ac:dyDescent="0.2">
      <c r="L3711" s="270"/>
    </row>
    <row r="3712" spans="12:12" ht="18" customHeight="1" x14ac:dyDescent="0.2">
      <c r="L3712" s="270"/>
    </row>
    <row r="3713" spans="12:12" ht="18" customHeight="1" x14ac:dyDescent="0.2">
      <c r="L3713" s="270"/>
    </row>
    <row r="3714" spans="12:12" ht="18" customHeight="1" x14ac:dyDescent="0.2">
      <c r="L3714" s="270"/>
    </row>
    <row r="3715" spans="12:12" ht="18" customHeight="1" x14ac:dyDescent="0.2">
      <c r="L3715" s="270"/>
    </row>
    <row r="3716" spans="12:12" ht="18" customHeight="1" x14ac:dyDescent="0.2">
      <c r="L3716" s="270"/>
    </row>
    <row r="3717" spans="12:12" ht="18" customHeight="1" x14ac:dyDescent="0.2">
      <c r="L3717" s="270"/>
    </row>
    <row r="3718" spans="12:12" ht="18" customHeight="1" x14ac:dyDescent="0.2">
      <c r="L3718" s="270"/>
    </row>
    <row r="3719" spans="12:12" ht="18" customHeight="1" x14ac:dyDescent="0.2">
      <c r="L3719" s="270"/>
    </row>
    <row r="3720" spans="12:12" ht="18" customHeight="1" x14ac:dyDescent="0.2">
      <c r="L3720" s="270"/>
    </row>
    <row r="3721" spans="12:12" ht="18" customHeight="1" x14ac:dyDescent="0.2">
      <c r="L3721" s="270"/>
    </row>
    <row r="3722" spans="12:12" ht="18" customHeight="1" x14ac:dyDescent="0.2">
      <c r="L3722" s="270"/>
    </row>
    <row r="3723" spans="12:12" ht="18" customHeight="1" x14ac:dyDescent="0.2">
      <c r="L3723" s="270"/>
    </row>
    <row r="3724" spans="12:12" ht="18" customHeight="1" x14ac:dyDescent="0.2">
      <c r="L3724" s="270"/>
    </row>
    <row r="3725" spans="12:12" ht="18" customHeight="1" x14ac:dyDescent="0.2">
      <c r="L3725" s="270"/>
    </row>
    <row r="3726" spans="12:12" ht="18" customHeight="1" x14ac:dyDescent="0.2">
      <c r="L3726" s="270"/>
    </row>
    <row r="3727" spans="12:12" ht="18" customHeight="1" x14ac:dyDescent="0.2">
      <c r="L3727" s="270"/>
    </row>
    <row r="3728" spans="12:12" ht="18" customHeight="1" x14ac:dyDescent="0.2">
      <c r="L3728" s="270"/>
    </row>
    <row r="3729" spans="12:12" ht="18" customHeight="1" x14ac:dyDescent="0.2">
      <c r="L3729" s="270"/>
    </row>
    <row r="3730" spans="12:12" ht="18" customHeight="1" x14ac:dyDescent="0.2">
      <c r="L3730" s="270"/>
    </row>
    <row r="3731" spans="12:12" ht="18" customHeight="1" x14ac:dyDescent="0.2">
      <c r="L3731" s="270"/>
    </row>
    <row r="3732" spans="12:12" ht="18" customHeight="1" x14ac:dyDescent="0.2">
      <c r="L3732" s="270"/>
    </row>
    <row r="3733" spans="12:12" ht="18" customHeight="1" x14ac:dyDescent="0.2">
      <c r="L3733" s="270"/>
    </row>
    <row r="3734" spans="12:12" ht="18" customHeight="1" x14ac:dyDescent="0.2">
      <c r="L3734" s="270"/>
    </row>
    <row r="3735" spans="12:12" ht="18" customHeight="1" x14ac:dyDescent="0.2">
      <c r="L3735" s="270"/>
    </row>
    <row r="3736" spans="12:12" ht="18" customHeight="1" x14ac:dyDescent="0.2">
      <c r="L3736" s="270"/>
    </row>
    <row r="3737" spans="12:12" ht="18" customHeight="1" x14ac:dyDescent="0.2">
      <c r="L3737" s="270"/>
    </row>
    <row r="3738" spans="12:12" ht="18" customHeight="1" x14ac:dyDescent="0.2">
      <c r="L3738" s="270"/>
    </row>
    <row r="3739" spans="12:12" ht="18" customHeight="1" x14ac:dyDescent="0.2">
      <c r="L3739" s="270"/>
    </row>
    <row r="3740" spans="12:12" ht="18" customHeight="1" x14ac:dyDescent="0.2">
      <c r="L3740" s="270"/>
    </row>
    <row r="3741" spans="12:12" ht="18" customHeight="1" x14ac:dyDescent="0.2">
      <c r="L3741" s="270"/>
    </row>
    <row r="3742" spans="12:12" ht="18" customHeight="1" x14ac:dyDescent="0.2">
      <c r="L3742" s="270"/>
    </row>
    <row r="3743" spans="12:12" ht="18" customHeight="1" x14ac:dyDescent="0.2">
      <c r="L3743" s="270"/>
    </row>
    <row r="3744" spans="12:12" ht="18" customHeight="1" x14ac:dyDescent="0.2">
      <c r="L3744" s="270"/>
    </row>
    <row r="3745" spans="12:12" ht="18" customHeight="1" x14ac:dyDescent="0.2">
      <c r="L3745" s="270"/>
    </row>
    <row r="3746" spans="12:12" ht="18" customHeight="1" x14ac:dyDescent="0.2">
      <c r="L3746" s="270"/>
    </row>
    <row r="3747" spans="12:12" ht="18" customHeight="1" x14ac:dyDescent="0.2">
      <c r="L3747" s="270"/>
    </row>
    <row r="3748" spans="12:12" ht="18" customHeight="1" x14ac:dyDescent="0.2">
      <c r="L3748" s="270"/>
    </row>
    <row r="3749" spans="12:12" ht="18" customHeight="1" x14ac:dyDescent="0.2">
      <c r="L3749" s="270"/>
    </row>
    <row r="3750" spans="12:12" ht="18" customHeight="1" x14ac:dyDescent="0.2">
      <c r="L3750" s="270"/>
    </row>
    <row r="3751" spans="12:12" ht="18" customHeight="1" x14ac:dyDescent="0.2">
      <c r="L3751" s="270"/>
    </row>
    <row r="3752" spans="12:12" ht="18" customHeight="1" x14ac:dyDescent="0.2">
      <c r="L3752" s="270"/>
    </row>
    <row r="3753" spans="12:12" ht="18" customHeight="1" x14ac:dyDescent="0.2">
      <c r="L3753" s="270"/>
    </row>
    <row r="3754" spans="12:12" ht="18" customHeight="1" x14ac:dyDescent="0.2">
      <c r="L3754" s="270"/>
    </row>
    <row r="3755" spans="12:12" ht="18" customHeight="1" x14ac:dyDescent="0.2">
      <c r="L3755" s="270"/>
    </row>
    <row r="3756" spans="12:12" ht="18" customHeight="1" x14ac:dyDescent="0.2">
      <c r="L3756" s="270"/>
    </row>
    <row r="3757" spans="12:12" ht="18" customHeight="1" x14ac:dyDescent="0.2">
      <c r="L3757" s="270"/>
    </row>
    <row r="3758" spans="12:12" ht="18" customHeight="1" x14ac:dyDescent="0.2">
      <c r="L3758" s="270"/>
    </row>
    <row r="3759" spans="12:12" ht="18" customHeight="1" x14ac:dyDescent="0.2">
      <c r="L3759" s="270"/>
    </row>
    <row r="3760" spans="12:12" ht="18" customHeight="1" x14ac:dyDescent="0.2">
      <c r="L3760" s="270"/>
    </row>
    <row r="3761" spans="12:12" ht="18" customHeight="1" x14ac:dyDescent="0.2">
      <c r="L3761" s="270"/>
    </row>
    <row r="3762" spans="12:12" ht="18" customHeight="1" x14ac:dyDescent="0.2">
      <c r="L3762" s="270"/>
    </row>
    <row r="3763" spans="12:12" ht="18" customHeight="1" x14ac:dyDescent="0.2">
      <c r="L3763" s="270"/>
    </row>
    <row r="3764" spans="12:12" ht="18" customHeight="1" x14ac:dyDescent="0.2">
      <c r="L3764" s="270"/>
    </row>
    <row r="3765" spans="12:12" ht="18" customHeight="1" x14ac:dyDescent="0.2">
      <c r="L3765" s="270"/>
    </row>
    <row r="3766" spans="12:12" ht="18" customHeight="1" x14ac:dyDescent="0.2">
      <c r="L3766" s="270"/>
    </row>
    <row r="3767" spans="12:12" ht="18" customHeight="1" x14ac:dyDescent="0.2">
      <c r="L3767" s="270"/>
    </row>
    <row r="3768" spans="12:12" ht="18" customHeight="1" x14ac:dyDescent="0.2">
      <c r="L3768" s="270"/>
    </row>
    <row r="3769" spans="12:12" ht="18" customHeight="1" x14ac:dyDescent="0.2">
      <c r="L3769" s="270"/>
    </row>
    <row r="3770" spans="12:12" ht="18" customHeight="1" x14ac:dyDescent="0.2">
      <c r="L3770" s="270"/>
    </row>
    <row r="3771" spans="12:12" ht="18" customHeight="1" x14ac:dyDescent="0.2">
      <c r="L3771" s="270"/>
    </row>
    <row r="3772" spans="12:12" ht="18" customHeight="1" x14ac:dyDescent="0.2">
      <c r="L3772" s="270"/>
    </row>
    <row r="3773" spans="12:12" ht="18" customHeight="1" x14ac:dyDescent="0.2">
      <c r="L3773" s="270"/>
    </row>
    <row r="3774" spans="12:12" ht="18" customHeight="1" x14ac:dyDescent="0.2">
      <c r="L3774" s="270"/>
    </row>
    <row r="3775" spans="12:12" ht="18" customHeight="1" x14ac:dyDescent="0.2">
      <c r="L3775" s="270"/>
    </row>
    <row r="3776" spans="12:12" ht="18" customHeight="1" x14ac:dyDescent="0.2">
      <c r="L3776" s="270"/>
    </row>
    <row r="3777" spans="12:12" ht="18" customHeight="1" x14ac:dyDescent="0.2">
      <c r="L3777" s="270"/>
    </row>
    <row r="3778" spans="12:12" ht="18" customHeight="1" x14ac:dyDescent="0.2">
      <c r="L3778" s="270"/>
    </row>
    <row r="3779" spans="12:12" ht="18" customHeight="1" x14ac:dyDescent="0.2">
      <c r="L3779" s="270"/>
    </row>
    <row r="3780" spans="12:12" ht="18" customHeight="1" x14ac:dyDescent="0.2">
      <c r="L3780" s="270"/>
    </row>
    <row r="3781" spans="12:12" ht="18" customHeight="1" x14ac:dyDescent="0.2">
      <c r="L3781" s="270"/>
    </row>
    <row r="3782" spans="12:12" ht="18" customHeight="1" x14ac:dyDescent="0.2">
      <c r="L3782" s="270"/>
    </row>
    <row r="3783" spans="12:12" ht="18" customHeight="1" x14ac:dyDescent="0.2">
      <c r="L3783" s="270"/>
    </row>
    <row r="3784" spans="12:12" ht="18" customHeight="1" x14ac:dyDescent="0.2">
      <c r="L3784" s="270"/>
    </row>
    <row r="3785" spans="12:12" ht="18" customHeight="1" x14ac:dyDescent="0.2">
      <c r="L3785" s="270"/>
    </row>
    <row r="3786" spans="12:12" ht="18" customHeight="1" x14ac:dyDescent="0.2">
      <c r="L3786" s="270"/>
    </row>
    <row r="3787" spans="12:12" ht="18" customHeight="1" x14ac:dyDescent="0.2">
      <c r="L3787" s="270"/>
    </row>
    <row r="3788" spans="12:12" ht="18" customHeight="1" x14ac:dyDescent="0.2">
      <c r="L3788" s="270"/>
    </row>
    <row r="3789" spans="12:12" ht="18" customHeight="1" x14ac:dyDescent="0.2">
      <c r="L3789" s="270"/>
    </row>
    <row r="3790" spans="12:12" ht="18" customHeight="1" x14ac:dyDescent="0.2">
      <c r="L3790" s="270"/>
    </row>
    <row r="3791" spans="12:12" ht="18" customHeight="1" x14ac:dyDescent="0.2">
      <c r="L3791" s="270"/>
    </row>
    <row r="3792" spans="12:12" ht="18" customHeight="1" x14ac:dyDescent="0.2">
      <c r="L3792" s="270"/>
    </row>
    <row r="3793" spans="12:12" ht="18" customHeight="1" x14ac:dyDescent="0.2">
      <c r="L3793" s="270"/>
    </row>
    <row r="3794" spans="12:12" ht="18" customHeight="1" x14ac:dyDescent="0.2">
      <c r="L3794" s="270"/>
    </row>
    <row r="3795" spans="12:12" ht="18" customHeight="1" x14ac:dyDescent="0.2">
      <c r="L3795" s="270"/>
    </row>
    <row r="3796" spans="12:12" ht="18" customHeight="1" x14ac:dyDescent="0.2">
      <c r="L3796" s="270"/>
    </row>
    <row r="3797" spans="12:12" ht="18" customHeight="1" x14ac:dyDescent="0.2">
      <c r="L3797" s="270"/>
    </row>
    <row r="3798" spans="12:12" ht="18" customHeight="1" x14ac:dyDescent="0.2">
      <c r="L3798" s="270"/>
    </row>
    <row r="3799" spans="12:12" ht="18" customHeight="1" x14ac:dyDescent="0.2">
      <c r="L3799" s="270"/>
    </row>
    <row r="3800" spans="12:12" ht="18" customHeight="1" x14ac:dyDescent="0.2">
      <c r="L3800" s="270"/>
    </row>
    <row r="3801" spans="12:12" ht="18" customHeight="1" x14ac:dyDescent="0.2">
      <c r="L3801" s="270"/>
    </row>
    <row r="3802" spans="12:12" ht="18" customHeight="1" x14ac:dyDescent="0.2">
      <c r="L3802" s="270"/>
    </row>
    <row r="3803" spans="12:12" ht="18" customHeight="1" x14ac:dyDescent="0.2">
      <c r="L3803" s="270"/>
    </row>
    <row r="3804" spans="12:12" ht="18" customHeight="1" x14ac:dyDescent="0.2">
      <c r="L3804" s="270"/>
    </row>
    <row r="3805" spans="12:12" ht="18" customHeight="1" x14ac:dyDescent="0.2">
      <c r="L3805" s="270"/>
    </row>
    <row r="3806" spans="12:12" ht="18" customHeight="1" x14ac:dyDescent="0.2">
      <c r="L3806" s="270"/>
    </row>
    <row r="3807" spans="12:12" ht="18" customHeight="1" x14ac:dyDescent="0.2">
      <c r="L3807" s="270"/>
    </row>
    <row r="3808" spans="12:12" ht="18" customHeight="1" x14ac:dyDescent="0.2">
      <c r="L3808" s="270"/>
    </row>
    <row r="3809" spans="12:12" ht="18" customHeight="1" x14ac:dyDescent="0.2">
      <c r="L3809" s="270"/>
    </row>
    <row r="3810" spans="12:12" ht="18" customHeight="1" x14ac:dyDescent="0.2">
      <c r="L3810" s="270"/>
    </row>
    <row r="3811" spans="12:12" ht="18" customHeight="1" x14ac:dyDescent="0.2">
      <c r="L3811" s="270"/>
    </row>
    <row r="3812" spans="12:12" ht="18" customHeight="1" x14ac:dyDescent="0.2">
      <c r="L3812" s="270"/>
    </row>
    <row r="3813" spans="12:12" ht="18" customHeight="1" x14ac:dyDescent="0.2">
      <c r="L3813" s="270"/>
    </row>
    <row r="3814" spans="12:12" ht="18" customHeight="1" x14ac:dyDescent="0.2">
      <c r="L3814" s="270"/>
    </row>
    <row r="3815" spans="12:12" ht="18" customHeight="1" x14ac:dyDescent="0.2">
      <c r="L3815" s="270"/>
    </row>
    <row r="3816" spans="12:12" ht="18" customHeight="1" x14ac:dyDescent="0.2">
      <c r="L3816" s="270"/>
    </row>
    <row r="3817" spans="12:12" ht="18" customHeight="1" x14ac:dyDescent="0.2">
      <c r="L3817" s="270"/>
    </row>
    <row r="3818" spans="12:12" ht="18" customHeight="1" x14ac:dyDescent="0.2">
      <c r="L3818" s="270"/>
    </row>
    <row r="3819" spans="12:12" ht="18" customHeight="1" x14ac:dyDescent="0.2">
      <c r="L3819" s="270"/>
    </row>
    <row r="3820" spans="12:12" ht="18" customHeight="1" x14ac:dyDescent="0.2">
      <c r="L3820" s="270"/>
    </row>
    <row r="3821" spans="12:12" ht="18" customHeight="1" x14ac:dyDescent="0.2">
      <c r="L3821" s="270"/>
    </row>
    <row r="3822" spans="12:12" ht="18" customHeight="1" x14ac:dyDescent="0.2">
      <c r="L3822" s="270"/>
    </row>
    <row r="3823" spans="12:12" ht="18" customHeight="1" x14ac:dyDescent="0.2">
      <c r="L3823" s="270"/>
    </row>
    <row r="3824" spans="12:12" ht="18" customHeight="1" x14ac:dyDescent="0.2">
      <c r="L3824" s="270"/>
    </row>
    <row r="3825" spans="12:12" ht="18" customHeight="1" x14ac:dyDescent="0.2">
      <c r="L3825" s="270"/>
    </row>
    <row r="3826" spans="12:12" ht="18" customHeight="1" x14ac:dyDescent="0.2">
      <c r="L3826" s="270"/>
    </row>
    <row r="3827" spans="12:12" ht="18" customHeight="1" x14ac:dyDescent="0.2">
      <c r="L3827" s="270"/>
    </row>
    <row r="3828" spans="12:12" ht="18" customHeight="1" x14ac:dyDescent="0.2">
      <c r="L3828" s="270"/>
    </row>
    <row r="3829" spans="12:12" ht="18" customHeight="1" x14ac:dyDescent="0.2">
      <c r="L3829" s="270"/>
    </row>
    <row r="3830" spans="12:12" ht="18" customHeight="1" x14ac:dyDescent="0.2">
      <c r="L3830" s="270"/>
    </row>
    <row r="3831" spans="12:12" ht="18" customHeight="1" x14ac:dyDescent="0.2">
      <c r="L3831" s="270"/>
    </row>
    <row r="3832" spans="12:12" ht="18" customHeight="1" x14ac:dyDescent="0.2">
      <c r="L3832" s="270"/>
    </row>
    <row r="3833" spans="12:12" ht="18" customHeight="1" x14ac:dyDescent="0.2">
      <c r="L3833" s="270"/>
    </row>
    <row r="3834" spans="12:12" ht="18" customHeight="1" x14ac:dyDescent="0.2">
      <c r="L3834" s="270"/>
    </row>
    <row r="3835" spans="12:12" ht="18" customHeight="1" x14ac:dyDescent="0.2">
      <c r="L3835" s="270"/>
    </row>
    <row r="3836" spans="12:12" ht="18" customHeight="1" x14ac:dyDescent="0.2">
      <c r="L3836" s="270"/>
    </row>
    <row r="3837" spans="12:12" ht="18" customHeight="1" x14ac:dyDescent="0.2">
      <c r="L3837" s="270"/>
    </row>
    <row r="3838" spans="12:12" ht="18" customHeight="1" x14ac:dyDescent="0.2">
      <c r="L3838" s="270"/>
    </row>
    <row r="3839" spans="12:12" ht="18" customHeight="1" x14ac:dyDescent="0.2">
      <c r="L3839" s="270"/>
    </row>
    <row r="3840" spans="12:12" ht="18" customHeight="1" x14ac:dyDescent="0.2">
      <c r="L3840" s="270"/>
    </row>
    <row r="3841" spans="12:12" ht="18" customHeight="1" x14ac:dyDescent="0.2">
      <c r="L3841" s="270"/>
    </row>
    <row r="3842" spans="12:12" ht="18" customHeight="1" x14ac:dyDescent="0.2">
      <c r="L3842" s="270"/>
    </row>
    <row r="3843" spans="12:12" ht="18" customHeight="1" x14ac:dyDescent="0.2">
      <c r="L3843" s="270"/>
    </row>
    <row r="3844" spans="12:12" ht="18" customHeight="1" x14ac:dyDescent="0.2">
      <c r="L3844" s="270"/>
    </row>
    <row r="3845" spans="12:12" ht="18" customHeight="1" x14ac:dyDescent="0.2">
      <c r="L3845" s="270"/>
    </row>
    <row r="3846" spans="12:12" ht="18" customHeight="1" x14ac:dyDescent="0.2">
      <c r="L3846" s="270"/>
    </row>
    <row r="3847" spans="12:12" ht="18" customHeight="1" x14ac:dyDescent="0.2">
      <c r="L3847" s="270"/>
    </row>
    <row r="3848" spans="12:12" ht="18" customHeight="1" x14ac:dyDescent="0.2">
      <c r="L3848" s="270"/>
    </row>
    <row r="3849" spans="12:12" ht="18" customHeight="1" x14ac:dyDescent="0.2">
      <c r="L3849" s="270"/>
    </row>
    <row r="3850" spans="12:12" ht="18" customHeight="1" x14ac:dyDescent="0.2">
      <c r="L3850" s="270"/>
    </row>
    <row r="3851" spans="12:12" ht="18" customHeight="1" x14ac:dyDescent="0.2">
      <c r="L3851" s="270"/>
    </row>
    <row r="3852" spans="12:12" ht="18" customHeight="1" x14ac:dyDescent="0.2">
      <c r="L3852" s="270"/>
    </row>
    <row r="3853" spans="12:12" ht="18" customHeight="1" x14ac:dyDescent="0.2">
      <c r="L3853" s="270"/>
    </row>
    <row r="3854" spans="12:12" ht="18" customHeight="1" x14ac:dyDescent="0.2">
      <c r="L3854" s="270"/>
    </row>
    <row r="3855" spans="12:12" ht="18" customHeight="1" x14ac:dyDescent="0.2">
      <c r="L3855" s="270"/>
    </row>
    <row r="3856" spans="12:12" ht="18" customHeight="1" x14ac:dyDescent="0.2">
      <c r="L3856" s="270"/>
    </row>
    <row r="3857" spans="12:12" ht="18" customHeight="1" x14ac:dyDescent="0.2">
      <c r="L3857" s="270"/>
    </row>
    <row r="3858" spans="12:12" ht="18" customHeight="1" x14ac:dyDescent="0.2">
      <c r="L3858" s="270"/>
    </row>
    <row r="3859" spans="12:12" ht="18" customHeight="1" x14ac:dyDescent="0.2">
      <c r="L3859" s="270"/>
    </row>
    <row r="3860" spans="12:12" ht="18" customHeight="1" x14ac:dyDescent="0.2">
      <c r="L3860" s="270"/>
    </row>
    <row r="3861" spans="12:12" ht="18" customHeight="1" x14ac:dyDescent="0.2">
      <c r="L3861" s="270"/>
    </row>
    <row r="3862" spans="12:12" ht="18" customHeight="1" x14ac:dyDescent="0.2">
      <c r="L3862" s="270"/>
    </row>
    <row r="3863" spans="12:12" ht="18" customHeight="1" x14ac:dyDescent="0.2">
      <c r="L3863" s="270"/>
    </row>
    <row r="3864" spans="12:12" ht="18" customHeight="1" x14ac:dyDescent="0.2">
      <c r="L3864" s="270"/>
    </row>
    <row r="3865" spans="12:12" ht="18" customHeight="1" x14ac:dyDescent="0.2">
      <c r="L3865" s="270"/>
    </row>
    <row r="3866" spans="12:12" ht="18" customHeight="1" x14ac:dyDescent="0.2">
      <c r="L3866" s="270"/>
    </row>
    <row r="3867" spans="12:12" ht="18" customHeight="1" x14ac:dyDescent="0.2">
      <c r="L3867" s="270"/>
    </row>
    <row r="3868" spans="12:12" ht="18" customHeight="1" x14ac:dyDescent="0.2">
      <c r="L3868" s="270"/>
    </row>
    <row r="3869" spans="12:12" ht="18" customHeight="1" x14ac:dyDescent="0.2">
      <c r="L3869" s="270"/>
    </row>
    <row r="3870" spans="12:12" ht="18" customHeight="1" x14ac:dyDescent="0.2">
      <c r="L3870" s="270"/>
    </row>
    <row r="3871" spans="12:12" ht="18" customHeight="1" x14ac:dyDescent="0.2">
      <c r="L3871" s="270"/>
    </row>
    <row r="3872" spans="12:12" ht="18" customHeight="1" x14ac:dyDescent="0.2">
      <c r="L3872" s="270"/>
    </row>
    <row r="3873" spans="12:12" ht="18" customHeight="1" x14ac:dyDescent="0.2">
      <c r="L3873" s="270"/>
    </row>
    <row r="3874" spans="12:12" ht="18" customHeight="1" x14ac:dyDescent="0.2">
      <c r="L3874" s="270"/>
    </row>
    <row r="3875" spans="12:12" ht="18" customHeight="1" x14ac:dyDescent="0.2">
      <c r="L3875" s="270"/>
    </row>
    <row r="3876" spans="12:12" ht="18" customHeight="1" x14ac:dyDescent="0.2">
      <c r="L3876" s="270"/>
    </row>
    <row r="3877" spans="12:12" ht="18" customHeight="1" x14ac:dyDescent="0.2">
      <c r="L3877" s="270"/>
    </row>
    <row r="3878" spans="12:12" ht="18" customHeight="1" x14ac:dyDescent="0.2">
      <c r="L3878" s="270"/>
    </row>
    <row r="3879" spans="12:12" ht="18" customHeight="1" x14ac:dyDescent="0.2">
      <c r="L3879" s="270"/>
    </row>
    <row r="3880" spans="12:12" ht="18" customHeight="1" x14ac:dyDescent="0.2">
      <c r="L3880" s="270"/>
    </row>
    <row r="3881" spans="12:12" ht="18" customHeight="1" x14ac:dyDescent="0.2">
      <c r="L3881" s="270"/>
    </row>
    <row r="3882" spans="12:12" ht="18" customHeight="1" x14ac:dyDescent="0.2">
      <c r="L3882" s="270"/>
    </row>
    <row r="3883" spans="12:12" ht="18" customHeight="1" x14ac:dyDescent="0.2">
      <c r="L3883" s="270"/>
    </row>
    <row r="3884" spans="12:12" ht="18" customHeight="1" x14ac:dyDescent="0.2">
      <c r="L3884" s="270"/>
    </row>
    <row r="3885" spans="12:12" ht="18" customHeight="1" x14ac:dyDescent="0.2">
      <c r="L3885" s="270"/>
    </row>
    <row r="3886" spans="12:12" ht="18" customHeight="1" x14ac:dyDescent="0.2">
      <c r="L3886" s="270"/>
    </row>
    <row r="3887" spans="12:12" ht="18" customHeight="1" x14ac:dyDescent="0.2">
      <c r="L3887" s="270"/>
    </row>
    <row r="3888" spans="12:12" ht="18" customHeight="1" x14ac:dyDescent="0.2">
      <c r="L3888" s="270"/>
    </row>
    <row r="3889" spans="12:12" ht="18" customHeight="1" x14ac:dyDescent="0.2">
      <c r="L3889" s="270"/>
    </row>
    <row r="3890" spans="12:12" ht="18" customHeight="1" x14ac:dyDescent="0.2">
      <c r="L3890" s="270"/>
    </row>
    <row r="3891" spans="12:12" ht="18" customHeight="1" x14ac:dyDescent="0.2">
      <c r="L3891" s="270"/>
    </row>
    <row r="3892" spans="12:12" ht="18" customHeight="1" x14ac:dyDescent="0.2">
      <c r="L3892" s="270"/>
    </row>
    <row r="3893" spans="12:12" ht="18" customHeight="1" x14ac:dyDescent="0.2">
      <c r="L3893" s="270"/>
    </row>
    <row r="3894" spans="12:12" ht="18" customHeight="1" x14ac:dyDescent="0.2">
      <c r="L3894" s="270"/>
    </row>
    <row r="3895" spans="12:12" ht="18" customHeight="1" x14ac:dyDescent="0.2">
      <c r="L3895" s="270"/>
    </row>
    <row r="3896" spans="12:12" ht="18" customHeight="1" x14ac:dyDescent="0.2">
      <c r="L3896" s="270"/>
    </row>
    <row r="3897" spans="12:12" ht="18" customHeight="1" x14ac:dyDescent="0.2">
      <c r="L3897" s="270"/>
    </row>
    <row r="3898" spans="12:12" ht="18" customHeight="1" x14ac:dyDescent="0.2">
      <c r="L3898" s="270"/>
    </row>
    <row r="3899" spans="12:12" ht="18" customHeight="1" x14ac:dyDescent="0.2">
      <c r="L3899" s="270"/>
    </row>
    <row r="3900" spans="12:12" ht="18" customHeight="1" x14ac:dyDescent="0.2">
      <c r="L3900" s="270"/>
    </row>
    <row r="3901" spans="12:12" ht="18" customHeight="1" x14ac:dyDescent="0.2">
      <c r="L3901" s="270"/>
    </row>
    <row r="3902" spans="12:12" ht="18" customHeight="1" x14ac:dyDescent="0.2">
      <c r="L3902" s="270"/>
    </row>
    <row r="3903" spans="12:12" ht="18" customHeight="1" x14ac:dyDescent="0.2">
      <c r="L3903" s="270"/>
    </row>
    <row r="3904" spans="12:12" ht="18" customHeight="1" x14ac:dyDescent="0.2">
      <c r="L3904" s="270"/>
    </row>
    <row r="3905" spans="12:12" ht="18" customHeight="1" x14ac:dyDescent="0.2">
      <c r="L3905" s="270"/>
    </row>
    <row r="3906" spans="12:12" ht="18" customHeight="1" x14ac:dyDescent="0.2">
      <c r="L3906" s="270"/>
    </row>
    <row r="3907" spans="12:12" ht="18" customHeight="1" x14ac:dyDescent="0.2">
      <c r="L3907" s="270"/>
    </row>
    <row r="3908" spans="12:12" ht="18" customHeight="1" x14ac:dyDescent="0.2">
      <c r="L3908" s="270"/>
    </row>
    <row r="3909" spans="12:12" ht="18" customHeight="1" x14ac:dyDescent="0.2">
      <c r="L3909" s="270"/>
    </row>
    <row r="3910" spans="12:12" ht="18" customHeight="1" x14ac:dyDescent="0.2">
      <c r="L3910" s="270"/>
    </row>
    <row r="3911" spans="12:12" ht="18" customHeight="1" x14ac:dyDescent="0.2">
      <c r="L3911" s="270"/>
    </row>
    <row r="3912" spans="12:12" ht="18" customHeight="1" x14ac:dyDescent="0.2">
      <c r="L3912" s="270"/>
    </row>
    <row r="3913" spans="12:12" ht="18" customHeight="1" x14ac:dyDescent="0.2">
      <c r="L3913" s="270"/>
    </row>
    <row r="3914" spans="12:12" ht="18" customHeight="1" x14ac:dyDescent="0.2">
      <c r="L3914" s="270"/>
    </row>
    <row r="3915" spans="12:12" ht="18" customHeight="1" x14ac:dyDescent="0.2">
      <c r="L3915" s="270"/>
    </row>
    <row r="3916" spans="12:12" ht="18" customHeight="1" x14ac:dyDescent="0.2">
      <c r="L3916" s="270"/>
    </row>
    <row r="3917" spans="12:12" ht="18" customHeight="1" x14ac:dyDescent="0.2">
      <c r="L3917" s="270"/>
    </row>
    <row r="3918" spans="12:12" ht="18" customHeight="1" x14ac:dyDescent="0.2">
      <c r="L3918" s="270"/>
    </row>
    <row r="3919" spans="12:12" ht="18" customHeight="1" x14ac:dyDescent="0.2">
      <c r="L3919" s="270"/>
    </row>
    <row r="3920" spans="12:12" ht="18" customHeight="1" x14ac:dyDescent="0.2">
      <c r="L3920" s="270"/>
    </row>
    <row r="3921" spans="12:12" ht="18" customHeight="1" x14ac:dyDescent="0.2">
      <c r="L3921" s="270"/>
    </row>
    <row r="3922" spans="12:12" ht="18" customHeight="1" x14ac:dyDescent="0.2">
      <c r="L3922" s="270"/>
    </row>
    <row r="3923" spans="12:12" ht="18" customHeight="1" x14ac:dyDescent="0.2">
      <c r="L3923" s="270"/>
    </row>
    <row r="3924" spans="12:12" ht="18" customHeight="1" x14ac:dyDescent="0.2">
      <c r="L3924" s="270"/>
    </row>
    <row r="3925" spans="12:12" ht="18" customHeight="1" x14ac:dyDescent="0.2">
      <c r="L3925" s="270"/>
    </row>
    <row r="3926" spans="12:12" ht="18" customHeight="1" x14ac:dyDescent="0.2">
      <c r="L3926" s="270"/>
    </row>
    <row r="3927" spans="12:12" ht="18" customHeight="1" x14ac:dyDescent="0.2">
      <c r="L3927" s="270"/>
    </row>
    <row r="3928" spans="12:12" ht="18" customHeight="1" x14ac:dyDescent="0.2">
      <c r="L3928" s="270"/>
    </row>
    <row r="3929" spans="12:12" ht="18" customHeight="1" x14ac:dyDescent="0.2">
      <c r="L3929" s="270"/>
    </row>
    <row r="3930" spans="12:12" ht="18" customHeight="1" x14ac:dyDescent="0.2">
      <c r="L3930" s="270"/>
    </row>
    <row r="3931" spans="12:12" ht="18" customHeight="1" x14ac:dyDescent="0.2">
      <c r="L3931" s="270"/>
    </row>
    <row r="3932" spans="12:12" ht="18" customHeight="1" x14ac:dyDescent="0.2">
      <c r="L3932" s="270"/>
    </row>
    <row r="3933" spans="12:12" ht="18" customHeight="1" x14ac:dyDescent="0.2">
      <c r="L3933" s="270"/>
    </row>
    <row r="3934" spans="12:12" ht="18" customHeight="1" x14ac:dyDescent="0.2">
      <c r="L3934" s="270"/>
    </row>
    <row r="3935" spans="12:12" ht="18" customHeight="1" x14ac:dyDescent="0.2">
      <c r="L3935" s="270"/>
    </row>
    <row r="3936" spans="12:12" ht="18" customHeight="1" x14ac:dyDescent="0.2">
      <c r="L3936" s="270"/>
    </row>
    <row r="3937" spans="12:12" ht="18" customHeight="1" x14ac:dyDescent="0.2">
      <c r="L3937" s="270"/>
    </row>
    <row r="3938" spans="12:12" ht="18" customHeight="1" x14ac:dyDescent="0.2">
      <c r="L3938" s="270"/>
    </row>
    <row r="3939" spans="12:12" ht="18" customHeight="1" x14ac:dyDescent="0.2">
      <c r="L3939" s="270"/>
    </row>
    <row r="3940" spans="12:12" ht="18" customHeight="1" x14ac:dyDescent="0.2">
      <c r="L3940" s="270"/>
    </row>
    <row r="3941" spans="12:12" ht="18" customHeight="1" x14ac:dyDescent="0.2">
      <c r="L3941" s="270"/>
    </row>
    <row r="3942" spans="12:12" ht="18" customHeight="1" x14ac:dyDescent="0.2">
      <c r="L3942" s="270"/>
    </row>
    <row r="3943" spans="12:12" ht="18" customHeight="1" x14ac:dyDescent="0.2">
      <c r="L3943" s="270"/>
    </row>
    <row r="3944" spans="12:12" ht="18" customHeight="1" x14ac:dyDescent="0.2">
      <c r="L3944" s="270"/>
    </row>
    <row r="3945" spans="12:12" ht="18" customHeight="1" x14ac:dyDescent="0.2">
      <c r="L3945" s="270"/>
    </row>
    <row r="3946" spans="12:12" ht="18" customHeight="1" x14ac:dyDescent="0.2">
      <c r="L3946" s="270"/>
    </row>
    <row r="3947" spans="12:12" ht="18" customHeight="1" x14ac:dyDescent="0.2">
      <c r="L3947" s="270"/>
    </row>
    <row r="3948" spans="12:12" ht="18" customHeight="1" x14ac:dyDescent="0.2">
      <c r="L3948" s="270"/>
    </row>
    <row r="3949" spans="12:12" ht="18" customHeight="1" x14ac:dyDescent="0.2">
      <c r="L3949" s="270"/>
    </row>
    <row r="3950" spans="12:12" ht="18" customHeight="1" x14ac:dyDescent="0.2">
      <c r="L3950" s="270"/>
    </row>
    <row r="3951" spans="12:12" ht="18" customHeight="1" x14ac:dyDescent="0.2">
      <c r="L3951" s="270"/>
    </row>
    <row r="3952" spans="12:12" ht="18" customHeight="1" x14ac:dyDescent="0.2">
      <c r="L3952" s="270"/>
    </row>
    <row r="3953" spans="12:12" ht="18" customHeight="1" x14ac:dyDescent="0.2">
      <c r="L3953" s="270"/>
    </row>
    <row r="3954" spans="12:12" ht="18" customHeight="1" x14ac:dyDescent="0.2">
      <c r="L3954" s="270"/>
    </row>
    <row r="3955" spans="12:12" ht="18" customHeight="1" x14ac:dyDescent="0.2">
      <c r="L3955" s="270"/>
    </row>
    <row r="3956" spans="12:12" ht="18" customHeight="1" x14ac:dyDescent="0.2">
      <c r="L3956" s="270"/>
    </row>
    <row r="3957" spans="12:12" ht="18" customHeight="1" x14ac:dyDescent="0.2">
      <c r="L3957" s="270"/>
    </row>
    <row r="3958" spans="12:12" ht="18" customHeight="1" x14ac:dyDescent="0.2">
      <c r="L3958" s="270"/>
    </row>
    <row r="3959" spans="12:12" ht="18" customHeight="1" x14ac:dyDescent="0.2">
      <c r="L3959" s="270"/>
    </row>
    <row r="3960" spans="12:12" ht="18" customHeight="1" x14ac:dyDescent="0.2">
      <c r="L3960" s="270"/>
    </row>
    <row r="3961" spans="12:12" ht="18" customHeight="1" x14ac:dyDescent="0.2">
      <c r="L3961" s="270"/>
    </row>
    <row r="3962" spans="12:12" ht="18" customHeight="1" x14ac:dyDescent="0.2">
      <c r="L3962" s="270"/>
    </row>
    <row r="3963" spans="12:12" ht="18" customHeight="1" x14ac:dyDescent="0.2">
      <c r="L3963" s="270"/>
    </row>
    <row r="3964" spans="12:12" ht="18" customHeight="1" x14ac:dyDescent="0.2">
      <c r="L3964" s="270"/>
    </row>
    <row r="3965" spans="12:12" ht="18" customHeight="1" x14ac:dyDescent="0.2">
      <c r="L3965" s="270"/>
    </row>
    <row r="3966" spans="12:12" ht="18" customHeight="1" x14ac:dyDescent="0.2">
      <c r="L3966" s="270"/>
    </row>
    <row r="3967" spans="12:12" ht="18" customHeight="1" x14ac:dyDescent="0.2">
      <c r="L3967" s="270"/>
    </row>
    <row r="3968" spans="12:12" ht="18" customHeight="1" x14ac:dyDescent="0.2">
      <c r="L3968" s="270"/>
    </row>
    <row r="3969" spans="12:12" ht="18" customHeight="1" x14ac:dyDescent="0.2">
      <c r="L3969" s="270"/>
    </row>
    <row r="3970" spans="12:12" ht="18" customHeight="1" x14ac:dyDescent="0.2">
      <c r="L3970" s="270"/>
    </row>
    <row r="3971" spans="12:12" ht="18" customHeight="1" x14ac:dyDescent="0.2">
      <c r="L3971" s="270"/>
    </row>
    <row r="3972" spans="12:12" ht="18" customHeight="1" x14ac:dyDescent="0.2">
      <c r="L3972" s="270"/>
    </row>
    <row r="3973" spans="12:12" ht="18" customHeight="1" x14ac:dyDescent="0.2">
      <c r="L3973" s="270"/>
    </row>
    <row r="3974" spans="12:12" ht="18" customHeight="1" x14ac:dyDescent="0.2">
      <c r="L3974" s="270"/>
    </row>
    <row r="3975" spans="12:12" ht="18" customHeight="1" x14ac:dyDescent="0.2">
      <c r="L3975" s="270"/>
    </row>
    <row r="3976" spans="12:12" ht="18" customHeight="1" x14ac:dyDescent="0.2">
      <c r="L3976" s="270"/>
    </row>
    <row r="3977" spans="12:12" ht="18" customHeight="1" x14ac:dyDescent="0.2">
      <c r="L3977" s="270"/>
    </row>
    <row r="3978" spans="12:12" ht="18" customHeight="1" x14ac:dyDescent="0.2">
      <c r="L3978" s="270"/>
    </row>
    <row r="3979" spans="12:12" ht="18" customHeight="1" x14ac:dyDescent="0.2">
      <c r="L3979" s="270"/>
    </row>
    <row r="3980" spans="12:12" ht="18" customHeight="1" x14ac:dyDescent="0.2">
      <c r="L3980" s="270"/>
    </row>
    <row r="3981" spans="12:12" ht="18" customHeight="1" x14ac:dyDescent="0.2">
      <c r="L3981" s="270"/>
    </row>
    <row r="3982" spans="12:12" ht="18" customHeight="1" x14ac:dyDescent="0.2">
      <c r="L3982" s="270"/>
    </row>
    <row r="3983" spans="12:12" ht="18" customHeight="1" x14ac:dyDescent="0.2">
      <c r="L3983" s="270"/>
    </row>
    <row r="3984" spans="12:12" ht="18" customHeight="1" x14ac:dyDescent="0.2">
      <c r="L3984" s="270"/>
    </row>
    <row r="3985" spans="12:12" ht="18" customHeight="1" x14ac:dyDescent="0.2">
      <c r="L3985" s="270"/>
    </row>
    <row r="3986" spans="12:12" ht="18" customHeight="1" x14ac:dyDescent="0.2">
      <c r="L3986" s="270"/>
    </row>
    <row r="3987" spans="12:12" ht="18" customHeight="1" x14ac:dyDescent="0.2">
      <c r="L3987" s="270"/>
    </row>
    <row r="3988" spans="12:12" ht="18" customHeight="1" x14ac:dyDescent="0.2">
      <c r="L3988" s="270"/>
    </row>
    <row r="3989" spans="12:12" ht="18" customHeight="1" x14ac:dyDescent="0.2">
      <c r="L3989" s="270"/>
    </row>
    <row r="3990" spans="12:12" ht="18" customHeight="1" x14ac:dyDescent="0.2">
      <c r="L3990" s="270"/>
    </row>
    <row r="3991" spans="12:12" ht="18" customHeight="1" x14ac:dyDescent="0.2">
      <c r="L3991" s="270"/>
    </row>
    <row r="3992" spans="12:12" ht="18" customHeight="1" x14ac:dyDescent="0.2">
      <c r="L3992" s="270"/>
    </row>
    <row r="3993" spans="12:12" ht="18" customHeight="1" x14ac:dyDescent="0.2">
      <c r="L3993" s="270"/>
    </row>
    <row r="3994" spans="12:12" ht="18" customHeight="1" x14ac:dyDescent="0.2">
      <c r="L3994" s="270"/>
    </row>
    <row r="3995" spans="12:12" ht="18" customHeight="1" x14ac:dyDescent="0.2">
      <c r="L3995" s="270"/>
    </row>
    <row r="3996" spans="12:12" ht="18" customHeight="1" x14ac:dyDescent="0.2">
      <c r="L3996" s="270"/>
    </row>
    <row r="3997" spans="12:12" ht="18" customHeight="1" x14ac:dyDescent="0.2">
      <c r="L3997" s="270"/>
    </row>
    <row r="3998" spans="12:12" ht="18" customHeight="1" x14ac:dyDescent="0.2">
      <c r="L3998" s="270"/>
    </row>
    <row r="3999" spans="12:12" ht="18" customHeight="1" x14ac:dyDescent="0.2">
      <c r="L3999" s="270"/>
    </row>
    <row r="4000" spans="12:12" ht="18" customHeight="1" x14ac:dyDescent="0.2">
      <c r="L4000" s="270"/>
    </row>
    <row r="4001" spans="12:12" ht="18" customHeight="1" x14ac:dyDescent="0.2">
      <c r="L4001" s="270"/>
    </row>
    <row r="4002" spans="12:12" ht="18" customHeight="1" x14ac:dyDescent="0.2">
      <c r="L4002" s="270"/>
    </row>
    <row r="4003" spans="12:12" ht="18" customHeight="1" x14ac:dyDescent="0.2">
      <c r="L4003" s="270"/>
    </row>
    <row r="4004" spans="12:12" ht="18" customHeight="1" x14ac:dyDescent="0.2">
      <c r="L4004" s="270"/>
    </row>
    <row r="4005" spans="12:12" ht="18" customHeight="1" x14ac:dyDescent="0.2">
      <c r="L4005" s="270"/>
    </row>
    <row r="4006" spans="12:12" ht="18" customHeight="1" x14ac:dyDescent="0.2">
      <c r="L4006" s="270"/>
    </row>
    <row r="4007" spans="12:12" ht="18" customHeight="1" x14ac:dyDescent="0.2">
      <c r="L4007" s="270"/>
    </row>
    <row r="4008" spans="12:12" ht="18" customHeight="1" x14ac:dyDescent="0.2">
      <c r="L4008" s="270"/>
    </row>
    <row r="4009" spans="12:12" ht="18" customHeight="1" x14ac:dyDescent="0.2">
      <c r="L4009" s="270"/>
    </row>
    <row r="4010" spans="12:12" ht="18" customHeight="1" x14ac:dyDescent="0.2">
      <c r="L4010" s="270"/>
    </row>
    <row r="4011" spans="12:12" ht="18" customHeight="1" x14ac:dyDescent="0.2">
      <c r="L4011" s="270"/>
    </row>
    <row r="4012" spans="12:12" ht="18" customHeight="1" x14ac:dyDescent="0.2">
      <c r="L4012" s="270"/>
    </row>
    <row r="4013" spans="12:12" ht="18" customHeight="1" x14ac:dyDescent="0.2">
      <c r="L4013" s="270"/>
    </row>
    <row r="4014" spans="12:12" ht="18" customHeight="1" x14ac:dyDescent="0.2">
      <c r="L4014" s="270"/>
    </row>
    <row r="4015" spans="12:12" ht="18" customHeight="1" x14ac:dyDescent="0.2">
      <c r="L4015" s="270"/>
    </row>
    <row r="4016" spans="12:12" ht="18" customHeight="1" x14ac:dyDescent="0.2">
      <c r="L4016" s="270"/>
    </row>
    <row r="4017" spans="12:12" ht="18" customHeight="1" x14ac:dyDescent="0.2">
      <c r="L4017" s="270"/>
    </row>
    <row r="4018" spans="12:12" ht="18" customHeight="1" x14ac:dyDescent="0.2">
      <c r="L4018" s="270"/>
    </row>
    <row r="4019" spans="12:12" ht="18" customHeight="1" x14ac:dyDescent="0.2">
      <c r="L4019" s="270"/>
    </row>
    <row r="4020" spans="12:12" ht="18" customHeight="1" x14ac:dyDescent="0.2">
      <c r="L4020" s="270"/>
    </row>
    <row r="4021" spans="12:12" ht="18" customHeight="1" x14ac:dyDescent="0.2">
      <c r="L4021" s="270"/>
    </row>
    <row r="4022" spans="12:12" ht="18" customHeight="1" x14ac:dyDescent="0.2">
      <c r="L4022" s="270"/>
    </row>
    <row r="4023" spans="12:12" ht="18" customHeight="1" x14ac:dyDescent="0.2">
      <c r="L4023" s="270"/>
    </row>
    <row r="4024" spans="12:12" ht="18" customHeight="1" x14ac:dyDescent="0.2">
      <c r="L4024" s="270"/>
    </row>
    <row r="4025" spans="12:12" ht="18" customHeight="1" x14ac:dyDescent="0.2">
      <c r="L4025" s="270"/>
    </row>
    <row r="4026" spans="12:12" ht="18" customHeight="1" x14ac:dyDescent="0.2">
      <c r="L4026" s="270"/>
    </row>
    <row r="4027" spans="12:12" ht="18" customHeight="1" x14ac:dyDescent="0.2">
      <c r="L4027" s="270"/>
    </row>
    <row r="4028" spans="12:12" ht="18" customHeight="1" x14ac:dyDescent="0.2">
      <c r="L4028" s="270"/>
    </row>
    <row r="4029" spans="12:12" ht="18" customHeight="1" x14ac:dyDescent="0.2">
      <c r="L4029" s="270"/>
    </row>
    <row r="4030" spans="12:12" ht="18" customHeight="1" x14ac:dyDescent="0.2">
      <c r="L4030" s="270"/>
    </row>
    <row r="4031" spans="12:12" ht="18" customHeight="1" x14ac:dyDescent="0.2">
      <c r="L4031" s="270"/>
    </row>
    <row r="4032" spans="12:12" ht="18" customHeight="1" x14ac:dyDescent="0.2">
      <c r="L4032" s="270"/>
    </row>
    <row r="4033" spans="12:12" ht="18" customHeight="1" x14ac:dyDescent="0.2">
      <c r="L4033" s="270"/>
    </row>
    <row r="4034" spans="12:12" ht="18" customHeight="1" x14ac:dyDescent="0.2">
      <c r="L4034" s="270"/>
    </row>
    <row r="4035" spans="12:12" ht="18" customHeight="1" x14ac:dyDescent="0.2">
      <c r="L4035" s="270"/>
    </row>
    <row r="4036" spans="12:12" ht="18" customHeight="1" x14ac:dyDescent="0.2">
      <c r="L4036" s="270"/>
    </row>
    <row r="4037" spans="12:12" ht="18" customHeight="1" x14ac:dyDescent="0.2">
      <c r="L4037" s="270"/>
    </row>
    <row r="4038" spans="12:12" ht="18" customHeight="1" x14ac:dyDescent="0.2">
      <c r="L4038" s="270"/>
    </row>
    <row r="4039" spans="12:12" ht="18" customHeight="1" x14ac:dyDescent="0.2">
      <c r="L4039" s="270"/>
    </row>
    <row r="4040" spans="12:12" ht="18" customHeight="1" x14ac:dyDescent="0.2">
      <c r="L4040" s="270"/>
    </row>
    <row r="4041" spans="12:12" ht="18" customHeight="1" x14ac:dyDescent="0.2">
      <c r="L4041" s="270"/>
    </row>
    <row r="4042" spans="12:12" ht="18" customHeight="1" x14ac:dyDescent="0.2">
      <c r="L4042" s="270"/>
    </row>
    <row r="4043" spans="12:12" ht="18" customHeight="1" x14ac:dyDescent="0.2">
      <c r="L4043" s="270"/>
    </row>
    <row r="4044" spans="12:12" ht="18" customHeight="1" x14ac:dyDescent="0.2">
      <c r="L4044" s="270"/>
    </row>
    <row r="4045" spans="12:12" ht="18" customHeight="1" x14ac:dyDescent="0.2">
      <c r="L4045" s="270"/>
    </row>
    <row r="4046" spans="12:12" ht="18" customHeight="1" x14ac:dyDescent="0.2">
      <c r="L4046" s="270"/>
    </row>
    <row r="4047" spans="12:12" ht="18" customHeight="1" x14ac:dyDescent="0.2">
      <c r="L4047" s="270"/>
    </row>
    <row r="4048" spans="12:12" ht="18" customHeight="1" x14ac:dyDescent="0.2">
      <c r="L4048" s="270"/>
    </row>
    <row r="4049" spans="12:12" ht="18" customHeight="1" x14ac:dyDescent="0.2">
      <c r="L4049" s="270"/>
    </row>
    <row r="4050" spans="12:12" ht="18" customHeight="1" x14ac:dyDescent="0.2">
      <c r="L4050" s="270"/>
    </row>
    <row r="4051" spans="12:12" ht="18" customHeight="1" x14ac:dyDescent="0.2">
      <c r="L4051" s="270"/>
    </row>
    <row r="4052" spans="12:12" ht="18" customHeight="1" x14ac:dyDescent="0.2">
      <c r="L4052" s="270"/>
    </row>
    <row r="4053" spans="12:12" ht="18" customHeight="1" x14ac:dyDescent="0.2">
      <c r="L4053" s="270"/>
    </row>
    <row r="4054" spans="12:12" ht="18" customHeight="1" x14ac:dyDescent="0.2">
      <c r="L4054" s="270"/>
    </row>
    <row r="4055" spans="12:12" ht="18" customHeight="1" x14ac:dyDescent="0.2">
      <c r="L4055" s="270"/>
    </row>
    <row r="4056" spans="12:12" ht="18" customHeight="1" x14ac:dyDescent="0.2">
      <c r="L4056" s="270"/>
    </row>
    <row r="4057" spans="12:12" ht="18" customHeight="1" x14ac:dyDescent="0.2">
      <c r="L4057" s="270"/>
    </row>
    <row r="4058" spans="12:12" ht="18" customHeight="1" x14ac:dyDescent="0.2">
      <c r="L4058" s="270"/>
    </row>
    <row r="4059" spans="12:12" ht="18" customHeight="1" x14ac:dyDescent="0.2">
      <c r="L4059" s="270"/>
    </row>
    <row r="4060" spans="12:12" ht="18" customHeight="1" x14ac:dyDescent="0.2">
      <c r="L4060" s="270"/>
    </row>
    <row r="4061" spans="12:12" ht="18" customHeight="1" x14ac:dyDescent="0.2">
      <c r="L4061" s="270"/>
    </row>
    <row r="4062" spans="12:12" ht="18" customHeight="1" x14ac:dyDescent="0.2">
      <c r="L4062" s="270"/>
    </row>
    <row r="4063" spans="12:12" ht="18" customHeight="1" x14ac:dyDescent="0.2">
      <c r="L4063" s="270"/>
    </row>
    <row r="4064" spans="12:12" ht="18" customHeight="1" x14ac:dyDescent="0.2">
      <c r="L4064" s="270"/>
    </row>
    <row r="4065" spans="12:12" ht="18" customHeight="1" x14ac:dyDescent="0.2">
      <c r="L4065" s="270"/>
    </row>
    <row r="4066" spans="12:12" ht="18" customHeight="1" x14ac:dyDescent="0.2">
      <c r="L4066" s="270"/>
    </row>
    <row r="4067" spans="12:12" ht="18" customHeight="1" x14ac:dyDescent="0.2">
      <c r="L4067" s="270"/>
    </row>
    <row r="4068" spans="12:12" ht="18" customHeight="1" x14ac:dyDescent="0.2">
      <c r="L4068" s="270"/>
    </row>
    <row r="4069" spans="12:12" ht="18" customHeight="1" x14ac:dyDescent="0.2">
      <c r="L4069" s="270"/>
    </row>
    <row r="4070" spans="12:12" ht="18" customHeight="1" x14ac:dyDescent="0.2">
      <c r="L4070" s="270"/>
    </row>
    <row r="4071" spans="12:12" ht="18" customHeight="1" x14ac:dyDescent="0.2">
      <c r="L4071" s="270"/>
    </row>
    <row r="4072" spans="12:12" ht="18" customHeight="1" x14ac:dyDescent="0.2">
      <c r="L4072" s="270"/>
    </row>
    <row r="4073" spans="12:12" ht="18" customHeight="1" x14ac:dyDescent="0.2">
      <c r="L4073" s="270"/>
    </row>
    <row r="4074" spans="12:12" ht="18" customHeight="1" x14ac:dyDescent="0.2">
      <c r="L4074" s="270"/>
    </row>
    <row r="4075" spans="12:12" ht="18" customHeight="1" x14ac:dyDescent="0.2">
      <c r="L4075" s="270"/>
    </row>
    <row r="4076" spans="12:12" ht="18" customHeight="1" x14ac:dyDescent="0.2">
      <c r="L4076" s="270"/>
    </row>
    <row r="4077" spans="12:12" ht="18" customHeight="1" x14ac:dyDescent="0.2">
      <c r="L4077" s="270"/>
    </row>
    <row r="4078" spans="12:12" ht="18" customHeight="1" x14ac:dyDescent="0.2">
      <c r="L4078" s="270"/>
    </row>
    <row r="4079" spans="12:12" ht="18" customHeight="1" x14ac:dyDescent="0.2">
      <c r="L4079" s="270"/>
    </row>
    <row r="4080" spans="12:12" ht="18" customHeight="1" x14ac:dyDescent="0.2">
      <c r="L4080" s="270"/>
    </row>
    <row r="4081" spans="12:12" ht="18" customHeight="1" x14ac:dyDescent="0.2">
      <c r="L4081" s="270"/>
    </row>
    <row r="4082" spans="12:12" ht="18" customHeight="1" x14ac:dyDescent="0.2">
      <c r="L4082" s="270"/>
    </row>
    <row r="4083" spans="12:12" ht="18" customHeight="1" x14ac:dyDescent="0.2">
      <c r="L4083" s="270"/>
    </row>
    <row r="4084" spans="12:12" ht="18" customHeight="1" x14ac:dyDescent="0.2">
      <c r="L4084" s="270"/>
    </row>
    <row r="4085" spans="12:12" ht="18" customHeight="1" x14ac:dyDescent="0.2">
      <c r="L4085" s="270"/>
    </row>
    <row r="4086" spans="12:12" ht="18" customHeight="1" x14ac:dyDescent="0.2">
      <c r="L4086" s="270"/>
    </row>
    <row r="4087" spans="12:12" ht="18" customHeight="1" x14ac:dyDescent="0.2">
      <c r="L4087" s="270"/>
    </row>
    <row r="4088" spans="12:12" ht="18" customHeight="1" x14ac:dyDescent="0.2">
      <c r="L4088" s="270"/>
    </row>
    <row r="4089" spans="12:12" ht="18" customHeight="1" x14ac:dyDescent="0.2">
      <c r="L4089" s="270"/>
    </row>
    <row r="4090" spans="12:12" ht="18" customHeight="1" x14ac:dyDescent="0.2">
      <c r="L4090" s="270"/>
    </row>
    <row r="4091" spans="12:12" ht="18" customHeight="1" x14ac:dyDescent="0.2">
      <c r="L4091" s="270"/>
    </row>
    <row r="4092" spans="12:12" ht="18" customHeight="1" x14ac:dyDescent="0.2">
      <c r="L4092" s="270"/>
    </row>
    <row r="4093" spans="12:12" ht="18" customHeight="1" x14ac:dyDescent="0.2">
      <c r="L4093" s="270"/>
    </row>
    <row r="4094" spans="12:12" ht="18" customHeight="1" x14ac:dyDescent="0.2">
      <c r="L4094" s="270"/>
    </row>
    <row r="4095" spans="12:12" ht="18" customHeight="1" x14ac:dyDescent="0.2">
      <c r="L4095" s="270"/>
    </row>
    <row r="4096" spans="12:12" ht="18" customHeight="1" x14ac:dyDescent="0.2">
      <c r="L4096" s="270"/>
    </row>
    <row r="4097" spans="12:12" ht="18" customHeight="1" x14ac:dyDescent="0.2">
      <c r="L4097" s="270"/>
    </row>
    <row r="4098" spans="12:12" ht="18" customHeight="1" x14ac:dyDescent="0.2">
      <c r="L4098" s="270"/>
    </row>
    <row r="4099" spans="12:12" ht="18" customHeight="1" x14ac:dyDescent="0.2">
      <c r="L4099" s="270"/>
    </row>
    <row r="4100" spans="12:12" ht="18" customHeight="1" x14ac:dyDescent="0.2">
      <c r="L4100" s="270"/>
    </row>
    <row r="4101" spans="12:12" ht="18" customHeight="1" x14ac:dyDescent="0.2">
      <c r="L4101" s="270"/>
    </row>
    <row r="4102" spans="12:12" ht="18" customHeight="1" x14ac:dyDescent="0.2">
      <c r="L4102" s="270"/>
    </row>
    <row r="4103" spans="12:12" ht="18" customHeight="1" x14ac:dyDescent="0.2">
      <c r="L4103" s="270"/>
    </row>
    <row r="4104" spans="12:12" ht="18" customHeight="1" x14ac:dyDescent="0.2">
      <c r="L4104" s="270"/>
    </row>
    <row r="4105" spans="12:12" ht="18" customHeight="1" x14ac:dyDescent="0.2">
      <c r="L4105" s="270"/>
    </row>
    <row r="4106" spans="12:12" ht="18" customHeight="1" x14ac:dyDescent="0.2">
      <c r="L4106" s="270"/>
    </row>
    <row r="4107" spans="12:12" ht="18" customHeight="1" x14ac:dyDescent="0.2">
      <c r="L4107" s="270"/>
    </row>
    <row r="4108" spans="12:12" ht="18" customHeight="1" x14ac:dyDescent="0.2">
      <c r="L4108" s="270"/>
    </row>
    <row r="4109" spans="12:12" ht="18" customHeight="1" x14ac:dyDescent="0.2">
      <c r="L4109" s="270"/>
    </row>
    <row r="4110" spans="12:12" ht="18" customHeight="1" x14ac:dyDescent="0.2">
      <c r="L4110" s="270"/>
    </row>
    <row r="4111" spans="12:12" ht="18" customHeight="1" x14ac:dyDescent="0.2">
      <c r="L4111" s="270"/>
    </row>
    <row r="4112" spans="12:12" ht="18" customHeight="1" x14ac:dyDescent="0.2">
      <c r="L4112" s="270"/>
    </row>
    <row r="4113" spans="12:12" ht="18" customHeight="1" x14ac:dyDescent="0.2">
      <c r="L4113" s="270"/>
    </row>
    <row r="4114" spans="12:12" ht="18" customHeight="1" x14ac:dyDescent="0.2">
      <c r="L4114" s="270"/>
    </row>
    <row r="4115" spans="12:12" ht="18" customHeight="1" x14ac:dyDescent="0.2">
      <c r="L4115" s="270"/>
    </row>
    <row r="4116" spans="12:12" ht="18" customHeight="1" x14ac:dyDescent="0.2">
      <c r="L4116" s="270"/>
    </row>
    <row r="4117" spans="12:12" ht="18" customHeight="1" x14ac:dyDescent="0.2">
      <c r="L4117" s="270"/>
    </row>
    <row r="4118" spans="12:12" ht="18" customHeight="1" x14ac:dyDescent="0.2">
      <c r="L4118" s="270"/>
    </row>
    <row r="4119" spans="12:12" ht="18" customHeight="1" x14ac:dyDescent="0.2">
      <c r="L4119" s="270"/>
    </row>
    <row r="4120" spans="12:12" ht="18" customHeight="1" x14ac:dyDescent="0.2">
      <c r="L4120" s="270"/>
    </row>
    <row r="4121" spans="12:12" ht="18" customHeight="1" x14ac:dyDescent="0.2">
      <c r="L4121" s="270"/>
    </row>
    <row r="4122" spans="12:12" ht="18" customHeight="1" x14ac:dyDescent="0.2">
      <c r="L4122" s="270"/>
    </row>
    <row r="4123" spans="12:12" ht="18" customHeight="1" x14ac:dyDescent="0.2">
      <c r="L4123" s="270"/>
    </row>
    <row r="4124" spans="12:12" ht="18" customHeight="1" x14ac:dyDescent="0.2">
      <c r="L4124" s="270"/>
    </row>
    <row r="4125" spans="12:12" ht="18" customHeight="1" x14ac:dyDescent="0.2">
      <c r="L4125" s="270"/>
    </row>
    <row r="4126" spans="12:12" ht="18" customHeight="1" x14ac:dyDescent="0.2">
      <c r="L4126" s="270"/>
    </row>
    <row r="4127" spans="12:12" ht="18" customHeight="1" x14ac:dyDescent="0.2">
      <c r="L4127" s="270"/>
    </row>
    <row r="4128" spans="12:12" ht="18" customHeight="1" x14ac:dyDescent="0.2">
      <c r="L4128" s="270"/>
    </row>
    <row r="4129" spans="12:12" ht="18" customHeight="1" x14ac:dyDescent="0.2">
      <c r="L4129" s="270"/>
    </row>
    <row r="4130" spans="12:12" ht="18" customHeight="1" x14ac:dyDescent="0.2">
      <c r="L4130" s="270"/>
    </row>
    <row r="4131" spans="12:12" ht="18" customHeight="1" x14ac:dyDescent="0.2">
      <c r="L4131" s="270"/>
    </row>
    <row r="4132" spans="12:12" ht="18" customHeight="1" x14ac:dyDescent="0.2">
      <c r="L4132" s="270"/>
    </row>
    <row r="4133" spans="12:12" ht="18" customHeight="1" x14ac:dyDescent="0.2">
      <c r="L4133" s="270"/>
    </row>
    <row r="4134" spans="12:12" ht="18" customHeight="1" x14ac:dyDescent="0.2">
      <c r="L4134" s="270"/>
    </row>
    <row r="4135" spans="12:12" ht="18" customHeight="1" x14ac:dyDescent="0.2">
      <c r="L4135" s="270"/>
    </row>
    <row r="4136" spans="12:12" ht="18" customHeight="1" x14ac:dyDescent="0.2">
      <c r="L4136" s="270"/>
    </row>
    <row r="4137" spans="12:12" ht="18" customHeight="1" x14ac:dyDescent="0.2">
      <c r="L4137" s="270"/>
    </row>
    <row r="4138" spans="12:12" ht="18" customHeight="1" x14ac:dyDescent="0.2">
      <c r="L4138" s="270"/>
    </row>
    <row r="4139" spans="12:12" ht="18" customHeight="1" x14ac:dyDescent="0.2">
      <c r="L4139" s="270"/>
    </row>
    <row r="4140" spans="12:12" ht="18" customHeight="1" x14ac:dyDescent="0.2">
      <c r="L4140" s="270"/>
    </row>
    <row r="4141" spans="12:12" ht="18" customHeight="1" x14ac:dyDescent="0.2">
      <c r="L4141" s="270"/>
    </row>
    <row r="4142" spans="12:12" ht="18" customHeight="1" x14ac:dyDescent="0.2">
      <c r="L4142" s="270"/>
    </row>
    <row r="4143" spans="12:12" ht="18" customHeight="1" x14ac:dyDescent="0.2">
      <c r="L4143" s="270"/>
    </row>
    <row r="4144" spans="12:12" ht="18" customHeight="1" x14ac:dyDescent="0.2">
      <c r="L4144" s="270"/>
    </row>
    <row r="4145" spans="12:12" ht="18" customHeight="1" x14ac:dyDescent="0.2">
      <c r="L4145" s="270"/>
    </row>
    <row r="4146" spans="12:12" ht="18" customHeight="1" x14ac:dyDescent="0.2">
      <c r="L4146" s="270"/>
    </row>
    <row r="4147" spans="12:12" ht="18" customHeight="1" x14ac:dyDescent="0.2">
      <c r="L4147" s="270"/>
    </row>
    <row r="4148" spans="12:12" ht="18" customHeight="1" x14ac:dyDescent="0.2">
      <c r="L4148" s="270"/>
    </row>
    <row r="4149" spans="12:12" ht="18" customHeight="1" x14ac:dyDescent="0.2">
      <c r="L4149" s="270"/>
    </row>
    <row r="4150" spans="12:12" ht="18" customHeight="1" x14ac:dyDescent="0.2">
      <c r="L4150" s="270"/>
    </row>
    <row r="4151" spans="12:12" ht="18" customHeight="1" x14ac:dyDescent="0.2">
      <c r="L4151" s="270"/>
    </row>
    <row r="4152" spans="12:12" ht="18" customHeight="1" x14ac:dyDescent="0.2">
      <c r="L4152" s="270"/>
    </row>
    <row r="4153" spans="12:12" ht="18" customHeight="1" x14ac:dyDescent="0.2">
      <c r="L4153" s="270"/>
    </row>
    <row r="4154" spans="12:12" ht="18" customHeight="1" x14ac:dyDescent="0.2">
      <c r="L4154" s="270"/>
    </row>
    <row r="4155" spans="12:12" ht="18" customHeight="1" x14ac:dyDescent="0.2">
      <c r="L4155" s="270"/>
    </row>
    <row r="4156" spans="12:12" ht="18" customHeight="1" x14ac:dyDescent="0.2">
      <c r="L4156" s="270"/>
    </row>
    <row r="4157" spans="12:12" ht="18" customHeight="1" x14ac:dyDescent="0.2">
      <c r="L4157" s="270"/>
    </row>
    <row r="4158" spans="12:12" ht="18" customHeight="1" x14ac:dyDescent="0.2">
      <c r="L4158" s="270"/>
    </row>
    <row r="4159" spans="12:12" ht="18" customHeight="1" x14ac:dyDescent="0.2">
      <c r="L4159" s="270"/>
    </row>
    <row r="4160" spans="12:12" ht="18" customHeight="1" x14ac:dyDescent="0.2">
      <c r="L4160" s="270"/>
    </row>
    <row r="4161" spans="12:12" ht="18" customHeight="1" x14ac:dyDescent="0.2">
      <c r="L4161" s="270"/>
    </row>
    <row r="4162" spans="12:12" ht="18" customHeight="1" x14ac:dyDescent="0.2">
      <c r="L4162" s="270"/>
    </row>
    <row r="4163" spans="12:12" ht="18" customHeight="1" x14ac:dyDescent="0.2">
      <c r="L4163" s="270"/>
    </row>
    <row r="4164" spans="12:12" ht="18" customHeight="1" x14ac:dyDescent="0.2">
      <c r="L4164" s="270"/>
    </row>
    <row r="4165" spans="12:12" ht="18" customHeight="1" x14ac:dyDescent="0.2">
      <c r="L4165" s="270"/>
    </row>
    <row r="4166" spans="12:12" ht="18" customHeight="1" x14ac:dyDescent="0.2">
      <c r="L4166" s="270"/>
    </row>
    <row r="4167" spans="12:12" ht="18" customHeight="1" x14ac:dyDescent="0.2">
      <c r="L4167" s="270"/>
    </row>
    <row r="4168" spans="12:12" ht="18" customHeight="1" x14ac:dyDescent="0.2">
      <c r="L4168" s="270"/>
    </row>
    <row r="4169" spans="12:12" ht="18" customHeight="1" x14ac:dyDescent="0.2">
      <c r="L4169" s="270"/>
    </row>
    <row r="4170" spans="12:12" ht="18" customHeight="1" x14ac:dyDescent="0.2">
      <c r="L4170" s="270"/>
    </row>
    <row r="4171" spans="12:12" ht="18" customHeight="1" x14ac:dyDescent="0.2">
      <c r="L4171" s="270"/>
    </row>
    <row r="4172" spans="12:12" ht="18" customHeight="1" x14ac:dyDescent="0.2">
      <c r="L4172" s="270"/>
    </row>
    <row r="4173" spans="12:12" ht="18" customHeight="1" x14ac:dyDescent="0.2">
      <c r="L4173" s="270"/>
    </row>
    <row r="4174" spans="12:12" ht="18" customHeight="1" x14ac:dyDescent="0.2">
      <c r="L4174" s="270"/>
    </row>
    <row r="4175" spans="12:12" ht="18" customHeight="1" x14ac:dyDescent="0.2">
      <c r="L4175" s="270"/>
    </row>
    <row r="4176" spans="12:12" ht="18" customHeight="1" x14ac:dyDescent="0.2">
      <c r="L4176" s="270"/>
    </row>
    <row r="4177" spans="12:12" ht="18" customHeight="1" x14ac:dyDescent="0.2">
      <c r="L4177" s="270"/>
    </row>
    <row r="4178" spans="12:12" ht="18" customHeight="1" x14ac:dyDescent="0.2">
      <c r="L4178" s="270"/>
    </row>
    <row r="4179" spans="12:12" ht="18" customHeight="1" x14ac:dyDescent="0.2">
      <c r="L4179" s="270"/>
    </row>
    <row r="4180" spans="12:12" ht="18" customHeight="1" x14ac:dyDescent="0.2">
      <c r="L4180" s="270"/>
    </row>
    <row r="4181" spans="12:12" ht="18" customHeight="1" x14ac:dyDescent="0.2">
      <c r="L4181" s="270"/>
    </row>
    <row r="4182" spans="12:12" ht="18" customHeight="1" x14ac:dyDescent="0.2">
      <c r="L4182" s="270"/>
    </row>
    <row r="4183" spans="12:12" ht="18" customHeight="1" x14ac:dyDescent="0.2">
      <c r="L4183" s="270"/>
    </row>
    <row r="4184" spans="12:12" ht="18" customHeight="1" x14ac:dyDescent="0.2">
      <c r="L4184" s="270"/>
    </row>
    <row r="4185" spans="12:12" ht="18" customHeight="1" x14ac:dyDescent="0.2">
      <c r="L4185" s="270"/>
    </row>
    <row r="4186" spans="12:12" ht="18" customHeight="1" x14ac:dyDescent="0.2">
      <c r="L4186" s="270"/>
    </row>
    <row r="4187" spans="12:12" ht="18" customHeight="1" x14ac:dyDescent="0.2">
      <c r="L4187" s="270"/>
    </row>
    <row r="4188" spans="12:12" ht="18" customHeight="1" x14ac:dyDescent="0.2">
      <c r="L4188" s="270"/>
    </row>
    <row r="4189" spans="12:12" ht="18" customHeight="1" x14ac:dyDescent="0.2">
      <c r="L4189" s="270"/>
    </row>
    <row r="4190" spans="12:12" ht="18" customHeight="1" x14ac:dyDescent="0.2">
      <c r="L4190" s="270"/>
    </row>
    <row r="4191" spans="12:12" ht="18" customHeight="1" x14ac:dyDescent="0.2">
      <c r="L4191" s="270"/>
    </row>
    <row r="4192" spans="12:12" ht="18" customHeight="1" x14ac:dyDescent="0.2">
      <c r="L4192" s="270"/>
    </row>
    <row r="4193" spans="12:12" ht="18" customHeight="1" x14ac:dyDescent="0.2">
      <c r="L4193" s="270"/>
    </row>
    <row r="4194" spans="12:12" ht="18" customHeight="1" x14ac:dyDescent="0.2">
      <c r="L4194" s="270"/>
    </row>
    <row r="4195" spans="12:12" ht="18" customHeight="1" x14ac:dyDescent="0.2">
      <c r="L4195" s="270"/>
    </row>
    <row r="4196" spans="12:12" ht="18" customHeight="1" x14ac:dyDescent="0.2">
      <c r="L4196" s="270"/>
    </row>
    <row r="4197" spans="12:12" ht="18" customHeight="1" x14ac:dyDescent="0.2">
      <c r="L4197" s="270"/>
    </row>
    <row r="4198" spans="12:12" ht="18" customHeight="1" x14ac:dyDescent="0.2">
      <c r="L4198" s="270"/>
    </row>
    <row r="4199" spans="12:12" ht="18" customHeight="1" x14ac:dyDescent="0.2">
      <c r="L4199" s="270"/>
    </row>
    <row r="4200" spans="12:12" ht="18" customHeight="1" x14ac:dyDescent="0.2">
      <c r="L4200" s="270"/>
    </row>
    <row r="4201" spans="12:12" ht="18" customHeight="1" x14ac:dyDescent="0.2">
      <c r="L4201" s="270"/>
    </row>
    <row r="4202" spans="12:12" ht="18" customHeight="1" x14ac:dyDescent="0.2">
      <c r="L4202" s="270"/>
    </row>
    <row r="4203" spans="12:12" ht="18" customHeight="1" x14ac:dyDescent="0.2">
      <c r="L4203" s="270"/>
    </row>
    <row r="4204" spans="12:12" ht="18" customHeight="1" x14ac:dyDescent="0.2">
      <c r="L4204" s="270"/>
    </row>
    <row r="4205" spans="12:12" ht="18" customHeight="1" x14ac:dyDescent="0.2">
      <c r="L4205" s="270"/>
    </row>
    <row r="4206" spans="12:12" ht="18" customHeight="1" x14ac:dyDescent="0.2">
      <c r="L4206" s="270"/>
    </row>
    <row r="4207" spans="12:12" ht="18" customHeight="1" x14ac:dyDescent="0.2">
      <c r="L4207" s="270"/>
    </row>
    <row r="4208" spans="12:12" ht="18" customHeight="1" x14ac:dyDescent="0.2">
      <c r="L4208" s="270"/>
    </row>
    <row r="4209" spans="12:12" ht="18" customHeight="1" x14ac:dyDescent="0.2">
      <c r="L4209" s="270"/>
    </row>
    <row r="4210" spans="12:12" ht="18" customHeight="1" x14ac:dyDescent="0.2">
      <c r="L4210" s="270"/>
    </row>
    <row r="4211" spans="12:12" ht="18" customHeight="1" x14ac:dyDescent="0.2">
      <c r="L4211" s="270"/>
    </row>
    <row r="4212" spans="12:12" ht="18" customHeight="1" x14ac:dyDescent="0.2">
      <c r="L4212" s="270"/>
    </row>
    <row r="4213" spans="12:12" ht="18" customHeight="1" x14ac:dyDescent="0.2">
      <c r="L4213" s="270"/>
    </row>
    <row r="4214" spans="12:12" ht="18" customHeight="1" x14ac:dyDescent="0.2">
      <c r="L4214" s="270"/>
    </row>
    <row r="4215" spans="12:12" ht="18" customHeight="1" x14ac:dyDescent="0.2">
      <c r="L4215" s="270"/>
    </row>
    <row r="4216" spans="12:12" ht="18" customHeight="1" x14ac:dyDescent="0.2">
      <c r="L4216" s="270"/>
    </row>
    <row r="4217" spans="12:12" ht="18" customHeight="1" x14ac:dyDescent="0.2">
      <c r="L4217" s="270"/>
    </row>
    <row r="4218" spans="12:12" ht="18" customHeight="1" x14ac:dyDescent="0.2">
      <c r="L4218" s="270"/>
    </row>
    <row r="4219" spans="12:12" ht="18" customHeight="1" x14ac:dyDescent="0.2">
      <c r="L4219" s="270"/>
    </row>
    <row r="4220" spans="12:12" ht="18" customHeight="1" x14ac:dyDescent="0.2">
      <c r="L4220" s="270"/>
    </row>
    <row r="4221" spans="12:12" ht="18" customHeight="1" x14ac:dyDescent="0.2">
      <c r="L4221" s="270"/>
    </row>
    <row r="4222" spans="12:12" ht="18" customHeight="1" x14ac:dyDescent="0.2">
      <c r="L4222" s="270"/>
    </row>
    <row r="4223" spans="12:12" ht="18" customHeight="1" x14ac:dyDescent="0.2">
      <c r="L4223" s="270"/>
    </row>
    <row r="4224" spans="12:12" ht="18" customHeight="1" x14ac:dyDescent="0.2">
      <c r="L4224" s="270"/>
    </row>
    <row r="4225" spans="12:12" ht="18" customHeight="1" x14ac:dyDescent="0.2">
      <c r="L4225" s="270"/>
    </row>
    <row r="4226" spans="12:12" ht="18" customHeight="1" x14ac:dyDescent="0.2">
      <c r="L4226" s="270"/>
    </row>
    <row r="4227" spans="12:12" ht="18" customHeight="1" x14ac:dyDescent="0.2">
      <c r="L4227" s="270"/>
    </row>
    <row r="4228" spans="12:12" ht="18" customHeight="1" x14ac:dyDescent="0.2">
      <c r="L4228" s="270"/>
    </row>
    <row r="4229" spans="12:12" ht="18" customHeight="1" x14ac:dyDescent="0.2">
      <c r="L4229" s="270"/>
    </row>
    <row r="4230" spans="12:12" ht="18" customHeight="1" x14ac:dyDescent="0.2">
      <c r="L4230" s="270"/>
    </row>
    <row r="4231" spans="12:12" ht="18" customHeight="1" x14ac:dyDescent="0.2">
      <c r="L4231" s="270"/>
    </row>
    <row r="4232" spans="12:12" ht="18" customHeight="1" x14ac:dyDescent="0.2">
      <c r="L4232" s="270"/>
    </row>
    <row r="4233" spans="12:12" ht="18" customHeight="1" x14ac:dyDescent="0.2">
      <c r="L4233" s="270"/>
    </row>
    <row r="4234" spans="12:12" ht="18" customHeight="1" x14ac:dyDescent="0.2">
      <c r="L4234" s="270"/>
    </row>
    <row r="4235" spans="12:12" ht="18" customHeight="1" x14ac:dyDescent="0.2">
      <c r="L4235" s="270"/>
    </row>
    <row r="4236" spans="12:12" ht="18" customHeight="1" x14ac:dyDescent="0.2">
      <c r="L4236" s="270"/>
    </row>
    <row r="4237" spans="12:12" ht="18" customHeight="1" x14ac:dyDescent="0.2">
      <c r="L4237" s="270"/>
    </row>
    <row r="4238" spans="12:12" ht="18" customHeight="1" x14ac:dyDescent="0.2">
      <c r="L4238" s="270"/>
    </row>
    <row r="4239" spans="12:12" ht="18" customHeight="1" x14ac:dyDescent="0.2">
      <c r="L4239" s="270"/>
    </row>
    <row r="4240" spans="12:12" ht="18" customHeight="1" x14ac:dyDescent="0.2">
      <c r="L4240" s="270"/>
    </row>
    <row r="4241" spans="12:12" ht="18" customHeight="1" x14ac:dyDescent="0.2">
      <c r="L4241" s="270"/>
    </row>
    <row r="4242" spans="12:12" ht="18" customHeight="1" x14ac:dyDescent="0.2">
      <c r="L4242" s="270"/>
    </row>
    <row r="4243" spans="12:12" ht="18" customHeight="1" x14ac:dyDescent="0.2">
      <c r="L4243" s="270"/>
    </row>
    <row r="4244" spans="12:12" ht="18" customHeight="1" x14ac:dyDescent="0.2">
      <c r="L4244" s="270"/>
    </row>
    <row r="4245" spans="12:12" ht="18" customHeight="1" x14ac:dyDescent="0.2">
      <c r="L4245" s="270"/>
    </row>
    <row r="4246" spans="12:12" ht="18" customHeight="1" x14ac:dyDescent="0.2">
      <c r="L4246" s="270"/>
    </row>
    <row r="4247" spans="12:12" ht="18" customHeight="1" x14ac:dyDescent="0.2">
      <c r="L4247" s="270"/>
    </row>
    <row r="4248" spans="12:12" ht="18" customHeight="1" x14ac:dyDescent="0.2">
      <c r="L4248" s="270"/>
    </row>
    <row r="4249" spans="12:12" ht="18" customHeight="1" x14ac:dyDescent="0.2">
      <c r="L4249" s="270"/>
    </row>
    <row r="4250" spans="12:12" ht="18" customHeight="1" x14ac:dyDescent="0.2">
      <c r="L4250" s="270"/>
    </row>
    <row r="4251" spans="12:12" ht="18" customHeight="1" x14ac:dyDescent="0.2">
      <c r="L4251" s="270"/>
    </row>
    <row r="4252" spans="12:12" ht="18" customHeight="1" x14ac:dyDescent="0.2">
      <c r="L4252" s="270"/>
    </row>
    <row r="4253" spans="12:12" ht="18" customHeight="1" x14ac:dyDescent="0.2">
      <c r="L4253" s="270"/>
    </row>
    <row r="4254" spans="12:12" ht="18" customHeight="1" x14ac:dyDescent="0.2">
      <c r="L4254" s="270"/>
    </row>
    <row r="4255" spans="12:12" ht="18" customHeight="1" x14ac:dyDescent="0.2">
      <c r="L4255" s="270"/>
    </row>
    <row r="4256" spans="12:12" ht="18" customHeight="1" x14ac:dyDescent="0.2">
      <c r="L4256" s="270"/>
    </row>
    <row r="4257" spans="12:12" ht="18" customHeight="1" x14ac:dyDescent="0.2">
      <c r="L4257" s="270"/>
    </row>
    <row r="4258" spans="12:12" ht="18" customHeight="1" x14ac:dyDescent="0.2">
      <c r="L4258" s="270"/>
    </row>
    <row r="4259" spans="12:12" ht="18" customHeight="1" x14ac:dyDescent="0.2">
      <c r="L4259" s="270"/>
    </row>
    <row r="4260" spans="12:12" ht="18" customHeight="1" x14ac:dyDescent="0.2">
      <c r="L4260" s="270"/>
    </row>
    <row r="4261" spans="12:12" ht="18" customHeight="1" x14ac:dyDescent="0.2">
      <c r="L4261" s="270"/>
    </row>
    <row r="4262" spans="12:12" ht="18" customHeight="1" x14ac:dyDescent="0.2">
      <c r="L4262" s="270"/>
    </row>
    <row r="4263" spans="12:12" ht="18" customHeight="1" x14ac:dyDescent="0.2">
      <c r="L4263" s="270"/>
    </row>
    <row r="4264" spans="12:12" ht="18" customHeight="1" x14ac:dyDescent="0.2">
      <c r="L4264" s="270"/>
    </row>
    <row r="4265" spans="12:12" ht="18" customHeight="1" x14ac:dyDescent="0.2">
      <c r="L4265" s="270"/>
    </row>
    <row r="4266" spans="12:12" ht="18" customHeight="1" x14ac:dyDescent="0.2">
      <c r="L4266" s="270"/>
    </row>
    <row r="4267" spans="12:12" ht="18" customHeight="1" x14ac:dyDescent="0.2">
      <c r="L4267" s="270"/>
    </row>
    <row r="4268" spans="12:12" ht="18" customHeight="1" x14ac:dyDescent="0.2">
      <c r="L4268" s="270"/>
    </row>
    <row r="4269" spans="12:12" ht="18" customHeight="1" x14ac:dyDescent="0.2">
      <c r="L4269" s="270"/>
    </row>
    <row r="4270" spans="12:12" ht="18" customHeight="1" x14ac:dyDescent="0.2">
      <c r="L4270" s="270"/>
    </row>
    <row r="4271" spans="12:12" ht="18" customHeight="1" x14ac:dyDescent="0.2">
      <c r="L4271" s="270"/>
    </row>
    <row r="4272" spans="12:12" ht="18" customHeight="1" x14ac:dyDescent="0.2">
      <c r="L4272" s="270"/>
    </row>
    <row r="4273" spans="12:12" ht="18" customHeight="1" x14ac:dyDescent="0.2">
      <c r="L4273" s="270"/>
    </row>
    <row r="4274" spans="12:12" ht="18" customHeight="1" x14ac:dyDescent="0.2">
      <c r="L4274" s="270"/>
    </row>
    <row r="4275" spans="12:12" ht="18" customHeight="1" x14ac:dyDescent="0.2">
      <c r="L4275" s="270"/>
    </row>
    <row r="4276" spans="12:12" ht="18" customHeight="1" x14ac:dyDescent="0.2">
      <c r="L4276" s="270"/>
    </row>
    <row r="4277" spans="12:12" ht="18" customHeight="1" x14ac:dyDescent="0.2">
      <c r="L4277" s="270"/>
    </row>
    <row r="4278" spans="12:12" ht="18" customHeight="1" x14ac:dyDescent="0.2">
      <c r="L4278" s="270"/>
    </row>
    <row r="4279" spans="12:12" ht="18" customHeight="1" x14ac:dyDescent="0.2">
      <c r="L4279" s="270"/>
    </row>
    <row r="4280" spans="12:12" ht="18" customHeight="1" x14ac:dyDescent="0.2">
      <c r="L4280" s="270"/>
    </row>
    <row r="4281" spans="12:12" ht="18" customHeight="1" x14ac:dyDescent="0.2">
      <c r="L4281" s="270"/>
    </row>
    <row r="4282" spans="12:12" ht="18" customHeight="1" x14ac:dyDescent="0.2">
      <c r="L4282" s="270"/>
    </row>
    <row r="4283" spans="12:12" ht="18" customHeight="1" x14ac:dyDescent="0.2">
      <c r="L4283" s="270"/>
    </row>
    <row r="4284" spans="12:12" ht="18" customHeight="1" x14ac:dyDescent="0.2">
      <c r="L4284" s="270"/>
    </row>
    <row r="4285" spans="12:12" ht="18" customHeight="1" x14ac:dyDescent="0.2">
      <c r="L4285" s="270"/>
    </row>
    <row r="4286" spans="12:12" ht="18" customHeight="1" x14ac:dyDescent="0.2">
      <c r="L4286" s="270"/>
    </row>
    <row r="4287" spans="12:12" ht="18" customHeight="1" x14ac:dyDescent="0.2">
      <c r="L4287" s="270"/>
    </row>
    <row r="4288" spans="12:12" ht="18" customHeight="1" x14ac:dyDescent="0.2">
      <c r="L4288" s="270"/>
    </row>
    <row r="4289" spans="12:12" ht="18" customHeight="1" x14ac:dyDescent="0.2">
      <c r="L4289" s="270"/>
    </row>
    <row r="4290" spans="12:12" ht="18" customHeight="1" x14ac:dyDescent="0.2">
      <c r="L4290" s="270"/>
    </row>
    <row r="4291" spans="12:12" ht="18" customHeight="1" x14ac:dyDescent="0.2">
      <c r="L4291" s="270"/>
    </row>
    <row r="4292" spans="12:12" ht="18" customHeight="1" x14ac:dyDescent="0.2">
      <c r="L4292" s="270"/>
    </row>
    <row r="4293" spans="12:12" ht="18" customHeight="1" x14ac:dyDescent="0.2">
      <c r="L4293" s="270"/>
    </row>
    <row r="4294" spans="12:12" ht="18" customHeight="1" x14ac:dyDescent="0.2">
      <c r="L4294" s="270"/>
    </row>
    <row r="4295" spans="12:12" ht="18" customHeight="1" x14ac:dyDescent="0.2">
      <c r="L4295" s="270"/>
    </row>
    <row r="4296" spans="12:12" ht="18" customHeight="1" x14ac:dyDescent="0.2">
      <c r="L4296" s="270"/>
    </row>
    <row r="4297" spans="12:12" ht="18" customHeight="1" x14ac:dyDescent="0.2">
      <c r="L4297" s="270"/>
    </row>
    <row r="4298" spans="12:12" ht="18" customHeight="1" x14ac:dyDescent="0.2">
      <c r="L4298" s="270"/>
    </row>
    <row r="4299" spans="12:12" ht="18" customHeight="1" x14ac:dyDescent="0.2">
      <c r="L4299" s="270"/>
    </row>
    <row r="4300" spans="12:12" ht="18" customHeight="1" x14ac:dyDescent="0.2">
      <c r="L4300" s="270"/>
    </row>
    <row r="4301" spans="12:12" ht="18" customHeight="1" x14ac:dyDescent="0.2">
      <c r="L4301" s="270"/>
    </row>
    <row r="4302" spans="12:12" ht="18" customHeight="1" x14ac:dyDescent="0.2">
      <c r="L4302" s="270"/>
    </row>
    <row r="4303" spans="12:12" ht="18" customHeight="1" x14ac:dyDescent="0.2">
      <c r="L4303" s="270"/>
    </row>
    <row r="4304" spans="12:12" ht="18" customHeight="1" x14ac:dyDescent="0.2">
      <c r="L4304" s="270"/>
    </row>
    <row r="4305" spans="12:12" ht="18" customHeight="1" x14ac:dyDescent="0.2">
      <c r="L4305" s="270"/>
    </row>
    <row r="4306" spans="12:12" ht="18" customHeight="1" x14ac:dyDescent="0.2">
      <c r="L4306" s="270"/>
    </row>
    <row r="4307" spans="12:12" ht="18" customHeight="1" x14ac:dyDescent="0.2">
      <c r="L4307" s="270"/>
    </row>
    <row r="4308" spans="12:12" ht="18" customHeight="1" x14ac:dyDescent="0.2">
      <c r="L4308" s="270"/>
    </row>
    <row r="4309" spans="12:12" ht="18" customHeight="1" x14ac:dyDescent="0.2">
      <c r="L4309" s="270"/>
    </row>
    <row r="4310" spans="12:12" ht="18" customHeight="1" x14ac:dyDescent="0.2">
      <c r="L4310" s="270"/>
    </row>
    <row r="4311" spans="12:12" ht="18" customHeight="1" x14ac:dyDescent="0.2">
      <c r="L4311" s="270"/>
    </row>
    <row r="4312" spans="12:12" ht="18" customHeight="1" x14ac:dyDescent="0.2">
      <c r="L4312" s="270"/>
    </row>
    <row r="4313" spans="12:12" ht="18" customHeight="1" x14ac:dyDescent="0.2">
      <c r="L4313" s="270"/>
    </row>
    <row r="4314" spans="12:12" ht="18" customHeight="1" x14ac:dyDescent="0.2">
      <c r="L4314" s="270"/>
    </row>
    <row r="4315" spans="12:12" ht="18" customHeight="1" x14ac:dyDescent="0.2">
      <c r="L4315" s="270"/>
    </row>
    <row r="4316" spans="12:12" ht="18" customHeight="1" x14ac:dyDescent="0.2">
      <c r="L4316" s="270"/>
    </row>
    <row r="4317" spans="12:12" ht="18" customHeight="1" x14ac:dyDescent="0.2">
      <c r="L4317" s="270"/>
    </row>
    <row r="4318" spans="12:12" ht="18" customHeight="1" x14ac:dyDescent="0.2">
      <c r="L4318" s="270"/>
    </row>
    <row r="4319" spans="12:12" ht="18" customHeight="1" x14ac:dyDescent="0.2">
      <c r="L4319" s="270"/>
    </row>
    <row r="4320" spans="12:12" ht="18" customHeight="1" x14ac:dyDescent="0.2">
      <c r="L4320" s="270"/>
    </row>
    <row r="4321" spans="12:12" ht="18" customHeight="1" x14ac:dyDescent="0.2">
      <c r="L4321" s="270"/>
    </row>
    <row r="4322" spans="12:12" ht="18" customHeight="1" x14ac:dyDescent="0.2">
      <c r="L4322" s="270"/>
    </row>
    <row r="4323" spans="12:12" ht="18" customHeight="1" x14ac:dyDescent="0.2">
      <c r="L4323" s="270"/>
    </row>
    <row r="4324" spans="12:12" ht="18" customHeight="1" x14ac:dyDescent="0.2">
      <c r="L4324" s="270"/>
    </row>
    <row r="4325" spans="12:12" ht="18" customHeight="1" x14ac:dyDescent="0.2">
      <c r="L4325" s="270"/>
    </row>
    <row r="4326" spans="12:12" ht="18" customHeight="1" x14ac:dyDescent="0.2">
      <c r="L4326" s="270"/>
    </row>
    <row r="4327" spans="12:12" ht="18" customHeight="1" x14ac:dyDescent="0.2">
      <c r="L4327" s="270"/>
    </row>
    <row r="4328" spans="12:12" ht="18" customHeight="1" x14ac:dyDescent="0.2">
      <c r="L4328" s="270"/>
    </row>
    <row r="4329" spans="12:12" ht="18" customHeight="1" x14ac:dyDescent="0.2">
      <c r="L4329" s="270"/>
    </row>
    <row r="4330" spans="12:12" ht="18" customHeight="1" x14ac:dyDescent="0.2">
      <c r="L4330" s="270"/>
    </row>
    <row r="4331" spans="12:12" ht="18" customHeight="1" x14ac:dyDescent="0.2">
      <c r="L4331" s="270"/>
    </row>
    <row r="4332" spans="12:12" ht="18" customHeight="1" x14ac:dyDescent="0.2">
      <c r="L4332" s="270"/>
    </row>
    <row r="4333" spans="12:12" ht="18" customHeight="1" x14ac:dyDescent="0.2">
      <c r="L4333" s="270"/>
    </row>
    <row r="4334" spans="12:12" ht="18" customHeight="1" x14ac:dyDescent="0.2">
      <c r="L4334" s="270"/>
    </row>
    <row r="4335" spans="12:12" ht="18" customHeight="1" x14ac:dyDescent="0.2">
      <c r="L4335" s="270"/>
    </row>
    <row r="4336" spans="12:12" ht="18" customHeight="1" x14ac:dyDescent="0.2">
      <c r="L4336" s="270"/>
    </row>
    <row r="4337" spans="12:12" ht="18" customHeight="1" x14ac:dyDescent="0.2">
      <c r="L4337" s="270"/>
    </row>
    <row r="4338" spans="12:12" ht="18" customHeight="1" x14ac:dyDescent="0.2">
      <c r="L4338" s="270"/>
    </row>
    <row r="4339" spans="12:12" ht="18" customHeight="1" x14ac:dyDescent="0.2">
      <c r="L4339" s="270"/>
    </row>
    <row r="4340" spans="12:12" ht="18" customHeight="1" x14ac:dyDescent="0.2">
      <c r="L4340" s="270"/>
    </row>
    <row r="4341" spans="12:12" ht="18" customHeight="1" x14ac:dyDescent="0.2">
      <c r="L4341" s="270"/>
    </row>
    <row r="4342" spans="12:12" ht="18" customHeight="1" x14ac:dyDescent="0.2">
      <c r="L4342" s="270"/>
    </row>
    <row r="4343" spans="12:12" ht="18" customHeight="1" x14ac:dyDescent="0.2">
      <c r="L4343" s="270"/>
    </row>
    <row r="4344" spans="12:12" ht="18" customHeight="1" x14ac:dyDescent="0.2">
      <c r="L4344" s="270"/>
    </row>
    <row r="4345" spans="12:12" ht="18" customHeight="1" x14ac:dyDescent="0.2">
      <c r="L4345" s="270"/>
    </row>
    <row r="4346" spans="12:12" ht="18" customHeight="1" x14ac:dyDescent="0.2">
      <c r="L4346" s="270"/>
    </row>
    <row r="4347" spans="12:12" ht="18" customHeight="1" x14ac:dyDescent="0.2">
      <c r="L4347" s="270"/>
    </row>
    <row r="4348" spans="12:12" ht="18" customHeight="1" x14ac:dyDescent="0.2">
      <c r="L4348" s="270"/>
    </row>
    <row r="4349" spans="12:12" ht="18" customHeight="1" x14ac:dyDescent="0.2">
      <c r="L4349" s="270"/>
    </row>
    <row r="4350" spans="12:12" ht="18" customHeight="1" x14ac:dyDescent="0.2">
      <c r="L4350" s="270"/>
    </row>
    <row r="4351" spans="12:12" ht="18" customHeight="1" x14ac:dyDescent="0.2">
      <c r="L4351" s="270"/>
    </row>
    <row r="4352" spans="12:12" ht="18" customHeight="1" x14ac:dyDescent="0.2">
      <c r="L4352" s="270"/>
    </row>
    <row r="4353" spans="12:12" ht="18" customHeight="1" x14ac:dyDescent="0.2">
      <c r="L4353" s="270"/>
    </row>
    <row r="4354" spans="12:12" ht="18" customHeight="1" x14ac:dyDescent="0.2">
      <c r="L4354" s="270"/>
    </row>
    <row r="4355" spans="12:12" ht="18" customHeight="1" x14ac:dyDescent="0.2">
      <c r="L4355" s="270"/>
    </row>
    <row r="4356" spans="12:12" ht="18" customHeight="1" x14ac:dyDescent="0.2">
      <c r="L4356" s="270"/>
    </row>
    <row r="4357" spans="12:12" ht="18" customHeight="1" x14ac:dyDescent="0.2">
      <c r="L4357" s="270"/>
    </row>
    <row r="4358" spans="12:12" ht="18" customHeight="1" x14ac:dyDescent="0.2">
      <c r="L4358" s="270"/>
    </row>
    <row r="4359" spans="12:12" ht="18" customHeight="1" x14ac:dyDescent="0.2">
      <c r="L4359" s="270"/>
    </row>
    <row r="4360" spans="12:12" ht="18" customHeight="1" x14ac:dyDescent="0.2">
      <c r="L4360" s="270"/>
    </row>
    <row r="4361" spans="12:12" ht="18" customHeight="1" x14ac:dyDescent="0.2">
      <c r="L4361" s="270"/>
    </row>
    <row r="4362" spans="12:12" ht="18" customHeight="1" x14ac:dyDescent="0.2">
      <c r="L4362" s="270"/>
    </row>
    <row r="4363" spans="12:12" ht="18" customHeight="1" x14ac:dyDescent="0.2">
      <c r="L4363" s="270"/>
    </row>
    <row r="4364" spans="12:12" ht="18" customHeight="1" x14ac:dyDescent="0.2">
      <c r="L4364" s="270"/>
    </row>
    <row r="4365" spans="12:12" ht="18" customHeight="1" x14ac:dyDescent="0.2">
      <c r="L4365" s="270"/>
    </row>
    <row r="4366" spans="12:12" ht="18" customHeight="1" x14ac:dyDescent="0.2">
      <c r="L4366" s="270"/>
    </row>
    <row r="4367" spans="12:12" ht="18" customHeight="1" x14ac:dyDescent="0.2">
      <c r="L4367" s="270"/>
    </row>
    <row r="4368" spans="12:12" ht="18" customHeight="1" x14ac:dyDescent="0.2">
      <c r="L4368" s="270"/>
    </row>
    <row r="4369" spans="12:12" ht="18" customHeight="1" x14ac:dyDescent="0.2">
      <c r="L4369" s="270"/>
    </row>
    <row r="4370" spans="12:12" ht="18" customHeight="1" x14ac:dyDescent="0.2">
      <c r="L4370" s="270"/>
    </row>
    <row r="4371" spans="12:12" ht="18" customHeight="1" x14ac:dyDescent="0.2">
      <c r="L4371" s="270"/>
    </row>
    <row r="4372" spans="12:12" ht="18" customHeight="1" x14ac:dyDescent="0.2">
      <c r="L4372" s="270"/>
    </row>
    <row r="4373" spans="12:12" ht="18" customHeight="1" x14ac:dyDescent="0.2">
      <c r="L4373" s="270"/>
    </row>
    <row r="4374" spans="12:12" ht="18" customHeight="1" x14ac:dyDescent="0.2">
      <c r="L4374" s="270"/>
    </row>
    <row r="4375" spans="12:12" ht="18" customHeight="1" x14ac:dyDescent="0.2">
      <c r="L4375" s="270"/>
    </row>
    <row r="4376" spans="12:12" ht="18" customHeight="1" x14ac:dyDescent="0.2">
      <c r="L4376" s="270"/>
    </row>
    <row r="4377" spans="12:12" ht="18" customHeight="1" x14ac:dyDescent="0.2">
      <c r="L4377" s="270"/>
    </row>
    <row r="4378" spans="12:12" ht="18" customHeight="1" x14ac:dyDescent="0.2">
      <c r="L4378" s="270"/>
    </row>
    <row r="4379" spans="12:12" ht="18" customHeight="1" x14ac:dyDescent="0.2">
      <c r="L4379" s="270"/>
    </row>
    <row r="4380" spans="12:12" ht="18" customHeight="1" x14ac:dyDescent="0.2">
      <c r="L4380" s="270"/>
    </row>
    <row r="4381" spans="12:12" ht="18" customHeight="1" x14ac:dyDescent="0.2">
      <c r="L4381" s="270"/>
    </row>
    <row r="4382" spans="12:12" ht="18" customHeight="1" x14ac:dyDescent="0.2">
      <c r="L4382" s="270"/>
    </row>
    <row r="4383" spans="12:12" ht="18" customHeight="1" x14ac:dyDescent="0.2">
      <c r="L4383" s="270"/>
    </row>
    <row r="4384" spans="12:12" ht="18" customHeight="1" x14ac:dyDescent="0.2">
      <c r="L4384" s="270"/>
    </row>
    <row r="4385" spans="12:12" ht="18" customHeight="1" x14ac:dyDescent="0.2">
      <c r="L4385" s="270"/>
    </row>
    <row r="4386" spans="12:12" ht="18" customHeight="1" x14ac:dyDescent="0.2">
      <c r="L4386" s="270"/>
    </row>
    <row r="4387" spans="12:12" ht="18" customHeight="1" x14ac:dyDescent="0.2">
      <c r="L4387" s="270"/>
    </row>
    <row r="4388" spans="12:12" ht="18" customHeight="1" x14ac:dyDescent="0.2">
      <c r="L4388" s="270"/>
    </row>
    <row r="4389" spans="12:12" ht="18" customHeight="1" x14ac:dyDescent="0.2">
      <c r="L4389" s="270"/>
    </row>
    <row r="4390" spans="12:12" ht="18" customHeight="1" x14ac:dyDescent="0.2">
      <c r="L4390" s="270"/>
    </row>
    <row r="4391" spans="12:12" ht="18" customHeight="1" x14ac:dyDescent="0.2">
      <c r="L4391" s="270"/>
    </row>
    <row r="4392" spans="12:12" ht="18" customHeight="1" x14ac:dyDescent="0.2">
      <c r="L4392" s="270"/>
    </row>
    <row r="4393" spans="12:12" ht="18" customHeight="1" x14ac:dyDescent="0.2">
      <c r="L4393" s="270"/>
    </row>
    <row r="4394" spans="12:12" ht="18" customHeight="1" x14ac:dyDescent="0.2">
      <c r="L4394" s="270"/>
    </row>
    <row r="4395" spans="12:12" ht="18" customHeight="1" x14ac:dyDescent="0.2">
      <c r="L4395" s="270"/>
    </row>
    <row r="4396" spans="12:12" ht="18" customHeight="1" x14ac:dyDescent="0.2">
      <c r="L4396" s="270"/>
    </row>
    <row r="4397" spans="12:12" ht="18" customHeight="1" x14ac:dyDescent="0.2">
      <c r="L4397" s="270"/>
    </row>
    <row r="4398" spans="12:12" ht="18" customHeight="1" x14ac:dyDescent="0.2">
      <c r="L4398" s="270"/>
    </row>
    <row r="4399" spans="12:12" ht="18" customHeight="1" x14ac:dyDescent="0.2">
      <c r="L4399" s="270"/>
    </row>
    <row r="4400" spans="12:12" ht="18" customHeight="1" x14ac:dyDescent="0.2">
      <c r="L4400" s="270"/>
    </row>
    <row r="4401" spans="12:12" ht="18" customHeight="1" x14ac:dyDescent="0.2">
      <c r="L4401" s="270"/>
    </row>
    <row r="4402" spans="12:12" ht="18" customHeight="1" x14ac:dyDescent="0.2">
      <c r="L4402" s="270"/>
    </row>
    <row r="4403" spans="12:12" ht="18" customHeight="1" x14ac:dyDescent="0.2">
      <c r="L4403" s="270"/>
    </row>
    <row r="4404" spans="12:12" ht="18" customHeight="1" x14ac:dyDescent="0.2">
      <c r="L4404" s="270"/>
    </row>
    <row r="4405" spans="12:12" ht="18" customHeight="1" x14ac:dyDescent="0.2">
      <c r="L4405" s="270"/>
    </row>
    <row r="4406" spans="12:12" ht="18" customHeight="1" x14ac:dyDescent="0.2">
      <c r="L4406" s="270"/>
    </row>
    <row r="4407" spans="12:12" ht="18" customHeight="1" x14ac:dyDescent="0.2">
      <c r="L4407" s="270"/>
    </row>
    <row r="4408" spans="12:12" ht="18" customHeight="1" x14ac:dyDescent="0.2">
      <c r="L4408" s="270"/>
    </row>
    <row r="4409" spans="12:12" ht="18" customHeight="1" x14ac:dyDescent="0.2">
      <c r="L4409" s="270"/>
    </row>
    <row r="4410" spans="12:12" ht="18" customHeight="1" x14ac:dyDescent="0.2">
      <c r="L4410" s="270"/>
    </row>
    <row r="4411" spans="12:12" ht="18" customHeight="1" x14ac:dyDescent="0.2">
      <c r="L4411" s="270"/>
    </row>
    <row r="4412" spans="12:12" ht="18" customHeight="1" x14ac:dyDescent="0.2">
      <c r="L4412" s="270"/>
    </row>
    <row r="4413" spans="12:12" ht="18" customHeight="1" x14ac:dyDescent="0.2">
      <c r="L4413" s="270"/>
    </row>
    <row r="4414" spans="12:12" ht="18" customHeight="1" x14ac:dyDescent="0.2">
      <c r="L4414" s="270"/>
    </row>
    <row r="4415" spans="12:12" ht="18" customHeight="1" x14ac:dyDescent="0.2">
      <c r="L4415" s="270"/>
    </row>
    <row r="4416" spans="12:12" ht="18" customHeight="1" x14ac:dyDescent="0.2">
      <c r="L4416" s="270"/>
    </row>
    <row r="4417" spans="12:12" ht="18" customHeight="1" x14ac:dyDescent="0.2">
      <c r="L4417" s="270"/>
    </row>
    <row r="4418" spans="12:12" ht="18" customHeight="1" x14ac:dyDescent="0.2">
      <c r="L4418" s="270"/>
    </row>
    <row r="4419" spans="12:12" ht="18" customHeight="1" x14ac:dyDescent="0.2">
      <c r="L4419" s="270"/>
    </row>
    <row r="4420" spans="12:12" ht="18" customHeight="1" x14ac:dyDescent="0.2">
      <c r="L4420" s="270"/>
    </row>
    <row r="4421" spans="12:12" ht="18" customHeight="1" x14ac:dyDescent="0.2">
      <c r="L4421" s="270"/>
    </row>
    <row r="4422" spans="12:12" ht="18" customHeight="1" x14ac:dyDescent="0.2">
      <c r="L4422" s="270"/>
    </row>
    <row r="4423" spans="12:12" ht="18" customHeight="1" x14ac:dyDescent="0.2">
      <c r="L4423" s="270"/>
    </row>
    <row r="4424" spans="12:12" ht="18" customHeight="1" x14ac:dyDescent="0.2">
      <c r="L4424" s="270"/>
    </row>
    <row r="4425" spans="12:12" ht="18" customHeight="1" x14ac:dyDescent="0.2">
      <c r="L4425" s="270"/>
    </row>
    <row r="4426" spans="12:12" ht="18" customHeight="1" x14ac:dyDescent="0.2">
      <c r="L4426" s="270"/>
    </row>
    <row r="4427" spans="12:12" ht="18" customHeight="1" x14ac:dyDescent="0.2">
      <c r="L4427" s="270"/>
    </row>
    <row r="4428" spans="12:12" ht="18" customHeight="1" x14ac:dyDescent="0.2">
      <c r="L4428" s="270"/>
    </row>
    <row r="4429" spans="12:12" ht="18" customHeight="1" x14ac:dyDescent="0.2">
      <c r="L4429" s="270"/>
    </row>
    <row r="4430" spans="12:12" ht="18" customHeight="1" x14ac:dyDescent="0.2">
      <c r="L4430" s="270"/>
    </row>
    <row r="4431" spans="12:12" ht="18" customHeight="1" x14ac:dyDescent="0.2">
      <c r="L4431" s="270"/>
    </row>
    <row r="4432" spans="12:12" ht="18" customHeight="1" x14ac:dyDescent="0.2">
      <c r="L4432" s="270"/>
    </row>
    <row r="4433" spans="12:12" ht="18" customHeight="1" x14ac:dyDescent="0.2">
      <c r="L4433" s="270"/>
    </row>
    <row r="4434" spans="12:12" ht="18" customHeight="1" x14ac:dyDescent="0.2">
      <c r="L4434" s="270"/>
    </row>
    <row r="4435" spans="12:12" ht="18" customHeight="1" x14ac:dyDescent="0.2">
      <c r="L4435" s="270"/>
    </row>
    <row r="4436" spans="12:12" ht="18" customHeight="1" x14ac:dyDescent="0.2">
      <c r="L4436" s="270"/>
    </row>
    <row r="4437" spans="12:12" ht="18" customHeight="1" x14ac:dyDescent="0.2">
      <c r="L4437" s="270"/>
    </row>
    <row r="4438" spans="12:12" ht="18" customHeight="1" x14ac:dyDescent="0.2">
      <c r="L4438" s="270"/>
    </row>
    <row r="4439" spans="12:12" ht="18" customHeight="1" x14ac:dyDescent="0.2">
      <c r="L4439" s="270"/>
    </row>
    <row r="4440" spans="12:12" ht="18" customHeight="1" x14ac:dyDescent="0.2">
      <c r="L4440" s="270"/>
    </row>
    <row r="4441" spans="12:12" ht="18" customHeight="1" x14ac:dyDescent="0.2">
      <c r="L4441" s="270"/>
    </row>
    <row r="4442" spans="12:12" ht="18" customHeight="1" x14ac:dyDescent="0.2">
      <c r="L4442" s="270"/>
    </row>
    <row r="4443" spans="12:12" ht="18" customHeight="1" x14ac:dyDescent="0.2">
      <c r="L4443" s="270"/>
    </row>
    <row r="4444" spans="12:12" ht="18" customHeight="1" x14ac:dyDescent="0.2">
      <c r="L4444" s="270"/>
    </row>
    <row r="4445" spans="12:12" ht="18" customHeight="1" x14ac:dyDescent="0.2">
      <c r="L4445" s="270"/>
    </row>
    <row r="4446" spans="12:12" ht="18" customHeight="1" x14ac:dyDescent="0.2">
      <c r="L4446" s="270"/>
    </row>
    <row r="4447" spans="12:12" ht="18" customHeight="1" x14ac:dyDescent="0.2">
      <c r="L4447" s="270"/>
    </row>
    <row r="4448" spans="12:12" ht="18" customHeight="1" x14ac:dyDescent="0.2">
      <c r="L4448" s="270"/>
    </row>
    <row r="4449" spans="12:12" ht="18" customHeight="1" x14ac:dyDescent="0.2">
      <c r="L4449" s="270"/>
    </row>
    <row r="4450" spans="12:12" ht="18" customHeight="1" x14ac:dyDescent="0.2">
      <c r="L4450" s="270"/>
    </row>
    <row r="4451" spans="12:12" ht="18" customHeight="1" x14ac:dyDescent="0.2">
      <c r="L4451" s="270"/>
    </row>
    <row r="4452" spans="12:12" ht="18" customHeight="1" x14ac:dyDescent="0.2">
      <c r="L4452" s="270"/>
    </row>
    <row r="4453" spans="12:12" ht="18" customHeight="1" x14ac:dyDescent="0.2">
      <c r="L4453" s="270"/>
    </row>
    <row r="4454" spans="12:12" ht="18" customHeight="1" x14ac:dyDescent="0.2">
      <c r="L4454" s="270"/>
    </row>
    <row r="4455" spans="12:12" ht="18" customHeight="1" x14ac:dyDescent="0.2">
      <c r="L4455" s="270"/>
    </row>
    <row r="4456" spans="12:12" ht="18" customHeight="1" x14ac:dyDescent="0.2">
      <c r="L4456" s="270"/>
    </row>
    <row r="4457" spans="12:12" ht="18" customHeight="1" x14ac:dyDescent="0.2">
      <c r="L4457" s="270"/>
    </row>
    <row r="4458" spans="12:12" ht="18" customHeight="1" x14ac:dyDescent="0.2">
      <c r="L4458" s="270"/>
    </row>
    <row r="4459" spans="12:12" ht="18" customHeight="1" x14ac:dyDescent="0.2">
      <c r="L4459" s="270"/>
    </row>
    <row r="4460" spans="12:12" ht="18" customHeight="1" x14ac:dyDescent="0.2">
      <c r="L4460" s="270"/>
    </row>
    <row r="4461" spans="12:12" ht="18" customHeight="1" x14ac:dyDescent="0.2">
      <c r="L4461" s="270"/>
    </row>
    <row r="4462" spans="12:12" ht="18" customHeight="1" x14ac:dyDescent="0.2">
      <c r="L4462" s="270"/>
    </row>
    <row r="4463" spans="12:12" ht="18" customHeight="1" x14ac:dyDescent="0.2">
      <c r="L4463" s="270"/>
    </row>
    <row r="4464" spans="12:12" ht="18" customHeight="1" x14ac:dyDescent="0.2">
      <c r="L4464" s="270"/>
    </row>
    <row r="4465" spans="12:12" ht="18" customHeight="1" x14ac:dyDescent="0.2">
      <c r="L4465" s="270"/>
    </row>
    <row r="4466" spans="12:12" ht="18" customHeight="1" x14ac:dyDescent="0.2">
      <c r="L4466" s="270"/>
    </row>
    <row r="4467" spans="12:12" ht="18" customHeight="1" x14ac:dyDescent="0.2">
      <c r="L4467" s="270"/>
    </row>
    <row r="4468" spans="12:12" ht="18" customHeight="1" x14ac:dyDescent="0.2">
      <c r="L4468" s="270"/>
    </row>
    <row r="4469" spans="12:12" ht="18" customHeight="1" x14ac:dyDescent="0.2">
      <c r="L4469" s="270"/>
    </row>
    <row r="4470" spans="12:12" ht="18" customHeight="1" x14ac:dyDescent="0.2">
      <c r="L4470" s="270"/>
    </row>
    <row r="4471" spans="12:12" ht="18" customHeight="1" x14ac:dyDescent="0.2">
      <c r="L4471" s="270"/>
    </row>
    <row r="4472" spans="12:12" ht="18" customHeight="1" x14ac:dyDescent="0.2">
      <c r="L4472" s="270"/>
    </row>
    <row r="4473" spans="12:12" ht="18" customHeight="1" x14ac:dyDescent="0.2">
      <c r="L4473" s="270"/>
    </row>
    <row r="4474" spans="12:12" ht="18" customHeight="1" x14ac:dyDescent="0.2">
      <c r="L4474" s="270"/>
    </row>
    <row r="4475" spans="12:12" ht="18" customHeight="1" x14ac:dyDescent="0.2">
      <c r="L4475" s="270"/>
    </row>
    <row r="4476" spans="12:12" ht="18" customHeight="1" x14ac:dyDescent="0.2">
      <c r="L4476" s="270"/>
    </row>
    <row r="4477" spans="12:12" ht="18" customHeight="1" x14ac:dyDescent="0.2">
      <c r="L4477" s="270"/>
    </row>
    <row r="4478" spans="12:12" ht="18" customHeight="1" x14ac:dyDescent="0.2">
      <c r="L4478" s="270"/>
    </row>
    <row r="4479" spans="12:12" ht="18" customHeight="1" x14ac:dyDescent="0.2">
      <c r="L4479" s="270"/>
    </row>
    <row r="4480" spans="12:12" ht="18" customHeight="1" x14ac:dyDescent="0.2">
      <c r="L4480" s="270"/>
    </row>
    <row r="4481" spans="12:12" ht="18" customHeight="1" x14ac:dyDescent="0.2">
      <c r="L4481" s="270"/>
    </row>
    <row r="4482" spans="12:12" ht="18" customHeight="1" x14ac:dyDescent="0.2">
      <c r="L4482" s="270"/>
    </row>
    <row r="4483" spans="12:12" ht="18" customHeight="1" x14ac:dyDescent="0.2">
      <c r="L4483" s="270"/>
    </row>
    <row r="4484" spans="12:12" ht="18" customHeight="1" x14ac:dyDescent="0.2">
      <c r="L4484" s="270"/>
    </row>
    <row r="4485" spans="12:12" ht="18" customHeight="1" x14ac:dyDescent="0.2">
      <c r="L4485" s="270"/>
    </row>
    <row r="4486" spans="12:12" ht="18" customHeight="1" x14ac:dyDescent="0.2">
      <c r="L4486" s="270"/>
    </row>
    <row r="4487" spans="12:12" ht="18" customHeight="1" x14ac:dyDescent="0.2">
      <c r="L4487" s="270"/>
    </row>
    <row r="4488" spans="12:12" ht="18" customHeight="1" x14ac:dyDescent="0.2">
      <c r="L4488" s="270"/>
    </row>
    <row r="4489" spans="12:12" ht="18" customHeight="1" x14ac:dyDescent="0.2">
      <c r="L4489" s="270"/>
    </row>
    <row r="4490" spans="12:12" ht="18" customHeight="1" x14ac:dyDescent="0.2">
      <c r="L4490" s="270"/>
    </row>
    <row r="4491" spans="12:12" ht="18" customHeight="1" x14ac:dyDescent="0.2">
      <c r="L4491" s="270"/>
    </row>
    <row r="4492" spans="12:12" ht="18" customHeight="1" x14ac:dyDescent="0.2">
      <c r="L4492" s="270"/>
    </row>
    <row r="4493" spans="12:12" ht="18" customHeight="1" x14ac:dyDescent="0.2">
      <c r="L4493" s="270"/>
    </row>
    <row r="4494" spans="12:12" ht="18" customHeight="1" x14ac:dyDescent="0.2">
      <c r="L4494" s="270"/>
    </row>
    <row r="4495" spans="12:12" ht="18" customHeight="1" x14ac:dyDescent="0.2">
      <c r="L4495" s="270"/>
    </row>
    <row r="4496" spans="12:12" ht="18" customHeight="1" x14ac:dyDescent="0.2">
      <c r="L4496" s="270"/>
    </row>
    <row r="4497" spans="12:12" ht="18" customHeight="1" x14ac:dyDescent="0.2">
      <c r="L4497" s="270"/>
    </row>
    <row r="4498" spans="12:12" ht="18" customHeight="1" x14ac:dyDescent="0.2">
      <c r="L4498" s="270"/>
    </row>
    <row r="4499" spans="12:12" ht="18" customHeight="1" x14ac:dyDescent="0.2">
      <c r="L4499" s="270"/>
    </row>
    <row r="4500" spans="12:12" ht="18" customHeight="1" x14ac:dyDescent="0.2">
      <c r="L4500" s="270"/>
    </row>
    <row r="4501" spans="12:12" ht="18" customHeight="1" x14ac:dyDescent="0.2">
      <c r="L4501" s="270"/>
    </row>
    <row r="4502" spans="12:12" ht="18" customHeight="1" x14ac:dyDescent="0.2">
      <c r="L4502" s="270"/>
    </row>
    <row r="4503" spans="12:12" ht="18" customHeight="1" x14ac:dyDescent="0.2">
      <c r="L4503" s="270"/>
    </row>
    <row r="4504" spans="12:12" ht="18" customHeight="1" x14ac:dyDescent="0.2">
      <c r="L4504" s="270"/>
    </row>
    <row r="4505" spans="12:12" ht="18" customHeight="1" x14ac:dyDescent="0.2">
      <c r="L4505" s="270"/>
    </row>
    <row r="4506" spans="12:12" ht="18" customHeight="1" x14ac:dyDescent="0.2">
      <c r="L4506" s="270"/>
    </row>
    <row r="4507" spans="12:12" ht="18" customHeight="1" x14ac:dyDescent="0.2">
      <c r="L4507" s="270"/>
    </row>
    <row r="4508" spans="12:12" ht="18" customHeight="1" x14ac:dyDescent="0.2">
      <c r="L4508" s="270"/>
    </row>
    <row r="4509" spans="12:12" ht="18" customHeight="1" x14ac:dyDescent="0.2">
      <c r="L4509" s="270"/>
    </row>
    <row r="4510" spans="12:12" ht="18" customHeight="1" x14ac:dyDescent="0.2">
      <c r="L4510" s="270"/>
    </row>
    <row r="4511" spans="12:12" ht="18" customHeight="1" x14ac:dyDescent="0.2">
      <c r="L4511" s="270"/>
    </row>
    <row r="4512" spans="12:12" ht="18" customHeight="1" x14ac:dyDescent="0.2">
      <c r="L4512" s="270"/>
    </row>
    <row r="4513" spans="12:12" ht="18" customHeight="1" x14ac:dyDescent="0.2">
      <c r="L4513" s="270"/>
    </row>
    <row r="4514" spans="12:12" ht="18" customHeight="1" x14ac:dyDescent="0.2">
      <c r="L4514" s="270"/>
    </row>
    <row r="4515" spans="12:12" ht="18" customHeight="1" x14ac:dyDescent="0.2">
      <c r="L4515" s="270"/>
    </row>
    <row r="4516" spans="12:12" ht="18" customHeight="1" x14ac:dyDescent="0.2">
      <c r="L4516" s="270"/>
    </row>
    <row r="4517" spans="12:12" ht="18" customHeight="1" x14ac:dyDescent="0.2">
      <c r="L4517" s="270"/>
    </row>
    <row r="4518" spans="12:12" ht="18" customHeight="1" x14ac:dyDescent="0.2">
      <c r="L4518" s="270"/>
    </row>
    <row r="4519" spans="12:12" ht="18" customHeight="1" x14ac:dyDescent="0.2">
      <c r="L4519" s="270"/>
    </row>
    <row r="4520" spans="12:12" ht="18" customHeight="1" x14ac:dyDescent="0.2">
      <c r="L4520" s="270"/>
    </row>
    <row r="4521" spans="12:12" ht="18" customHeight="1" x14ac:dyDescent="0.2">
      <c r="L4521" s="270"/>
    </row>
    <row r="4522" spans="12:12" ht="18" customHeight="1" x14ac:dyDescent="0.2">
      <c r="L4522" s="270"/>
    </row>
    <row r="4523" spans="12:12" ht="18" customHeight="1" x14ac:dyDescent="0.2">
      <c r="L4523" s="270"/>
    </row>
    <row r="4524" spans="12:12" ht="18" customHeight="1" x14ac:dyDescent="0.2">
      <c r="L4524" s="270"/>
    </row>
    <row r="4525" spans="12:12" ht="18" customHeight="1" x14ac:dyDescent="0.2">
      <c r="L4525" s="270"/>
    </row>
    <row r="4526" spans="12:12" ht="18" customHeight="1" x14ac:dyDescent="0.2">
      <c r="L4526" s="270"/>
    </row>
    <row r="4527" spans="12:12" ht="18" customHeight="1" x14ac:dyDescent="0.2">
      <c r="L4527" s="270"/>
    </row>
    <row r="4528" spans="12:12" ht="18" customHeight="1" x14ac:dyDescent="0.2">
      <c r="L4528" s="270"/>
    </row>
    <row r="4529" spans="12:12" ht="18" customHeight="1" x14ac:dyDescent="0.2">
      <c r="L4529" s="270"/>
    </row>
    <row r="4530" spans="12:12" ht="18" customHeight="1" x14ac:dyDescent="0.2">
      <c r="L4530" s="270"/>
    </row>
    <row r="4531" spans="12:12" ht="18" customHeight="1" x14ac:dyDescent="0.2">
      <c r="L4531" s="270"/>
    </row>
    <row r="4532" spans="12:12" ht="18" customHeight="1" x14ac:dyDescent="0.2">
      <c r="L4532" s="270"/>
    </row>
    <row r="4533" spans="12:12" ht="18" customHeight="1" x14ac:dyDescent="0.2">
      <c r="L4533" s="270"/>
    </row>
    <row r="4534" spans="12:12" ht="18" customHeight="1" x14ac:dyDescent="0.2">
      <c r="L4534" s="270"/>
    </row>
    <row r="4535" spans="12:12" ht="18" customHeight="1" x14ac:dyDescent="0.2">
      <c r="L4535" s="270"/>
    </row>
    <row r="4536" spans="12:12" ht="18" customHeight="1" x14ac:dyDescent="0.2">
      <c r="L4536" s="270"/>
    </row>
    <row r="4537" spans="12:12" ht="18" customHeight="1" x14ac:dyDescent="0.2">
      <c r="L4537" s="270"/>
    </row>
    <row r="4538" spans="12:12" ht="18" customHeight="1" x14ac:dyDescent="0.2">
      <c r="L4538" s="270"/>
    </row>
    <row r="4539" spans="12:12" ht="18" customHeight="1" x14ac:dyDescent="0.2">
      <c r="L4539" s="270"/>
    </row>
    <row r="4540" spans="12:12" ht="18" customHeight="1" x14ac:dyDescent="0.2">
      <c r="L4540" s="270"/>
    </row>
    <row r="4541" spans="12:12" ht="18" customHeight="1" x14ac:dyDescent="0.2">
      <c r="L4541" s="270"/>
    </row>
    <row r="4542" spans="12:12" ht="18" customHeight="1" x14ac:dyDescent="0.2">
      <c r="L4542" s="270"/>
    </row>
    <row r="4543" spans="12:12" ht="18" customHeight="1" x14ac:dyDescent="0.2">
      <c r="L4543" s="270"/>
    </row>
    <row r="4544" spans="12:12" ht="18" customHeight="1" x14ac:dyDescent="0.2">
      <c r="L4544" s="270"/>
    </row>
    <row r="4545" spans="12:12" ht="18" customHeight="1" x14ac:dyDescent="0.2">
      <c r="L4545" s="270"/>
    </row>
    <row r="4546" spans="12:12" ht="18" customHeight="1" x14ac:dyDescent="0.2">
      <c r="L4546" s="270"/>
    </row>
    <row r="4547" spans="12:12" ht="18" customHeight="1" x14ac:dyDescent="0.2">
      <c r="L4547" s="270"/>
    </row>
    <row r="4548" spans="12:12" ht="18" customHeight="1" x14ac:dyDescent="0.2">
      <c r="L4548" s="270"/>
    </row>
    <row r="4549" spans="12:12" ht="18" customHeight="1" x14ac:dyDescent="0.2">
      <c r="L4549" s="270"/>
    </row>
    <row r="4550" spans="12:12" ht="18" customHeight="1" x14ac:dyDescent="0.2">
      <c r="L4550" s="270"/>
    </row>
    <row r="4551" spans="12:12" ht="18" customHeight="1" x14ac:dyDescent="0.2">
      <c r="L4551" s="270"/>
    </row>
    <row r="4552" spans="12:12" ht="18" customHeight="1" x14ac:dyDescent="0.2">
      <c r="L4552" s="270"/>
    </row>
    <row r="4553" spans="12:12" ht="18" customHeight="1" x14ac:dyDescent="0.2">
      <c r="L4553" s="270"/>
    </row>
    <row r="4554" spans="12:12" ht="18" customHeight="1" x14ac:dyDescent="0.2">
      <c r="L4554" s="270"/>
    </row>
    <row r="4555" spans="12:12" ht="18" customHeight="1" x14ac:dyDescent="0.2">
      <c r="L4555" s="270"/>
    </row>
    <row r="4556" spans="12:12" ht="18" customHeight="1" x14ac:dyDescent="0.2">
      <c r="L4556" s="270"/>
    </row>
    <row r="4557" spans="12:12" ht="18" customHeight="1" x14ac:dyDescent="0.2">
      <c r="L4557" s="270"/>
    </row>
    <row r="4558" spans="12:12" ht="18" customHeight="1" x14ac:dyDescent="0.2">
      <c r="L4558" s="270"/>
    </row>
    <row r="4559" spans="12:12" ht="18" customHeight="1" x14ac:dyDescent="0.2">
      <c r="L4559" s="270"/>
    </row>
    <row r="4560" spans="12:12" ht="18" customHeight="1" x14ac:dyDescent="0.2">
      <c r="L4560" s="270"/>
    </row>
    <row r="4561" spans="12:12" ht="18" customHeight="1" x14ac:dyDescent="0.2">
      <c r="L4561" s="270"/>
    </row>
    <row r="4562" spans="12:12" ht="18" customHeight="1" x14ac:dyDescent="0.2">
      <c r="L4562" s="270"/>
    </row>
    <row r="4563" spans="12:12" ht="18" customHeight="1" x14ac:dyDescent="0.2">
      <c r="L4563" s="270"/>
    </row>
    <row r="4564" spans="12:12" ht="18" customHeight="1" x14ac:dyDescent="0.2">
      <c r="L4564" s="270"/>
    </row>
    <row r="4565" spans="12:12" ht="18" customHeight="1" x14ac:dyDescent="0.2">
      <c r="L4565" s="270"/>
    </row>
    <row r="4566" spans="12:12" ht="18" customHeight="1" x14ac:dyDescent="0.2">
      <c r="L4566" s="270"/>
    </row>
    <row r="4567" spans="12:12" ht="18" customHeight="1" x14ac:dyDescent="0.2">
      <c r="L4567" s="270"/>
    </row>
    <row r="4568" spans="12:12" ht="18" customHeight="1" x14ac:dyDescent="0.2">
      <c r="L4568" s="270"/>
    </row>
    <row r="4569" spans="12:12" ht="18" customHeight="1" x14ac:dyDescent="0.2">
      <c r="L4569" s="270"/>
    </row>
    <row r="4570" spans="12:12" ht="18" customHeight="1" x14ac:dyDescent="0.2">
      <c r="L4570" s="270"/>
    </row>
    <row r="4571" spans="12:12" ht="18" customHeight="1" x14ac:dyDescent="0.2">
      <c r="L4571" s="270"/>
    </row>
    <row r="4572" spans="12:12" ht="18" customHeight="1" x14ac:dyDescent="0.2">
      <c r="L4572" s="270"/>
    </row>
    <row r="4573" spans="12:12" ht="18" customHeight="1" x14ac:dyDescent="0.2">
      <c r="L4573" s="270"/>
    </row>
    <row r="4574" spans="12:12" ht="18" customHeight="1" x14ac:dyDescent="0.2">
      <c r="L4574" s="270"/>
    </row>
    <row r="4575" spans="12:12" ht="18" customHeight="1" x14ac:dyDescent="0.2">
      <c r="L4575" s="270"/>
    </row>
    <row r="4576" spans="12:12" ht="18" customHeight="1" x14ac:dyDescent="0.2">
      <c r="L4576" s="270"/>
    </row>
    <row r="4577" spans="12:12" ht="18" customHeight="1" x14ac:dyDescent="0.2">
      <c r="L4577" s="270"/>
    </row>
    <row r="4578" spans="12:12" ht="18" customHeight="1" x14ac:dyDescent="0.2">
      <c r="L4578" s="270"/>
    </row>
    <row r="4579" spans="12:12" ht="18" customHeight="1" x14ac:dyDescent="0.2">
      <c r="L4579" s="270"/>
    </row>
    <row r="4580" spans="12:12" ht="18" customHeight="1" x14ac:dyDescent="0.2">
      <c r="L4580" s="270"/>
    </row>
    <row r="4581" spans="12:12" ht="18" customHeight="1" x14ac:dyDescent="0.2">
      <c r="L4581" s="270"/>
    </row>
    <row r="4582" spans="12:12" ht="18" customHeight="1" x14ac:dyDescent="0.2">
      <c r="L4582" s="270"/>
    </row>
    <row r="4583" spans="12:12" ht="18" customHeight="1" x14ac:dyDescent="0.2">
      <c r="L4583" s="270"/>
    </row>
    <row r="4584" spans="12:12" ht="18" customHeight="1" x14ac:dyDescent="0.2">
      <c r="L4584" s="270"/>
    </row>
    <row r="4585" spans="12:12" ht="18" customHeight="1" x14ac:dyDescent="0.2">
      <c r="L4585" s="270"/>
    </row>
    <row r="4586" spans="12:12" ht="18" customHeight="1" x14ac:dyDescent="0.2">
      <c r="L4586" s="270"/>
    </row>
    <row r="4587" spans="12:12" ht="18" customHeight="1" x14ac:dyDescent="0.2">
      <c r="L4587" s="270"/>
    </row>
    <row r="4588" spans="12:12" ht="18" customHeight="1" x14ac:dyDescent="0.2">
      <c r="L4588" s="270"/>
    </row>
    <row r="4589" spans="12:12" ht="18" customHeight="1" x14ac:dyDescent="0.2">
      <c r="L4589" s="270"/>
    </row>
    <row r="4590" spans="12:12" ht="18" customHeight="1" x14ac:dyDescent="0.2">
      <c r="L4590" s="270"/>
    </row>
    <row r="4591" spans="12:12" ht="18" customHeight="1" x14ac:dyDescent="0.2">
      <c r="L4591" s="270"/>
    </row>
    <row r="4592" spans="12:12" ht="18" customHeight="1" x14ac:dyDescent="0.2">
      <c r="L4592" s="270"/>
    </row>
    <row r="4593" spans="12:12" ht="18" customHeight="1" x14ac:dyDescent="0.2">
      <c r="L4593" s="270"/>
    </row>
    <row r="4594" spans="12:12" ht="18" customHeight="1" x14ac:dyDescent="0.2">
      <c r="L4594" s="270"/>
    </row>
    <row r="4595" spans="12:12" ht="18" customHeight="1" x14ac:dyDescent="0.2">
      <c r="L4595" s="270"/>
    </row>
    <row r="4596" spans="12:12" ht="18" customHeight="1" x14ac:dyDescent="0.2">
      <c r="L4596" s="270"/>
    </row>
    <row r="4597" spans="12:12" ht="18" customHeight="1" x14ac:dyDescent="0.2">
      <c r="L4597" s="270"/>
    </row>
    <row r="4598" spans="12:12" ht="18" customHeight="1" x14ac:dyDescent="0.2">
      <c r="L4598" s="270"/>
    </row>
    <row r="4599" spans="12:12" ht="18" customHeight="1" x14ac:dyDescent="0.2">
      <c r="L4599" s="270"/>
    </row>
    <row r="4600" spans="12:12" ht="18" customHeight="1" x14ac:dyDescent="0.2">
      <c r="L4600" s="270"/>
    </row>
    <row r="4601" spans="12:12" ht="18" customHeight="1" x14ac:dyDescent="0.2">
      <c r="L4601" s="270"/>
    </row>
    <row r="4602" spans="12:12" ht="18" customHeight="1" x14ac:dyDescent="0.2">
      <c r="L4602" s="270"/>
    </row>
    <row r="4603" spans="12:12" ht="18" customHeight="1" x14ac:dyDescent="0.2">
      <c r="L4603" s="270"/>
    </row>
    <row r="4604" spans="12:12" ht="18" customHeight="1" x14ac:dyDescent="0.2">
      <c r="L4604" s="270"/>
    </row>
    <row r="4605" spans="12:12" ht="18" customHeight="1" x14ac:dyDescent="0.2">
      <c r="L4605" s="270"/>
    </row>
    <row r="4606" spans="12:12" ht="18" customHeight="1" x14ac:dyDescent="0.2">
      <c r="L4606" s="270"/>
    </row>
    <row r="4607" spans="12:12" ht="18" customHeight="1" x14ac:dyDescent="0.2">
      <c r="L4607" s="270"/>
    </row>
    <row r="4608" spans="12:12" ht="18" customHeight="1" x14ac:dyDescent="0.2">
      <c r="L4608" s="270"/>
    </row>
    <row r="4609" spans="12:12" ht="18" customHeight="1" x14ac:dyDescent="0.2">
      <c r="L4609" s="270"/>
    </row>
    <row r="4610" spans="12:12" ht="18" customHeight="1" x14ac:dyDescent="0.2">
      <c r="L4610" s="270"/>
    </row>
    <row r="4611" spans="12:12" ht="18" customHeight="1" x14ac:dyDescent="0.2">
      <c r="L4611" s="270"/>
    </row>
    <row r="4612" spans="12:12" ht="18" customHeight="1" x14ac:dyDescent="0.2">
      <c r="L4612" s="270"/>
    </row>
    <row r="4613" spans="12:12" ht="18" customHeight="1" x14ac:dyDescent="0.2">
      <c r="L4613" s="270"/>
    </row>
    <row r="4614" spans="12:12" ht="18" customHeight="1" x14ac:dyDescent="0.2">
      <c r="L4614" s="270"/>
    </row>
    <row r="4615" spans="12:12" ht="18" customHeight="1" x14ac:dyDescent="0.2">
      <c r="L4615" s="270"/>
    </row>
    <row r="4616" spans="12:12" ht="18" customHeight="1" x14ac:dyDescent="0.2">
      <c r="L4616" s="270"/>
    </row>
    <row r="4617" spans="12:12" ht="18" customHeight="1" x14ac:dyDescent="0.2">
      <c r="L4617" s="270"/>
    </row>
    <row r="4618" spans="12:12" ht="18" customHeight="1" x14ac:dyDescent="0.2">
      <c r="L4618" s="270"/>
    </row>
    <row r="4619" spans="12:12" ht="18" customHeight="1" x14ac:dyDescent="0.2">
      <c r="L4619" s="270"/>
    </row>
    <row r="4620" spans="12:12" ht="18" customHeight="1" x14ac:dyDescent="0.2">
      <c r="L4620" s="270"/>
    </row>
    <row r="4621" spans="12:12" ht="18" customHeight="1" x14ac:dyDescent="0.2">
      <c r="L4621" s="270"/>
    </row>
    <row r="4622" spans="12:12" ht="18" customHeight="1" x14ac:dyDescent="0.2">
      <c r="L4622" s="270"/>
    </row>
    <row r="4623" spans="12:12" ht="18" customHeight="1" x14ac:dyDescent="0.2">
      <c r="L4623" s="270"/>
    </row>
    <row r="4624" spans="12:12" ht="18" customHeight="1" x14ac:dyDescent="0.2">
      <c r="L4624" s="270"/>
    </row>
    <row r="4625" spans="12:12" ht="18" customHeight="1" x14ac:dyDescent="0.2">
      <c r="L4625" s="270"/>
    </row>
    <row r="4626" spans="12:12" ht="18" customHeight="1" x14ac:dyDescent="0.2">
      <c r="L4626" s="270"/>
    </row>
    <row r="4627" spans="12:12" ht="18" customHeight="1" x14ac:dyDescent="0.2">
      <c r="L4627" s="270"/>
    </row>
    <row r="4628" spans="12:12" ht="18" customHeight="1" x14ac:dyDescent="0.2">
      <c r="L4628" s="270"/>
    </row>
    <row r="4629" spans="12:12" ht="18" customHeight="1" x14ac:dyDescent="0.2">
      <c r="L4629" s="270"/>
    </row>
    <row r="4630" spans="12:12" ht="18" customHeight="1" x14ac:dyDescent="0.2">
      <c r="L4630" s="270"/>
    </row>
    <row r="4631" spans="12:12" ht="18" customHeight="1" x14ac:dyDescent="0.2">
      <c r="L4631" s="270"/>
    </row>
    <row r="4632" spans="12:12" ht="18" customHeight="1" x14ac:dyDescent="0.2">
      <c r="L4632" s="270"/>
    </row>
    <row r="4633" spans="12:12" ht="18" customHeight="1" x14ac:dyDescent="0.2">
      <c r="L4633" s="270"/>
    </row>
    <row r="4634" spans="12:12" ht="18" customHeight="1" x14ac:dyDescent="0.2">
      <c r="L4634" s="270"/>
    </row>
    <row r="4635" spans="12:12" ht="18" customHeight="1" x14ac:dyDescent="0.2">
      <c r="L4635" s="270"/>
    </row>
    <row r="4636" spans="12:12" ht="18" customHeight="1" x14ac:dyDescent="0.2">
      <c r="L4636" s="270"/>
    </row>
    <row r="4637" spans="12:12" ht="18" customHeight="1" x14ac:dyDescent="0.2">
      <c r="L4637" s="270"/>
    </row>
    <row r="4638" spans="12:12" ht="18" customHeight="1" x14ac:dyDescent="0.2">
      <c r="L4638" s="270"/>
    </row>
    <row r="4639" spans="12:12" ht="18" customHeight="1" x14ac:dyDescent="0.2">
      <c r="L4639" s="270"/>
    </row>
    <row r="4640" spans="12:12" ht="18" customHeight="1" x14ac:dyDescent="0.2">
      <c r="L4640" s="270"/>
    </row>
    <row r="4641" spans="12:12" ht="18" customHeight="1" x14ac:dyDescent="0.2">
      <c r="L4641" s="270"/>
    </row>
    <row r="4642" spans="12:12" ht="18" customHeight="1" x14ac:dyDescent="0.2">
      <c r="L4642" s="270"/>
    </row>
    <row r="4643" spans="12:12" ht="18" customHeight="1" x14ac:dyDescent="0.2">
      <c r="L4643" s="270"/>
    </row>
    <row r="4644" spans="12:12" ht="18" customHeight="1" x14ac:dyDescent="0.2">
      <c r="L4644" s="270"/>
    </row>
    <row r="4645" spans="12:12" ht="18" customHeight="1" x14ac:dyDescent="0.2">
      <c r="L4645" s="270"/>
    </row>
    <row r="4646" spans="12:12" ht="18" customHeight="1" x14ac:dyDescent="0.2">
      <c r="L4646" s="270"/>
    </row>
    <row r="4647" spans="12:12" ht="18" customHeight="1" x14ac:dyDescent="0.2">
      <c r="L4647" s="270"/>
    </row>
    <row r="4648" spans="12:12" ht="18" customHeight="1" x14ac:dyDescent="0.2">
      <c r="L4648" s="270"/>
    </row>
    <row r="4649" spans="12:12" ht="18" customHeight="1" x14ac:dyDescent="0.2">
      <c r="L4649" s="270"/>
    </row>
    <row r="4650" spans="12:12" ht="18" customHeight="1" x14ac:dyDescent="0.2">
      <c r="L4650" s="270"/>
    </row>
    <row r="4651" spans="12:12" ht="18" customHeight="1" x14ac:dyDescent="0.2">
      <c r="L4651" s="270"/>
    </row>
    <row r="4652" spans="12:12" ht="18" customHeight="1" x14ac:dyDescent="0.2">
      <c r="L4652" s="270"/>
    </row>
    <row r="4653" spans="12:12" ht="18" customHeight="1" x14ac:dyDescent="0.2">
      <c r="L4653" s="270"/>
    </row>
    <row r="4654" spans="12:12" ht="18" customHeight="1" x14ac:dyDescent="0.2">
      <c r="L4654" s="270"/>
    </row>
    <row r="4655" spans="12:12" ht="18" customHeight="1" x14ac:dyDescent="0.2">
      <c r="L4655" s="270"/>
    </row>
    <row r="4656" spans="12:12" ht="18" customHeight="1" x14ac:dyDescent="0.2">
      <c r="L4656" s="270"/>
    </row>
    <row r="4657" spans="12:12" ht="18" customHeight="1" x14ac:dyDescent="0.2">
      <c r="L4657" s="270"/>
    </row>
    <row r="4658" spans="12:12" ht="18" customHeight="1" x14ac:dyDescent="0.2">
      <c r="L4658" s="270"/>
    </row>
    <row r="4659" spans="12:12" ht="18" customHeight="1" x14ac:dyDescent="0.2">
      <c r="L4659" s="270"/>
    </row>
    <row r="4660" spans="12:12" ht="18" customHeight="1" x14ac:dyDescent="0.2">
      <c r="L4660" s="270"/>
    </row>
    <row r="4661" spans="12:12" ht="18" customHeight="1" x14ac:dyDescent="0.2">
      <c r="L4661" s="270"/>
    </row>
    <row r="4662" spans="12:12" ht="18" customHeight="1" x14ac:dyDescent="0.2">
      <c r="L4662" s="270"/>
    </row>
    <row r="4663" spans="12:12" ht="18" customHeight="1" x14ac:dyDescent="0.2">
      <c r="L4663" s="270"/>
    </row>
    <row r="4664" spans="12:12" ht="18" customHeight="1" x14ac:dyDescent="0.2">
      <c r="L4664" s="270"/>
    </row>
    <row r="4665" spans="12:12" ht="18" customHeight="1" x14ac:dyDescent="0.2">
      <c r="L4665" s="270"/>
    </row>
    <row r="4666" spans="12:12" ht="18" customHeight="1" x14ac:dyDescent="0.2">
      <c r="L4666" s="270"/>
    </row>
    <row r="4667" spans="12:12" ht="18" customHeight="1" x14ac:dyDescent="0.2">
      <c r="L4667" s="270"/>
    </row>
    <row r="4668" spans="12:12" ht="18" customHeight="1" x14ac:dyDescent="0.2">
      <c r="L4668" s="270"/>
    </row>
    <row r="4669" spans="12:12" ht="18" customHeight="1" x14ac:dyDescent="0.2">
      <c r="L4669" s="270"/>
    </row>
    <row r="4670" spans="12:12" ht="18" customHeight="1" x14ac:dyDescent="0.2">
      <c r="L4670" s="270"/>
    </row>
    <row r="4671" spans="12:12" ht="18" customHeight="1" x14ac:dyDescent="0.2">
      <c r="L4671" s="270"/>
    </row>
    <row r="4672" spans="12:12" ht="18" customHeight="1" x14ac:dyDescent="0.2">
      <c r="L4672" s="270"/>
    </row>
    <row r="4673" spans="12:12" ht="18" customHeight="1" x14ac:dyDescent="0.2">
      <c r="L4673" s="270"/>
    </row>
    <row r="4674" spans="12:12" ht="18" customHeight="1" x14ac:dyDescent="0.2">
      <c r="L4674" s="270"/>
    </row>
    <row r="4675" spans="12:12" ht="18" customHeight="1" x14ac:dyDescent="0.2">
      <c r="L4675" s="270"/>
    </row>
    <row r="4676" spans="12:12" ht="18" customHeight="1" x14ac:dyDescent="0.2">
      <c r="L4676" s="270"/>
    </row>
    <row r="4677" spans="12:12" ht="18" customHeight="1" x14ac:dyDescent="0.2">
      <c r="L4677" s="270"/>
    </row>
    <row r="4678" spans="12:12" ht="18" customHeight="1" x14ac:dyDescent="0.2">
      <c r="L4678" s="270"/>
    </row>
    <row r="4679" spans="12:12" ht="18" customHeight="1" x14ac:dyDescent="0.2">
      <c r="L4679" s="270"/>
    </row>
    <row r="4680" spans="12:12" ht="18" customHeight="1" x14ac:dyDescent="0.2">
      <c r="L4680" s="270"/>
    </row>
    <row r="4681" spans="12:12" ht="18" customHeight="1" x14ac:dyDescent="0.2">
      <c r="L4681" s="270"/>
    </row>
    <row r="4682" spans="12:12" ht="18" customHeight="1" x14ac:dyDescent="0.2">
      <c r="L4682" s="270"/>
    </row>
    <row r="4683" spans="12:12" ht="18" customHeight="1" x14ac:dyDescent="0.2">
      <c r="L4683" s="270"/>
    </row>
    <row r="4684" spans="12:12" ht="18" customHeight="1" x14ac:dyDescent="0.2">
      <c r="L4684" s="270"/>
    </row>
    <row r="4685" spans="12:12" ht="18" customHeight="1" x14ac:dyDescent="0.2">
      <c r="L4685" s="270"/>
    </row>
    <row r="4686" spans="12:12" ht="18" customHeight="1" x14ac:dyDescent="0.2">
      <c r="L4686" s="270"/>
    </row>
    <row r="4687" spans="12:12" ht="18" customHeight="1" x14ac:dyDescent="0.2">
      <c r="L4687" s="270"/>
    </row>
    <row r="4688" spans="12:12" ht="18" customHeight="1" x14ac:dyDescent="0.2">
      <c r="L4688" s="270"/>
    </row>
    <row r="4689" spans="12:12" ht="18" customHeight="1" x14ac:dyDescent="0.2">
      <c r="L4689" s="270"/>
    </row>
    <row r="4690" spans="12:12" ht="18" customHeight="1" x14ac:dyDescent="0.2">
      <c r="L4690" s="270"/>
    </row>
    <row r="4691" spans="12:12" ht="18" customHeight="1" x14ac:dyDescent="0.2">
      <c r="L4691" s="270"/>
    </row>
    <row r="4692" spans="12:12" ht="18" customHeight="1" x14ac:dyDescent="0.2">
      <c r="L4692" s="270"/>
    </row>
    <row r="4693" spans="12:12" ht="18" customHeight="1" x14ac:dyDescent="0.2">
      <c r="L4693" s="270"/>
    </row>
    <row r="4694" spans="12:12" ht="18" customHeight="1" x14ac:dyDescent="0.2">
      <c r="L4694" s="270"/>
    </row>
    <row r="4695" spans="12:12" ht="18" customHeight="1" x14ac:dyDescent="0.2">
      <c r="L4695" s="270"/>
    </row>
    <row r="4696" spans="12:12" ht="18" customHeight="1" x14ac:dyDescent="0.2">
      <c r="L4696" s="270"/>
    </row>
    <row r="4697" spans="12:12" ht="18" customHeight="1" x14ac:dyDescent="0.2">
      <c r="L4697" s="270"/>
    </row>
    <row r="4698" spans="12:12" ht="18" customHeight="1" x14ac:dyDescent="0.2">
      <c r="L4698" s="270"/>
    </row>
    <row r="4699" spans="12:12" ht="18" customHeight="1" x14ac:dyDescent="0.2">
      <c r="L4699" s="270"/>
    </row>
    <row r="4700" spans="12:12" ht="18" customHeight="1" x14ac:dyDescent="0.2">
      <c r="L4700" s="270"/>
    </row>
    <row r="4701" spans="12:12" ht="18" customHeight="1" x14ac:dyDescent="0.2">
      <c r="L4701" s="270"/>
    </row>
    <row r="4702" spans="12:12" ht="18" customHeight="1" x14ac:dyDescent="0.2">
      <c r="L4702" s="270"/>
    </row>
    <row r="4703" spans="12:12" ht="18" customHeight="1" x14ac:dyDescent="0.2">
      <c r="L4703" s="270"/>
    </row>
    <row r="4704" spans="12:12" ht="18" customHeight="1" x14ac:dyDescent="0.2">
      <c r="L4704" s="270"/>
    </row>
    <row r="4705" spans="12:12" ht="18" customHeight="1" x14ac:dyDescent="0.2">
      <c r="L4705" s="270"/>
    </row>
    <row r="4706" spans="12:12" ht="18" customHeight="1" x14ac:dyDescent="0.2">
      <c r="L4706" s="270"/>
    </row>
    <row r="4707" spans="12:12" ht="18" customHeight="1" x14ac:dyDescent="0.2">
      <c r="L4707" s="270"/>
    </row>
    <row r="4708" spans="12:12" ht="18" customHeight="1" x14ac:dyDescent="0.2">
      <c r="L4708" s="270"/>
    </row>
    <row r="4709" spans="12:12" ht="18" customHeight="1" x14ac:dyDescent="0.2">
      <c r="L4709" s="270"/>
    </row>
    <row r="4710" spans="12:12" ht="18" customHeight="1" x14ac:dyDescent="0.2">
      <c r="L4710" s="270"/>
    </row>
    <row r="4711" spans="12:12" ht="18" customHeight="1" x14ac:dyDescent="0.2">
      <c r="L4711" s="270"/>
    </row>
    <row r="4712" spans="12:12" ht="18" customHeight="1" x14ac:dyDescent="0.2">
      <c r="L4712" s="270"/>
    </row>
    <row r="4713" spans="12:12" ht="18" customHeight="1" x14ac:dyDescent="0.2">
      <c r="L4713" s="270"/>
    </row>
    <row r="4714" spans="12:12" ht="18" customHeight="1" x14ac:dyDescent="0.2">
      <c r="L4714" s="270"/>
    </row>
    <row r="4715" spans="12:12" ht="18" customHeight="1" x14ac:dyDescent="0.2">
      <c r="L4715" s="270"/>
    </row>
    <row r="4716" spans="12:12" ht="18" customHeight="1" x14ac:dyDescent="0.2">
      <c r="L4716" s="270"/>
    </row>
    <row r="4717" spans="12:12" ht="18" customHeight="1" x14ac:dyDescent="0.2">
      <c r="L4717" s="270"/>
    </row>
    <row r="4718" spans="12:12" ht="18" customHeight="1" x14ac:dyDescent="0.2">
      <c r="L4718" s="270"/>
    </row>
    <row r="4719" spans="12:12" ht="18" customHeight="1" x14ac:dyDescent="0.2">
      <c r="L4719" s="270"/>
    </row>
    <row r="4720" spans="12:12" ht="18" customHeight="1" x14ac:dyDescent="0.2">
      <c r="L4720" s="270"/>
    </row>
    <row r="4721" spans="12:12" ht="18" customHeight="1" x14ac:dyDescent="0.2">
      <c r="L4721" s="270"/>
    </row>
    <row r="4722" spans="12:12" ht="18" customHeight="1" x14ac:dyDescent="0.2">
      <c r="L4722" s="270"/>
    </row>
    <row r="4723" spans="12:12" ht="18" customHeight="1" x14ac:dyDescent="0.2">
      <c r="L4723" s="270"/>
    </row>
    <row r="4724" spans="12:12" ht="18" customHeight="1" x14ac:dyDescent="0.2">
      <c r="L4724" s="270"/>
    </row>
    <row r="4725" spans="12:12" ht="18" customHeight="1" x14ac:dyDescent="0.2">
      <c r="L4725" s="270"/>
    </row>
    <row r="4726" spans="12:12" ht="18" customHeight="1" x14ac:dyDescent="0.2">
      <c r="L4726" s="270"/>
    </row>
    <row r="4727" spans="12:12" ht="18" customHeight="1" x14ac:dyDescent="0.2">
      <c r="L4727" s="270"/>
    </row>
    <row r="4728" spans="12:12" ht="18" customHeight="1" x14ac:dyDescent="0.2">
      <c r="L4728" s="270"/>
    </row>
    <row r="4729" spans="12:12" ht="18" customHeight="1" x14ac:dyDescent="0.2">
      <c r="L4729" s="270"/>
    </row>
    <row r="4730" spans="12:12" ht="18" customHeight="1" x14ac:dyDescent="0.2">
      <c r="L4730" s="270"/>
    </row>
    <row r="4731" spans="12:12" ht="18" customHeight="1" x14ac:dyDescent="0.2">
      <c r="L4731" s="270"/>
    </row>
    <row r="4732" spans="12:12" ht="18" customHeight="1" x14ac:dyDescent="0.2">
      <c r="L4732" s="270"/>
    </row>
    <row r="4733" spans="12:12" ht="18" customHeight="1" x14ac:dyDescent="0.2">
      <c r="L4733" s="270"/>
    </row>
    <row r="4734" spans="12:12" ht="18" customHeight="1" x14ac:dyDescent="0.2">
      <c r="L4734" s="270"/>
    </row>
    <row r="4735" spans="12:12" ht="18" customHeight="1" x14ac:dyDescent="0.2">
      <c r="L4735" s="270"/>
    </row>
    <row r="4736" spans="12:12" ht="18" customHeight="1" x14ac:dyDescent="0.2">
      <c r="L4736" s="270"/>
    </row>
    <row r="4737" spans="12:12" ht="18" customHeight="1" x14ac:dyDescent="0.2">
      <c r="L4737" s="270"/>
    </row>
    <row r="4738" spans="12:12" ht="18" customHeight="1" x14ac:dyDescent="0.2">
      <c r="L4738" s="270"/>
    </row>
    <row r="4739" spans="12:12" ht="18" customHeight="1" x14ac:dyDescent="0.2">
      <c r="L4739" s="270"/>
    </row>
    <row r="4740" spans="12:12" ht="18" customHeight="1" x14ac:dyDescent="0.2">
      <c r="L4740" s="270"/>
    </row>
    <row r="4741" spans="12:12" ht="18" customHeight="1" x14ac:dyDescent="0.2">
      <c r="L4741" s="270"/>
    </row>
    <row r="4742" spans="12:12" ht="18" customHeight="1" x14ac:dyDescent="0.2">
      <c r="L4742" s="270"/>
    </row>
    <row r="4743" spans="12:12" ht="18" customHeight="1" x14ac:dyDescent="0.2">
      <c r="L4743" s="270"/>
    </row>
    <row r="4744" spans="12:12" ht="18" customHeight="1" x14ac:dyDescent="0.2">
      <c r="L4744" s="270"/>
    </row>
    <row r="4745" spans="12:12" ht="18" customHeight="1" x14ac:dyDescent="0.2">
      <c r="L4745" s="270"/>
    </row>
    <row r="4746" spans="12:12" ht="18" customHeight="1" x14ac:dyDescent="0.2">
      <c r="L4746" s="270"/>
    </row>
    <row r="4747" spans="12:12" ht="18" customHeight="1" x14ac:dyDescent="0.2">
      <c r="L4747" s="270"/>
    </row>
    <row r="4748" spans="12:12" ht="18" customHeight="1" x14ac:dyDescent="0.2">
      <c r="L4748" s="270"/>
    </row>
    <row r="4749" spans="12:12" ht="18" customHeight="1" x14ac:dyDescent="0.2">
      <c r="L4749" s="270"/>
    </row>
    <row r="4750" spans="12:12" ht="18" customHeight="1" x14ac:dyDescent="0.2">
      <c r="L4750" s="270"/>
    </row>
    <row r="4751" spans="12:12" ht="18" customHeight="1" x14ac:dyDescent="0.2">
      <c r="L4751" s="270"/>
    </row>
    <row r="4752" spans="12:12" ht="18" customHeight="1" x14ac:dyDescent="0.2">
      <c r="L4752" s="270"/>
    </row>
    <row r="4753" spans="12:12" ht="18" customHeight="1" x14ac:dyDescent="0.2">
      <c r="L4753" s="270"/>
    </row>
    <row r="4754" spans="12:12" ht="18" customHeight="1" x14ac:dyDescent="0.2">
      <c r="L4754" s="270"/>
    </row>
    <row r="4755" spans="12:12" ht="18" customHeight="1" x14ac:dyDescent="0.2">
      <c r="L4755" s="270"/>
    </row>
    <row r="4756" spans="12:12" ht="18" customHeight="1" x14ac:dyDescent="0.2">
      <c r="L4756" s="270"/>
    </row>
    <row r="4757" spans="12:12" ht="18" customHeight="1" x14ac:dyDescent="0.2">
      <c r="L4757" s="270"/>
    </row>
    <row r="4758" spans="12:12" ht="18" customHeight="1" x14ac:dyDescent="0.2">
      <c r="L4758" s="270"/>
    </row>
    <row r="4759" spans="12:12" ht="18" customHeight="1" x14ac:dyDescent="0.2">
      <c r="L4759" s="270"/>
    </row>
    <row r="4760" spans="12:12" ht="18" customHeight="1" x14ac:dyDescent="0.2">
      <c r="L4760" s="270"/>
    </row>
    <row r="4761" spans="12:12" ht="18" customHeight="1" x14ac:dyDescent="0.2">
      <c r="L4761" s="270"/>
    </row>
    <row r="4762" spans="12:12" ht="18" customHeight="1" x14ac:dyDescent="0.2">
      <c r="L4762" s="270"/>
    </row>
    <row r="4763" spans="12:12" ht="18" customHeight="1" x14ac:dyDescent="0.2">
      <c r="L4763" s="270"/>
    </row>
    <row r="4764" spans="12:12" ht="18" customHeight="1" x14ac:dyDescent="0.2">
      <c r="L4764" s="270"/>
    </row>
    <row r="4765" spans="12:12" ht="18" customHeight="1" x14ac:dyDescent="0.2">
      <c r="L4765" s="270"/>
    </row>
    <row r="4766" spans="12:12" ht="18" customHeight="1" x14ac:dyDescent="0.2">
      <c r="L4766" s="270"/>
    </row>
    <row r="4767" spans="12:12" ht="18" customHeight="1" x14ac:dyDescent="0.2">
      <c r="L4767" s="270"/>
    </row>
    <row r="4768" spans="12:12" ht="18" customHeight="1" x14ac:dyDescent="0.2">
      <c r="L4768" s="270"/>
    </row>
    <row r="4769" spans="12:12" ht="18" customHeight="1" x14ac:dyDescent="0.2">
      <c r="L4769" s="270"/>
    </row>
    <row r="4770" spans="12:12" ht="18" customHeight="1" x14ac:dyDescent="0.2">
      <c r="L4770" s="270"/>
    </row>
    <row r="4771" spans="12:12" ht="18" customHeight="1" x14ac:dyDescent="0.2">
      <c r="L4771" s="270"/>
    </row>
    <row r="4772" spans="12:12" ht="18" customHeight="1" x14ac:dyDescent="0.2">
      <c r="L4772" s="270"/>
    </row>
    <row r="4773" spans="12:12" ht="18" customHeight="1" x14ac:dyDescent="0.2">
      <c r="L4773" s="270"/>
    </row>
    <row r="4774" spans="12:12" ht="18" customHeight="1" x14ac:dyDescent="0.2">
      <c r="L4774" s="270"/>
    </row>
    <row r="4775" spans="12:12" ht="18" customHeight="1" x14ac:dyDescent="0.2">
      <c r="L4775" s="270"/>
    </row>
    <row r="4776" spans="12:12" ht="18" customHeight="1" x14ac:dyDescent="0.2">
      <c r="L4776" s="270"/>
    </row>
    <row r="4777" spans="12:12" ht="18" customHeight="1" x14ac:dyDescent="0.2">
      <c r="L4777" s="270"/>
    </row>
    <row r="4778" spans="12:12" ht="18" customHeight="1" x14ac:dyDescent="0.2">
      <c r="L4778" s="270"/>
    </row>
    <row r="4779" spans="12:12" ht="18" customHeight="1" x14ac:dyDescent="0.2">
      <c r="L4779" s="270"/>
    </row>
    <row r="4780" spans="12:12" ht="18" customHeight="1" x14ac:dyDescent="0.2">
      <c r="L4780" s="270"/>
    </row>
    <row r="4781" spans="12:12" ht="18" customHeight="1" x14ac:dyDescent="0.2">
      <c r="L4781" s="270"/>
    </row>
    <row r="4782" spans="12:12" ht="18" customHeight="1" x14ac:dyDescent="0.2">
      <c r="L4782" s="270"/>
    </row>
    <row r="4783" spans="12:12" ht="18" customHeight="1" x14ac:dyDescent="0.2">
      <c r="L4783" s="270"/>
    </row>
    <row r="4784" spans="12:12" ht="18" customHeight="1" x14ac:dyDescent="0.2">
      <c r="L4784" s="270"/>
    </row>
    <row r="4785" spans="12:12" ht="18" customHeight="1" x14ac:dyDescent="0.2">
      <c r="L4785" s="270"/>
    </row>
    <row r="4786" spans="12:12" ht="18" customHeight="1" x14ac:dyDescent="0.2">
      <c r="L4786" s="270"/>
    </row>
    <row r="4787" spans="12:12" ht="18" customHeight="1" x14ac:dyDescent="0.2">
      <c r="L4787" s="270"/>
    </row>
    <row r="4788" spans="12:12" ht="18" customHeight="1" x14ac:dyDescent="0.2">
      <c r="L4788" s="270"/>
    </row>
    <row r="4789" spans="12:12" ht="18" customHeight="1" x14ac:dyDescent="0.2">
      <c r="L4789" s="270"/>
    </row>
    <row r="4790" spans="12:12" ht="18" customHeight="1" x14ac:dyDescent="0.2">
      <c r="L4790" s="270"/>
    </row>
    <row r="4791" spans="12:12" ht="18" customHeight="1" x14ac:dyDescent="0.2">
      <c r="L4791" s="270"/>
    </row>
    <row r="4792" spans="12:12" ht="18" customHeight="1" x14ac:dyDescent="0.2">
      <c r="L4792" s="270"/>
    </row>
    <row r="4793" spans="12:12" ht="18" customHeight="1" x14ac:dyDescent="0.2">
      <c r="L4793" s="270"/>
    </row>
    <row r="4794" spans="12:12" ht="18" customHeight="1" x14ac:dyDescent="0.2">
      <c r="L4794" s="270"/>
    </row>
    <row r="4795" spans="12:12" ht="18" customHeight="1" x14ac:dyDescent="0.2">
      <c r="L4795" s="270"/>
    </row>
    <row r="4796" spans="12:12" ht="18" customHeight="1" x14ac:dyDescent="0.2">
      <c r="L4796" s="270"/>
    </row>
    <row r="4797" spans="12:12" ht="18" customHeight="1" x14ac:dyDescent="0.2">
      <c r="L4797" s="270"/>
    </row>
    <row r="4798" spans="12:12" ht="18" customHeight="1" x14ac:dyDescent="0.2">
      <c r="L4798" s="270"/>
    </row>
    <row r="4799" spans="12:12" ht="18" customHeight="1" x14ac:dyDescent="0.2">
      <c r="L4799" s="270"/>
    </row>
    <row r="4800" spans="12:12" ht="18" customHeight="1" x14ac:dyDescent="0.2">
      <c r="L4800" s="270"/>
    </row>
    <row r="4801" spans="12:12" ht="18" customHeight="1" x14ac:dyDescent="0.2">
      <c r="L4801" s="270"/>
    </row>
    <row r="4802" spans="12:12" ht="18" customHeight="1" x14ac:dyDescent="0.2">
      <c r="L4802" s="270"/>
    </row>
    <row r="4803" spans="12:12" ht="18" customHeight="1" x14ac:dyDescent="0.2">
      <c r="L4803" s="270"/>
    </row>
    <row r="4804" spans="12:12" ht="18" customHeight="1" x14ac:dyDescent="0.2">
      <c r="L4804" s="270"/>
    </row>
    <row r="4805" spans="12:12" ht="18" customHeight="1" x14ac:dyDescent="0.2">
      <c r="L4805" s="270"/>
    </row>
    <row r="4806" spans="12:12" ht="18" customHeight="1" x14ac:dyDescent="0.2">
      <c r="L4806" s="270"/>
    </row>
    <row r="4807" spans="12:12" ht="18" customHeight="1" x14ac:dyDescent="0.2">
      <c r="L4807" s="270"/>
    </row>
    <row r="4808" spans="12:12" ht="18" customHeight="1" x14ac:dyDescent="0.2">
      <c r="L4808" s="270"/>
    </row>
    <row r="4809" spans="12:12" ht="18" customHeight="1" x14ac:dyDescent="0.2">
      <c r="L4809" s="270"/>
    </row>
    <row r="4810" spans="12:12" ht="18" customHeight="1" x14ac:dyDescent="0.2">
      <c r="L4810" s="270"/>
    </row>
    <row r="4811" spans="12:12" ht="18" customHeight="1" x14ac:dyDescent="0.2">
      <c r="L4811" s="270"/>
    </row>
    <row r="4812" spans="12:12" ht="18" customHeight="1" x14ac:dyDescent="0.2">
      <c r="L4812" s="270"/>
    </row>
    <row r="4813" spans="12:12" ht="18" customHeight="1" x14ac:dyDescent="0.2">
      <c r="L4813" s="270"/>
    </row>
    <row r="4814" spans="12:12" ht="18" customHeight="1" x14ac:dyDescent="0.2">
      <c r="L4814" s="270"/>
    </row>
    <row r="4815" spans="12:12" ht="18" customHeight="1" x14ac:dyDescent="0.2">
      <c r="L4815" s="270"/>
    </row>
    <row r="4816" spans="12:12" ht="18" customHeight="1" x14ac:dyDescent="0.2">
      <c r="L4816" s="270"/>
    </row>
    <row r="4817" spans="12:12" ht="18" customHeight="1" x14ac:dyDescent="0.2">
      <c r="L4817" s="270"/>
    </row>
    <row r="4818" spans="12:12" ht="18" customHeight="1" x14ac:dyDescent="0.2">
      <c r="L4818" s="270"/>
    </row>
    <row r="4819" spans="12:12" ht="18" customHeight="1" x14ac:dyDescent="0.2">
      <c r="L4819" s="270"/>
    </row>
    <row r="4820" spans="12:12" ht="18" customHeight="1" x14ac:dyDescent="0.2">
      <c r="L4820" s="270"/>
    </row>
    <row r="4821" spans="12:12" ht="18" customHeight="1" x14ac:dyDescent="0.2">
      <c r="L4821" s="270"/>
    </row>
    <row r="4822" spans="12:12" ht="18" customHeight="1" x14ac:dyDescent="0.2">
      <c r="L4822" s="270"/>
    </row>
    <row r="4823" spans="12:12" ht="18" customHeight="1" x14ac:dyDescent="0.2">
      <c r="L4823" s="270"/>
    </row>
    <row r="4824" spans="12:12" ht="18" customHeight="1" x14ac:dyDescent="0.2">
      <c r="L4824" s="270"/>
    </row>
    <row r="4825" spans="12:12" ht="18" customHeight="1" x14ac:dyDescent="0.2">
      <c r="L4825" s="270"/>
    </row>
    <row r="4826" spans="12:12" ht="18" customHeight="1" x14ac:dyDescent="0.2">
      <c r="L4826" s="270"/>
    </row>
    <row r="4827" spans="12:12" ht="18" customHeight="1" x14ac:dyDescent="0.2">
      <c r="L4827" s="270"/>
    </row>
    <row r="4828" spans="12:12" ht="18" customHeight="1" x14ac:dyDescent="0.2">
      <c r="L4828" s="270"/>
    </row>
    <row r="4829" spans="12:12" ht="18" customHeight="1" x14ac:dyDescent="0.2">
      <c r="L4829" s="270"/>
    </row>
    <row r="4830" spans="12:12" ht="18" customHeight="1" x14ac:dyDescent="0.2">
      <c r="L4830" s="270"/>
    </row>
    <row r="4831" spans="12:12" ht="18" customHeight="1" x14ac:dyDescent="0.2">
      <c r="L4831" s="270"/>
    </row>
    <row r="4832" spans="12:12" ht="18" customHeight="1" x14ac:dyDescent="0.2">
      <c r="L4832" s="270"/>
    </row>
    <row r="4833" spans="12:12" ht="18" customHeight="1" x14ac:dyDescent="0.2">
      <c r="L4833" s="270"/>
    </row>
    <row r="4834" spans="12:12" ht="18" customHeight="1" x14ac:dyDescent="0.2">
      <c r="L4834" s="270"/>
    </row>
    <row r="4835" spans="12:12" ht="18" customHeight="1" x14ac:dyDescent="0.2">
      <c r="L4835" s="270"/>
    </row>
    <row r="4836" spans="12:12" ht="18" customHeight="1" x14ac:dyDescent="0.2">
      <c r="L4836" s="270"/>
    </row>
    <row r="4837" spans="12:12" ht="18" customHeight="1" x14ac:dyDescent="0.2">
      <c r="L4837" s="270"/>
    </row>
    <row r="4838" spans="12:12" ht="18" customHeight="1" x14ac:dyDescent="0.2">
      <c r="L4838" s="270"/>
    </row>
    <row r="4839" spans="12:12" ht="18" customHeight="1" x14ac:dyDescent="0.2">
      <c r="L4839" s="270"/>
    </row>
    <row r="4840" spans="12:12" ht="18" customHeight="1" x14ac:dyDescent="0.2">
      <c r="L4840" s="270"/>
    </row>
    <row r="4841" spans="12:12" ht="18" customHeight="1" x14ac:dyDescent="0.2">
      <c r="L4841" s="270"/>
    </row>
    <row r="4842" spans="12:12" ht="18" customHeight="1" x14ac:dyDescent="0.2">
      <c r="L4842" s="270"/>
    </row>
    <row r="4843" spans="12:12" ht="18" customHeight="1" x14ac:dyDescent="0.2">
      <c r="L4843" s="270"/>
    </row>
    <row r="4844" spans="12:12" ht="18" customHeight="1" x14ac:dyDescent="0.2">
      <c r="L4844" s="270"/>
    </row>
    <row r="4845" spans="12:12" ht="18" customHeight="1" x14ac:dyDescent="0.2">
      <c r="L4845" s="270"/>
    </row>
    <row r="4846" spans="12:12" ht="18" customHeight="1" x14ac:dyDescent="0.2">
      <c r="L4846" s="270"/>
    </row>
    <row r="4847" spans="12:12" ht="18" customHeight="1" x14ac:dyDescent="0.2">
      <c r="L4847" s="270"/>
    </row>
    <row r="4848" spans="12:12" ht="18" customHeight="1" x14ac:dyDescent="0.2">
      <c r="L4848" s="270"/>
    </row>
    <row r="4849" spans="12:12" ht="18" customHeight="1" x14ac:dyDescent="0.2">
      <c r="L4849" s="270"/>
    </row>
    <row r="4850" spans="12:12" ht="18" customHeight="1" x14ac:dyDescent="0.2">
      <c r="L4850" s="270"/>
    </row>
    <row r="4851" spans="12:12" ht="18" customHeight="1" x14ac:dyDescent="0.2">
      <c r="L4851" s="270"/>
    </row>
    <row r="4852" spans="12:12" ht="18" customHeight="1" x14ac:dyDescent="0.2">
      <c r="L4852" s="270"/>
    </row>
    <row r="4853" spans="12:12" ht="18" customHeight="1" x14ac:dyDescent="0.2">
      <c r="L4853" s="270"/>
    </row>
    <row r="4854" spans="12:12" ht="18" customHeight="1" x14ac:dyDescent="0.2">
      <c r="L4854" s="270"/>
    </row>
    <row r="4855" spans="12:12" ht="18" customHeight="1" x14ac:dyDescent="0.2">
      <c r="L4855" s="270"/>
    </row>
    <row r="4856" spans="12:12" ht="18" customHeight="1" x14ac:dyDescent="0.2">
      <c r="L4856" s="270"/>
    </row>
    <row r="4857" spans="12:12" ht="18" customHeight="1" x14ac:dyDescent="0.2">
      <c r="L4857" s="270"/>
    </row>
    <row r="4858" spans="12:12" ht="18" customHeight="1" x14ac:dyDescent="0.2">
      <c r="L4858" s="270"/>
    </row>
    <row r="4859" spans="12:12" ht="18" customHeight="1" x14ac:dyDescent="0.2">
      <c r="L4859" s="270"/>
    </row>
    <row r="4860" spans="12:12" ht="18" customHeight="1" x14ac:dyDescent="0.2">
      <c r="L4860" s="270"/>
    </row>
    <row r="4861" spans="12:12" ht="18" customHeight="1" x14ac:dyDescent="0.2">
      <c r="L4861" s="270"/>
    </row>
    <row r="4862" spans="12:12" ht="18" customHeight="1" x14ac:dyDescent="0.2">
      <c r="L4862" s="270"/>
    </row>
    <row r="4863" spans="12:12" ht="18" customHeight="1" x14ac:dyDescent="0.2">
      <c r="L4863" s="270"/>
    </row>
    <row r="4864" spans="12:12" ht="18" customHeight="1" x14ac:dyDescent="0.2">
      <c r="L4864" s="270"/>
    </row>
    <row r="4865" spans="12:12" ht="18" customHeight="1" x14ac:dyDescent="0.2">
      <c r="L4865" s="270"/>
    </row>
    <row r="4866" spans="12:12" ht="18" customHeight="1" x14ac:dyDescent="0.2">
      <c r="L4866" s="270"/>
    </row>
    <row r="4867" spans="12:12" ht="18" customHeight="1" x14ac:dyDescent="0.2">
      <c r="L4867" s="270"/>
    </row>
    <row r="4868" spans="12:12" ht="18" customHeight="1" x14ac:dyDescent="0.2">
      <c r="L4868" s="270"/>
    </row>
    <row r="4869" spans="12:12" ht="18" customHeight="1" x14ac:dyDescent="0.2">
      <c r="L4869" s="270"/>
    </row>
    <row r="4870" spans="12:12" ht="18" customHeight="1" x14ac:dyDescent="0.2">
      <c r="L4870" s="270"/>
    </row>
    <row r="4871" spans="12:12" ht="18" customHeight="1" x14ac:dyDescent="0.2">
      <c r="L4871" s="270"/>
    </row>
    <row r="4872" spans="12:12" ht="18" customHeight="1" x14ac:dyDescent="0.2">
      <c r="L4872" s="270"/>
    </row>
    <row r="4873" spans="12:12" ht="18" customHeight="1" x14ac:dyDescent="0.2">
      <c r="L4873" s="270"/>
    </row>
    <row r="4874" spans="12:12" ht="18" customHeight="1" x14ac:dyDescent="0.2">
      <c r="L4874" s="270"/>
    </row>
    <row r="4875" spans="12:12" ht="18" customHeight="1" x14ac:dyDescent="0.2">
      <c r="L4875" s="270"/>
    </row>
    <row r="4876" spans="12:12" ht="18" customHeight="1" x14ac:dyDescent="0.2">
      <c r="L4876" s="270"/>
    </row>
    <row r="4877" spans="12:12" ht="18" customHeight="1" x14ac:dyDescent="0.2">
      <c r="L4877" s="270"/>
    </row>
    <row r="4878" spans="12:12" ht="18" customHeight="1" x14ac:dyDescent="0.2">
      <c r="L4878" s="270"/>
    </row>
    <row r="4879" spans="12:12" ht="18" customHeight="1" x14ac:dyDescent="0.2">
      <c r="L4879" s="270"/>
    </row>
    <row r="4880" spans="12:12" ht="18" customHeight="1" x14ac:dyDescent="0.2">
      <c r="L4880" s="270"/>
    </row>
    <row r="4881" spans="12:12" ht="18" customHeight="1" x14ac:dyDescent="0.2">
      <c r="L4881" s="270"/>
    </row>
    <row r="4882" spans="12:12" ht="18" customHeight="1" x14ac:dyDescent="0.2">
      <c r="L4882" s="270"/>
    </row>
    <row r="4883" spans="12:12" ht="18" customHeight="1" x14ac:dyDescent="0.2">
      <c r="L4883" s="270"/>
    </row>
    <row r="4884" spans="12:12" ht="18" customHeight="1" x14ac:dyDescent="0.2">
      <c r="L4884" s="270"/>
    </row>
    <row r="4885" spans="12:12" ht="18" customHeight="1" x14ac:dyDescent="0.2">
      <c r="L4885" s="270"/>
    </row>
    <row r="4886" spans="12:12" ht="18" customHeight="1" x14ac:dyDescent="0.2">
      <c r="L4886" s="270"/>
    </row>
    <row r="4887" spans="12:12" ht="18" customHeight="1" x14ac:dyDescent="0.2">
      <c r="L4887" s="270"/>
    </row>
    <row r="4888" spans="12:12" ht="18" customHeight="1" x14ac:dyDescent="0.2">
      <c r="L4888" s="270"/>
    </row>
    <row r="4889" spans="12:12" ht="18" customHeight="1" x14ac:dyDescent="0.2">
      <c r="L4889" s="270"/>
    </row>
    <row r="4890" spans="12:12" ht="18" customHeight="1" x14ac:dyDescent="0.2">
      <c r="L4890" s="270"/>
    </row>
    <row r="4891" spans="12:12" ht="18" customHeight="1" x14ac:dyDescent="0.2">
      <c r="L4891" s="270"/>
    </row>
    <row r="4892" spans="12:12" ht="18" customHeight="1" x14ac:dyDescent="0.2">
      <c r="L4892" s="270"/>
    </row>
    <row r="4893" spans="12:12" ht="18" customHeight="1" x14ac:dyDescent="0.2">
      <c r="L4893" s="270"/>
    </row>
    <row r="4894" spans="12:12" ht="18" customHeight="1" x14ac:dyDescent="0.2">
      <c r="L4894" s="270"/>
    </row>
    <row r="4895" spans="12:12" ht="18" customHeight="1" x14ac:dyDescent="0.2">
      <c r="L4895" s="270"/>
    </row>
    <row r="4896" spans="12:12" ht="18" customHeight="1" x14ac:dyDescent="0.2">
      <c r="L4896" s="270"/>
    </row>
    <row r="4897" spans="12:12" ht="18" customHeight="1" x14ac:dyDescent="0.2">
      <c r="L4897" s="270"/>
    </row>
    <row r="4898" spans="12:12" ht="18" customHeight="1" x14ac:dyDescent="0.2">
      <c r="L4898" s="270"/>
    </row>
    <row r="4899" spans="12:12" ht="18" customHeight="1" x14ac:dyDescent="0.2">
      <c r="L4899" s="270"/>
    </row>
    <row r="4900" spans="12:12" ht="18" customHeight="1" x14ac:dyDescent="0.2">
      <c r="L4900" s="270"/>
    </row>
    <row r="4901" spans="12:12" ht="18" customHeight="1" x14ac:dyDescent="0.2">
      <c r="L4901" s="270"/>
    </row>
    <row r="4902" spans="12:12" ht="18" customHeight="1" x14ac:dyDescent="0.2">
      <c r="L4902" s="270"/>
    </row>
    <row r="4903" spans="12:12" ht="18" customHeight="1" x14ac:dyDescent="0.2">
      <c r="L4903" s="270"/>
    </row>
    <row r="4904" spans="12:12" ht="18" customHeight="1" x14ac:dyDescent="0.2">
      <c r="L4904" s="270"/>
    </row>
    <row r="4905" spans="12:12" ht="18" customHeight="1" x14ac:dyDescent="0.2">
      <c r="L4905" s="270"/>
    </row>
    <row r="4906" spans="12:12" ht="18" customHeight="1" x14ac:dyDescent="0.2">
      <c r="L4906" s="270"/>
    </row>
    <row r="4907" spans="12:12" ht="18" customHeight="1" x14ac:dyDescent="0.2">
      <c r="L4907" s="270"/>
    </row>
    <row r="4908" spans="12:12" ht="18" customHeight="1" x14ac:dyDescent="0.2">
      <c r="L4908" s="270"/>
    </row>
    <row r="4909" spans="12:12" ht="18" customHeight="1" x14ac:dyDescent="0.2">
      <c r="L4909" s="270"/>
    </row>
    <row r="4910" spans="12:12" ht="18" customHeight="1" x14ac:dyDescent="0.2">
      <c r="L4910" s="270"/>
    </row>
    <row r="4911" spans="12:12" ht="18" customHeight="1" x14ac:dyDescent="0.2">
      <c r="L4911" s="270"/>
    </row>
    <row r="4912" spans="12:12" ht="18" customHeight="1" x14ac:dyDescent="0.2">
      <c r="L4912" s="270"/>
    </row>
    <row r="4913" spans="12:12" ht="18" customHeight="1" x14ac:dyDescent="0.2">
      <c r="L4913" s="270"/>
    </row>
    <row r="4914" spans="12:12" ht="18" customHeight="1" x14ac:dyDescent="0.2">
      <c r="L4914" s="270"/>
    </row>
    <row r="4915" spans="12:12" ht="18" customHeight="1" x14ac:dyDescent="0.2">
      <c r="L4915" s="270"/>
    </row>
    <row r="4916" spans="12:12" ht="18" customHeight="1" x14ac:dyDescent="0.2">
      <c r="L4916" s="270"/>
    </row>
    <row r="4917" spans="12:12" ht="18" customHeight="1" x14ac:dyDescent="0.2">
      <c r="L4917" s="270"/>
    </row>
    <row r="4918" spans="12:12" ht="18" customHeight="1" x14ac:dyDescent="0.2">
      <c r="L4918" s="270"/>
    </row>
    <row r="4919" spans="12:12" ht="18" customHeight="1" x14ac:dyDescent="0.2">
      <c r="L4919" s="270"/>
    </row>
    <row r="4920" spans="12:12" ht="18" customHeight="1" x14ac:dyDescent="0.2">
      <c r="L4920" s="270"/>
    </row>
    <row r="4921" spans="12:12" ht="18" customHeight="1" x14ac:dyDescent="0.2">
      <c r="L4921" s="270"/>
    </row>
    <row r="4922" spans="12:12" ht="18" customHeight="1" x14ac:dyDescent="0.2">
      <c r="L4922" s="270"/>
    </row>
    <row r="4923" spans="12:12" ht="18" customHeight="1" x14ac:dyDescent="0.2">
      <c r="L4923" s="270"/>
    </row>
    <row r="4924" spans="12:12" ht="18" customHeight="1" x14ac:dyDescent="0.2">
      <c r="L4924" s="270"/>
    </row>
    <row r="4925" spans="12:12" ht="18" customHeight="1" x14ac:dyDescent="0.2">
      <c r="L4925" s="270"/>
    </row>
    <row r="4926" spans="12:12" ht="18" customHeight="1" x14ac:dyDescent="0.2">
      <c r="L4926" s="270"/>
    </row>
    <row r="4927" spans="12:12" ht="18" customHeight="1" x14ac:dyDescent="0.2">
      <c r="L4927" s="270"/>
    </row>
    <row r="4928" spans="12:12" ht="18" customHeight="1" x14ac:dyDescent="0.2">
      <c r="L4928" s="270"/>
    </row>
    <row r="4929" spans="12:12" ht="18" customHeight="1" x14ac:dyDescent="0.2">
      <c r="L4929" s="270"/>
    </row>
    <row r="4930" spans="12:12" ht="18" customHeight="1" x14ac:dyDescent="0.2">
      <c r="L4930" s="270"/>
    </row>
    <row r="4931" spans="12:12" ht="18" customHeight="1" x14ac:dyDescent="0.2">
      <c r="L4931" s="270"/>
    </row>
    <row r="4932" spans="12:12" ht="18" customHeight="1" x14ac:dyDescent="0.2">
      <c r="L4932" s="270"/>
    </row>
    <row r="4933" spans="12:12" ht="18" customHeight="1" x14ac:dyDescent="0.2">
      <c r="L4933" s="270"/>
    </row>
    <row r="4934" spans="12:12" ht="18" customHeight="1" x14ac:dyDescent="0.2">
      <c r="L4934" s="270"/>
    </row>
    <row r="4935" spans="12:12" ht="18" customHeight="1" x14ac:dyDescent="0.2">
      <c r="L4935" s="270"/>
    </row>
    <row r="4936" spans="12:12" ht="18" customHeight="1" x14ac:dyDescent="0.2">
      <c r="L4936" s="270"/>
    </row>
    <row r="4937" spans="12:12" ht="18" customHeight="1" x14ac:dyDescent="0.2">
      <c r="L4937" s="270"/>
    </row>
    <row r="4938" spans="12:12" ht="18" customHeight="1" x14ac:dyDescent="0.2">
      <c r="L4938" s="270"/>
    </row>
    <row r="4939" spans="12:12" ht="18" customHeight="1" x14ac:dyDescent="0.2">
      <c r="L4939" s="270"/>
    </row>
    <row r="4940" spans="12:12" ht="18" customHeight="1" x14ac:dyDescent="0.2">
      <c r="L4940" s="270"/>
    </row>
    <row r="4941" spans="12:12" ht="18" customHeight="1" x14ac:dyDescent="0.2">
      <c r="L4941" s="270"/>
    </row>
    <row r="4942" spans="12:12" ht="18" customHeight="1" x14ac:dyDescent="0.2">
      <c r="L4942" s="270"/>
    </row>
    <row r="4943" spans="12:12" ht="18" customHeight="1" x14ac:dyDescent="0.2">
      <c r="L4943" s="270"/>
    </row>
    <row r="4944" spans="12:12" ht="18" customHeight="1" x14ac:dyDescent="0.2">
      <c r="L4944" s="270"/>
    </row>
    <row r="4945" spans="12:12" ht="18" customHeight="1" x14ac:dyDescent="0.2">
      <c r="L4945" s="270"/>
    </row>
    <row r="4946" spans="12:12" ht="18" customHeight="1" x14ac:dyDescent="0.2">
      <c r="L4946" s="270"/>
    </row>
    <row r="4947" spans="12:12" ht="18" customHeight="1" x14ac:dyDescent="0.2">
      <c r="L4947" s="270"/>
    </row>
    <row r="4948" spans="12:12" ht="18" customHeight="1" x14ac:dyDescent="0.2">
      <c r="L4948" s="270"/>
    </row>
    <row r="4949" spans="12:12" ht="18" customHeight="1" x14ac:dyDescent="0.2">
      <c r="L4949" s="270"/>
    </row>
    <row r="4950" spans="12:12" ht="18" customHeight="1" x14ac:dyDescent="0.2">
      <c r="L4950" s="270"/>
    </row>
    <row r="4951" spans="12:12" ht="18" customHeight="1" x14ac:dyDescent="0.2">
      <c r="L4951" s="270"/>
    </row>
    <row r="4952" spans="12:12" ht="18" customHeight="1" x14ac:dyDescent="0.2">
      <c r="L4952" s="270"/>
    </row>
    <row r="4953" spans="12:12" ht="18" customHeight="1" x14ac:dyDescent="0.2">
      <c r="L4953" s="270"/>
    </row>
    <row r="4954" spans="12:12" ht="18" customHeight="1" x14ac:dyDescent="0.2">
      <c r="L4954" s="270"/>
    </row>
    <row r="4955" spans="12:12" ht="18" customHeight="1" x14ac:dyDescent="0.2">
      <c r="L4955" s="270"/>
    </row>
    <row r="4956" spans="12:12" ht="18" customHeight="1" x14ac:dyDescent="0.2">
      <c r="L4956" s="270"/>
    </row>
    <row r="4957" spans="12:12" ht="18" customHeight="1" x14ac:dyDescent="0.2">
      <c r="L4957" s="270"/>
    </row>
    <row r="4958" spans="12:12" ht="18" customHeight="1" x14ac:dyDescent="0.2">
      <c r="L4958" s="270"/>
    </row>
    <row r="4959" spans="12:12" ht="18" customHeight="1" x14ac:dyDescent="0.2">
      <c r="L4959" s="270"/>
    </row>
    <row r="4960" spans="12:12" ht="18" customHeight="1" x14ac:dyDescent="0.2">
      <c r="L4960" s="270"/>
    </row>
    <row r="4961" spans="12:12" ht="18" customHeight="1" x14ac:dyDescent="0.2">
      <c r="L4961" s="270"/>
    </row>
    <row r="4962" spans="12:12" ht="18" customHeight="1" x14ac:dyDescent="0.2">
      <c r="L4962" s="270"/>
    </row>
    <row r="4963" spans="12:12" ht="18" customHeight="1" x14ac:dyDescent="0.2">
      <c r="L4963" s="270"/>
    </row>
    <row r="4964" spans="12:12" ht="18" customHeight="1" x14ac:dyDescent="0.2">
      <c r="L4964" s="270"/>
    </row>
    <row r="4965" spans="12:12" ht="18" customHeight="1" x14ac:dyDescent="0.2">
      <c r="L4965" s="270"/>
    </row>
    <row r="4966" spans="12:12" ht="18" customHeight="1" x14ac:dyDescent="0.2">
      <c r="L4966" s="270"/>
    </row>
    <row r="4967" spans="12:12" ht="18" customHeight="1" x14ac:dyDescent="0.2">
      <c r="L4967" s="270"/>
    </row>
    <row r="4968" spans="12:12" ht="18" customHeight="1" x14ac:dyDescent="0.2">
      <c r="L4968" s="270"/>
    </row>
    <row r="4969" spans="12:12" ht="18" customHeight="1" x14ac:dyDescent="0.2">
      <c r="L4969" s="270"/>
    </row>
    <row r="4970" spans="12:12" ht="18" customHeight="1" x14ac:dyDescent="0.2">
      <c r="L4970" s="270"/>
    </row>
    <row r="4971" spans="12:12" ht="18" customHeight="1" x14ac:dyDescent="0.2">
      <c r="L4971" s="270"/>
    </row>
    <row r="4972" spans="12:12" ht="18" customHeight="1" x14ac:dyDescent="0.2">
      <c r="L4972" s="270"/>
    </row>
    <row r="4973" spans="12:12" ht="18" customHeight="1" x14ac:dyDescent="0.2">
      <c r="L4973" s="270"/>
    </row>
    <row r="4974" spans="12:12" ht="18" customHeight="1" x14ac:dyDescent="0.2">
      <c r="L4974" s="270"/>
    </row>
    <row r="4975" spans="12:12" ht="18" customHeight="1" x14ac:dyDescent="0.2">
      <c r="L4975" s="270"/>
    </row>
    <row r="4976" spans="12:12" ht="18" customHeight="1" x14ac:dyDescent="0.2">
      <c r="L4976" s="270"/>
    </row>
    <row r="4977" spans="12:12" ht="18" customHeight="1" x14ac:dyDescent="0.2">
      <c r="L4977" s="270"/>
    </row>
    <row r="4978" spans="12:12" ht="18" customHeight="1" x14ac:dyDescent="0.2">
      <c r="L4978" s="270"/>
    </row>
    <row r="4979" spans="12:12" ht="18" customHeight="1" x14ac:dyDescent="0.2">
      <c r="L4979" s="270"/>
    </row>
    <row r="4980" spans="12:12" ht="18" customHeight="1" x14ac:dyDescent="0.2">
      <c r="L4980" s="270"/>
    </row>
    <row r="4981" spans="12:12" ht="18" customHeight="1" x14ac:dyDescent="0.2">
      <c r="L4981" s="270"/>
    </row>
    <row r="4982" spans="12:12" ht="18" customHeight="1" x14ac:dyDescent="0.2">
      <c r="L4982" s="270"/>
    </row>
    <row r="4983" spans="12:12" ht="18" customHeight="1" x14ac:dyDescent="0.2">
      <c r="L4983" s="270"/>
    </row>
    <row r="4984" spans="12:12" ht="18" customHeight="1" x14ac:dyDescent="0.2">
      <c r="L4984" s="270"/>
    </row>
    <row r="4985" spans="12:12" ht="18" customHeight="1" x14ac:dyDescent="0.2">
      <c r="L4985" s="270"/>
    </row>
    <row r="4986" spans="12:12" ht="18" customHeight="1" x14ac:dyDescent="0.2">
      <c r="L4986" s="270"/>
    </row>
    <row r="4987" spans="12:12" ht="18" customHeight="1" x14ac:dyDescent="0.2">
      <c r="L4987" s="270"/>
    </row>
    <row r="4988" spans="12:12" ht="18" customHeight="1" x14ac:dyDescent="0.2">
      <c r="L4988" s="270"/>
    </row>
    <row r="4989" spans="12:12" ht="18" customHeight="1" x14ac:dyDescent="0.2">
      <c r="L4989" s="270"/>
    </row>
    <row r="4990" spans="12:12" ht="18" customHeight="1" x14ac:dyDescent="0.2">
      <c r="L4990" s="270"/>
    </row>
    <row r="4991" spans="12:12" ht="18" customHeight="1" x14ac:dyDescent="0.2">
      <c r="L4991" s="270"/>
    </row>
    <row r="4992" spans="12:12" ht="18" customHeight="1" x14ac:dyDescent="0.2">
      <c r="L4992" s="270"/>
    </row>
    <row r="4993" spans="12:12" ht="18" customHeight="1" x14ac:dyDescent="0.2">
      <c r="L4993" s="270"/>
    </row>
    <row r="4994" spans="12:12" ht="18" customHeight="1" x14ac:dyDescent="0.2">
      <c r="L4994" s="270"/>
    </row>
    <row r="4995" spans="12:12" ht="14.25" customHeight="1" x14ac:dyDescent="0.2">
      <c r="L4995" s="270"/>
    </row>
    <row r="4996" spans="12:12" ht="14.25" customHeight="1" x14ac:dyDescent="0.2">
      <c r="L4996" s="270"/>
    </row>
    <row r="4997" spans="12:12" ht="14.25" customHeight="1" x14ac:dyDescent="0.2">
      <c r="L4997" s="270"/>
    </row>
    <row r="4998" spans="12:12" ht="14.25" customHeight="1" x14ac:dyDescent="0.2">
      <c r="L4998" s="270"/>
    </row>
    <row r="4999" spans="12:12" ht="14.25" customHeight="1" x14ac:dyDescent="0.2">
      <c r="L4999" s="270"/>
    </row>
    <row r="5000" spans="12:12" ht="14.25" customHeight="1" x14ac:dyDescent="0.2">
      <c r="L5000" s="270"/>
    </row>
    <row r="5001" spans="12:12" ht="14.25" customHeight="1" x14ac:dyDescent="0.2">
      <c r="L5001" s="270"/>
    </row>
    <row r="5002" spans="12:12" ht="14.25" customHeight="1" x14ac:dyDescent="0.2">
      <c r="L5002" s="270"/>
    </row>
    <row r="5003" spans="12:12" ht="14.25" customHeight="1" x14ac:dyDescent="0.2">
      <c r="L5003" s="270"/>
    </row>
    <row r="5004" spans="12:12" ht="14.25" customHeight="1" x14ac:dyDescent="0.2">
      <c r="L5004" s="270"/>
    </row>
    <row r="5005" spans="12:12" x14ac:dyDescent="0.2">
      <c r="L5005" s="270"/>
    </row>
  </sheetData>
  <conditionalFormatting sqref="F9:G10 F595:G602 I595:I602 F11:I594 F603:I5005">
    <cfRule type="expression" dxfId="99" priority="34">
      <formula>$F9="Income"</formula>
    </cfRule>
    <cfRule type="expression" dxfId="98" priority="35">
      <formula>$F9="Expense"</formula>
    </cfRule>
  </conditionalFormatting>
  <conditionalFormatting sqref="H9:I10">
    <cfRule type="expression" dxfId="97" priority="27">
      <formula>$F9="Income"</formula>
    </cfRule>
    <cfRule type="expression" dxfId="96" priority="28">
      <formula>$F9="Expense"</formula>
    </cfRule>
  </conditionalFormatting>
  <conditionalFormatting sqref="H595:H602">
    <cfRule type="expression" dxfId="95" priority="25">
      <formula>$F595="Income"</formula>
    </cfRule>
    <cfRule type="expression" dxfId="94" priority="26">
      <formula>$F595="Expense"</formula>
    </cfRule>
  </conditionalFormatting>
  <dataValidations count="4">
    <dataValidation type="list" allowBlank="1" sqref="J2:J5 J9:J5005" xr:uid="{00000000-0002-0000-0600-000000000000}">
      <formula1>PaymentModeList</formula1>
    </dataValidation>
    <dataValidation type="list" allowBlank="1" sqref="F2:F5 F9:F5005" xr:uid="{00000000-0002-0000-0600-000001000000}">
      <formula1>TxnTypeList</formula1>
    </dataValidation>
    <dataValidation type="list" allowBlank="1" sqref="G2:G5 G9:G5005" xr:uid="{00000000-0002-0000-0600-000002000000}">
      <formula1>CategoryList</formula1>
    </dataValidation>
    <dataValidation showInputMessage="1" showErrorMessage="1" sqref="C9:C622" xr:uid="{00000000-0002-0000-0600-000003000000}"/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8" r:id="rId3" name="Button 8">
              <controlPr defaultSize="0" print="0" autoFill="0" autoPict="0" macro="[0]!Entry" altText="Submit">
                <anchor moveWithCells="1" sizeWithCells="1">
                  <from>
                    <xdr:col>11</xdr:col>
                    <xdr:colOff>241300</xdr:colOff>
                    <xdr:row>1</xdr:row>
                    <xdr:rowOff>139700</xdr:rowOff>
                  </from>
                  <to>
                    <xdr:col>12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D2B09-CC8B-434A-9840-59D9272DAD5B}">
  <sheetPr codeName="Sheet5">
    <tabColor theme="5" tint="-0.249977111117893"/>
  </sheetPr>
  <dimension ref="C1:O305"/>
  <sheetViews>
    <sheetView workbookViewId="0">
      <pane xSplit="2" ySplit="8" topLeftCell="C292" activePane="bottomRight" state="frozen"/>
      <selection pane="topRight" activeCell="C1" sqref="C1"/>
      <selection pane="bottomLeft" activeCell="A4" sqref="A4"/>
      <selection pane="bottomRight" activeCell="N289" sqref="N289"/>
    </sheetView>
  </sheetViews>
  <sheetFormatPr baseColWidth="10" defaultColWidth="8.5" defaultRowHeight="15" outlineLevelRow="1" x14ac:dyDescent="0.2"/>
  <cols>
    <col min="1" max="1" width="2.33203125" style="126" customWidth="1"/>
    <col min="2" max="2" width="8.5" style="126"/>
    <col min="3" max="3" width="14.1640625" style="252" customWidth="1"/>
    <col min="4" max="4" width="14.6640625" style="248" customWidth="1"/>
    <col min="5" max="5" width="11" style="248" customWidth="1"/>
    <col min="6" max="6" width="12.1640625" style="253" customWidth="1"/>
    <col min="7" max="7" width="13.5" style="248" customWidth="1"/>
    <col min="8" max="8" width="12.6640625" style="248" customWidth="1"/>
    <col min="9" max="9" width="9" style="248" customWidth="1"/>
    <col min="10" max="10" width="8.5" style="248"/>
    <col min="11" max="11" width="36.83203125" style="248" customWidth="1"/>
    <col min="12" max="12" width="8.5" style="259"/>
    <col min="13" max="16384" width="8.5" style="126"/>
  </cols>
  <sheetData>
    <row r="1" spans="3:15" ht="20" customHeight="1" thickBot="1" x14ac:dyDescent="0.25">
      <c r="C1" s="373" t="s">
        <v>163</v>
      </c>
      <c r="D1" s="373" t="s">
        <v>61</v>
      </c>
      <c r="E1" s="373"/>
      <c r="F1" s="373" t="s">
        <v>166</v>
      </c>
      <c r="G1" s="373"/>
      <c r="H1" s="373" t="s">
        <v>167</v>
      </c>
      <c r="I1" s="373"/>
      <c r="J1" s="373"/>
      <c r="K1" s="373" t="s">
        <v>173</v>
      </c>
      <c r="M1" s="372"/>
      <c r="N1" s="372"/>
      <c r="O1" s="372"/>
    </row>
    <row r="2" spans="3:15" ht="20" customHeight="1" x14ac:dyDescent="0.2">
      <c r="C2" s="382"/>
      <c r="D2" s="386"/>
      <c r="E2" s="382"/>
      <c r="F2" s="387"/>
      <c r="G2" s="382"/>
      <c r="H2" s="388"/>
      <c r="I2" s="382"/>
      <c r="J2" s="382"/>
      <c r="K2" s="382"/>
      <c r="M2" s="372"/>
      <c r="N2" s="372"/>
      <c r="O2" s="372"/>
    </row>
    <row r="3" spans="3:15" ht="20" customHeight="1" x14ac:dyDescent="0.2">
      <c r="C3" s="382"/>
      <c r="D3" s="386"/>
      <c r="E3" s="382"/>
      <c r="F3" s="387"/>
      <c r="G3" s="382"/>
      <c r="H3" s="388"/>
      <c r="I3" s="382"/>
      <c r="J3" s="382"/>
      <c r="K3" s="382"/>
      <c r="M3" s="372"/>
      <c r="N3" s="372"/>
      <c r="O3" s="372"/>
    </row>
    <row r="4" spans="3:15" ht="20" customHeight="1" x14ac:dyDescent="0.2">
      <c r="C4" s="382"/>
      <c r="D4" s="386"/>
      <c r="E4" s="382"/>
      <c r="F4" s="387"/>
      <c r="G4" s="382"/>
      <c r="H4" s="388"/>
      <c r="I4" s="382"/>
      <c r="J4" s="382"/>
      <c r="K4" s="382"/>
      <c r="M4" s="372"/>
      <c r="N4" s="372"/>
      <c r="O4" s="372"/>
    </row>
    <row r="5" spans="3:15" ht="20" customHeight="1" x14ac:dyDescent="0.2">
      <c r="C5" s="382"/>
      <c r="D5" s="386"/>
      <c r="E5" s="382"/>
      <c r="F5" s="387"/>
      <c r="G5" s="382"/>
      <c r="H5" s="388"/>
      <c r="I5" s="382"/>
      <c r="J5" s="382"/>
      <c r="K5" s="382"/>
      <c r="M5" s="372"/>
      <c r="N5" s="372"/>
      <c r="O5" s="372"/>
    </row>
    <row r="6" spans="3:15" s="251" customFormat="1" ht="20" customHeight="1" x14ac:dyDescent="0.2">
      <c r="C6" s="249"/>
      <c r="D6" s="249"/>
      <c r="E6" s="249"/>
      <c r="F6" s="249" t="s">
        <v>22</v>
      </c>
      <c r="G6" s="249"/>
      <c r="H6" s="250"/>
      <c r="I6" s="249"/>
      <c r="J6" s="249"/>
      <c r="K6" s="249"/>
      <c r="L6" s="249"/>
      <c r="M6" s="348"/>
      <c r="N6" s="348"/>
      <c r="O6" s="348"/>
    </row>
    <row r="7" spans="3:15" s="255" customFormat="1" ht="20" hidden="1" customHeight="1" outlineLevel="1" x14ac:dyDescent="0.2">
      <c r="C7" s="252"/>
      <c r="D7" s="248"/>
      <c r="E7" s="248"/>
      <c r="F7" s="253"/>
      <c r="G7" s="254" t="s">
        <v>171</v>
      </c>
      <c r="H7" s="254">
        <f>I7-J7</f>
        <v>-76407.019999999786</v>
      </c>
      <c r="I7" s="248">
        <f>SUM(Table2[Given])</f>
        <v>1676265.9800000002</v>
      </c>
      <c r="J7" s="248">
        <f>SUM(Table2[Received])</f>
        <v>1752673</v>
      </c>
      <c r="K7" s="248"/>
      <c r="L7" s="259"/>
      <c r="M7" s="348"/>
      <c r="N7" s="348"/>
      <c r="O7" s="348"/>
    </row>
    <row r="8" spans="3:15" s="255" customFormat="1" ht="20" hidden="1" customHeight="1" outlineLevel="1" x14ac:dyDescent="0.2">
      <c r="C8" s="256" t="s">
        <v>163</v>
      </c>
      <c r="D8" s="256" t="s">
        <v>61</v>
      </c>
      <c r="E8" s="256" t="s">
        <v>165</v>
      </c>
      <c r="F8" s="256" t="s">
        <v>166</v>
      </c>
      <c r="G8" s="256" t="s">
        <v>3</v>
      </c>
      <c r="H8" s="256" t="s">
        <v>167</v>
      </c>
      <c r="I8" s="256" t="s">
        <v>171</v>
      </c>
      <c r="J8" s="256" t="s">
        <v>172</v>
      </c>
      <c r="K8" s="256" t="s">
        <v>173</v>
      </c>
      <c r="L8" s="259" t="s">
        <v>708</v>
      </c>
      <c r="M8" s="348"/>
      <c r="N8" s="348"/>
      <c r="O8" s="348"/>
    </row>
    <row r="9" spans="3:15" s="255" customFormat="1" ht="19.5" hidden="1" customHeight="1" outlineLevel="1" x14ac:dyDescent="0.2">
      <c r="C9" s="252">
        <v>44197</v>
      </c>
      <c r="D9" s="248" t="s">
        <v>110</v>
      </c>
      <c r="E9" s="248">
        <f t="shared" ref="E9:E72" si="0">IFERROR(YEAR(C9),"")</f>
        <v>2021</v>
      </c>
      <c r="F9" s="257" t="s">
        <v>171</v>
      </c>
      <c r="G9" s="248" t="str">
        <f t="shared" ref="G9:G72" si="1">$F$6</f>
        <v>Cashflow</v>
      </c>
      <c r="H9" s="258">
        <v>1500</v>
      </c>
      <c r="I9" s="248">
        <f>IF(Table2[[#This Row],[TYPE]]="Given",Table2[[#This Row],[AMOUNT (₹)]],0)</f>
        <v>1500</v>
      </c>
      <c r="J9" s="248">
        <f>IF(Table2[[#This Row],[TYPE]]="Received",Table2[[#This Row],[AMOUNT (₹)]],0)</f>
        <v>0</v>
      </c>
      <c r="K9" s="248" t="s">
        <v>709</v>
      </c>
      <c r="L9" s="259">
        <f ca="1">IF(D9="","",COUNTIF($D$9:INDIRECT("D"&amp;ROW()),D9))</f>
        <v>1</v>
      </c>
      <c r="M9" s="260"/>
      <c r="N9" s="348"/>
      <c r="O9" s="348"/>
    </row>
    <row r="10" spans="3:15" hidden="1" outlineLevel="1" x14ac:dyDescent="0.2">
      <c r="C10" s="252">
        <v>44197</v>
      </c>
      <c r="D10" s="248" t="s">
        <v>110</v>
      </c>
      <c r="E10" s="248">
        <f t="shared" si="0"/>
        <v>2021</v>
      </c>
      <c r="F10" s="257" t="s">
        <v>171</v>
      </c>
      <c r="G10" s="248" t="str">
        <f t="shared" si="1"/>
        <v>Cashflow</v>
      </c>
      <c r="H10" s="258">
        <v>450</v>
      </c>
      <c r="I10" s="248">
        <f>IF(Table2[[#This Row],[TYPE]]="Given",Table2[[#This Row],[AMOUNT (₹)]],0)</f>
        <v>450</v>
      </c>
      <c r="J10" s="248">
        <f>IF(Table2[[#This Row],[TYPE]]="Received",Table2[[#This Row],[AMOUNT (₹)]],0)</f>
        <v>0</v>
      </c>
      <c r="K10" s="248" t="s">
        <v>710</v>
      </c>
      <c r="L10" s="259">
        <f ca="1">IF(D10="","",COUNTIF($D$9:INDIRECT("D"&amp;ROW()),D10))</f>
        <v>2</v>
      </c>
      <c r="M10" s="372"/>
      <c r="N10" s="372"/>
      <c r="O10" s="348"/>
    </row>
    <row r="11" spans="3:15" hidden="1" outlineLevel="1" x14ac:dyDescent="0.2">
      <c r="C11" s="252">
        <v>44552</v>
      </c>
      <c r="D11" s="248" t="s">
        <v>102</v>
      </c>
      <c r="E11" s="248">
        <f t="shared" si="0"/>
        <v>2021</v>
      </c>
      <c r="F11" s="257" t="s">
        <v>171</v>
      </c>
      <c r="G11" s="248" t="str">
        <f t="shared" si="1"/>
        <v>Cashflow</v>
      </c>
      <c r="H11" s="258">
        <v>500</v>
      </c>
      <c r="I11" s="248">
        <f>IF(Table2[[#This Row],[TYPE]]="Given",Table2[[#This Row],[AMOUNT (₹)]],0)</f>
        <v>500</v>
      </c>
      <c r="J11" s="248">
        <f>IF(Table2[[#This Row],[TYPE]]="Received",Table2[[#This Row],[AMOUNT (₹)]],0)</f>
        <v>0</v>
      </c>
      <c r="K11" s="248" t="s">
        <v>291</v>
      </c>
      <c r="L11" s="259">
        <f ca="1">IF(D11="","",COUNTIF($D$9:INDIRECT("D"&amp;ROW()),D11))</f>
        <v>1</v>
      </c>
      <c r="M11" s="372"/>
      <c r="N11" s="372"/>
      <c r="O11" s="348"/>
    </row>
    <row r="12" spans="3:15" hidden="1" outlineLevel="1" x14ac:dyDescent="0.2">
      <c r="C12" s="252">
        <v>44571</v>
      </c>
      <c r="D12" s="248" t="s">
        <v>93</v>
      </c>
      <c r="E12" s="248">
        <f t="shared" si="0"/>
        <v>2022</v>
      </c>
      <c r="F12" s="257" t="s">
        <v>171</v>
      </c>
      <c r="G12" s="248" t="str">
        <f t="shared" si="1"/>
        <v>Cashflow</v>
      </c>
      <c r="H12" s="258">
        <v>2000</v>
      </c>
      <c r="I12" s="248">
        <f>IF(Table2[[#This Row],[TYPE]]="Given",Table2[[#This Row],[AMOUNT (₹)]],0)</f>
        <v>2000</v>
      </c>
      <c r="J12" s="248">
        <f>IF(Table2[[#This Row],[TYPE]]="Received",Table2[[#This Row],[AMOUNT (₹)]],0)</f>
        <v>0</v>
      </c>
      <c r="K12" s="248" t="s">
        <v>711</v>
      </c>
      <c r="L12" s="259">
        <f ca="1">IF(D12="","",COUNTIF($D$9:INDIRECT("D"&amp;ROW()),D12))</f>
        <v>1</v>
      </c>
      <c r="M12" s="372"/>
      <c r="N12" s="372"/>
      <c r="O12" s="348"/>
    </row>
    <row r="13" spans="3:15" hidden="1" outlineLevel="1" x14ac:dyDescent="0.2">
      <c r="C13" s="252">
        <v>44572</v>
      </c>
      <c r="D13" s="248" t="s">
        <v>93</v>
      </c>
      <c r="E13" s="248">
        <f t="shared" si="0"/>
        <v>2022</v>
      </c>
      <c r="F13" s="257" t="s">
        <v>171</v>
      </c>
      <c r="G13" s="248" t="str">
        <f t="shared" si="1"/>
        <v>Cashflow</v>
      </c>
      <c r="H13" s="258">
        <v>4000</v>
      </c>
      <c r="I13" s="248">
        <f>IF(Table2[[#This Row],[TYPE]]="Given",Table2[[#This Row],[AMOUNT (₹)]],0)</f>
        <v>4000</v>
      </c>
      <c r="J13" s="248">
        <f>IF(Table2[[#This Row],[TYPE]]="Received",Table2[[#This Row],[AMOUNT (₹)]],0)</f>
        <v>0</v>
      </c>
      <c r="K13" s="248" t="s">
        <v>711</v>
      </c>
      <c r="L13" s="259">
        <f ca="1">IF(D13="","",COUNTIF($D$9:INDIRECT("D"&amp;ROW()),D13))</f>
        <v>2</v>
      </c>
      <c r="M13" s="372"/>
      <c r="N13" s="372"/>
      <c r="O13" s="348"/>
    </row>
    <row r="14" spans="3:15" hidden="1" outlineLevel="1" x14ac:dyDescent="0.2">
      <c r="C14" s="252">
        <v>44574</v>
      </c>
      <c r="D14" s="248" t="s">
        <v>93</v>
      </c>
      <c r="E14" s="248">
        <f t="shared" si="0"/>
        <v>2022</v>
      </c>
      <c r="F14" s="257" t="s">
        <v>171</v>
      </c>
      <c r="G14" s="248" t="str">
        <f t="shared" si="1"/>
        <v>Cashflow</v>
      </c>
      <c r="H14" s="258">
        <v>7800</v>
      </c>
      <c r="I14" s="248">
        <f>IF(Table2[[#This Row],[TYPE]]="Given",Table2[[#This Row],[AMOUNT (₹)]],0)</f>
        <v>7800</v>
      </c>
      <c r="J14" s="248">
        <f>IF(Table2[[#This Row],[TYPE]]="Received",Table2[[#This Row],[AMOUNT (₹)]],0)</f>
        <v>0</v>
      </c>
      <c r="K14" s="248" t="s">
        <v>711</v>
      </c>
      <c r="L14" s="259">
        <f ca="1">IF(D14="","",COUNTIF($D$9:INDIRECT("D"&amp;ROW()),D14))</f>
        <v>3</v>
      </c>
      <c r="M14" s="372"/>
      <c r="N14" s="372"/>
      <c r="O14" s="348"/>
    </row>
    <row r="15" spans="3:15" hidden="1" outlineLevel="1" x14ac:dyDescent="0.2">
      <c r="C15" s="252">
        <v>44575</v>
      </c>
      <c r="D15" s="248" t="s">
        <v>93</v>
      </c>
      <c r="E15" s="248">
        <f t="shared" si="0"/>
        <v>2022</v>
      </c>
      <c r="F15" s="257" t="s">
        <v>171</v>
      </c>
      <c r="G15" s="248" t="str">
        <f t="shared" si="1"/>
        <v>Cashflow</v>
      </c>
      <c r="H15" s="258">
        <v>2300</v>
      </c>
      <c r="I15" s="248">
        <f>IF(Table2[[#This Row],[TYPE]]="Given",Table2[[#This Row],[AMOUNT (₹)]],0)</f>
        <v>2300</v>
      </c>
      <c r="J15" s="248">
        <f>IF(Table2[[#This Row],[TYPE]]="Received",Table2[[#This Row],[AMOUNT (₹)]],0)</f>
        <v>0</v>
      </c>
      <c r="K15" s="248" t="s">
        <v>711</v>
      </c>
      <c r="L15" s="259">
        <f ca="1">IF(D15="","",COUNTIF($D$9:INDIRECT("D"&amp;ROW()),D15))</f>
        <v>4</v>
      </c>
      <c r="M15" s="372"/>
      <c r="N15" s="372"/>
      <c r="O15" s="348"/>
    </row>
    <row r="16" spans="3:15" hidden="1" outlineLevel="1" x14ac:dyDescent="0.2">
      <c r="C16" s="252">
        <v>44575</v>
      </c>
      <c r="D16" s="248" t="s">
        <v>93</v>
      </c>
      <c r="E16" s="248">
        <f t="shared" si="0"/>
        <v>2022</v>
      </c>
      <c r="F16" s="257" t="s">
        <v>171</v>
      </c>
      <c r="G16" s="248" t="str">
        <f t="shared" si="1"/>
        <v>Cashflow</v>
      </c>
      <c r="H16" s="258">
        <v>4000</v>
      </c>
      <c r="I16" s="248">
        <f>IF(Table2[[#This Row],[TYPE]]="Given",Table2[[#This Row],[AMOUNT (₹)]],0)</f>
        <v>4000</v>
      </c>
      <c r="J16" s="248">
        <f>IF(Table2[[#This Row],[TYPE]]="Received",Table2[[#This Row],[AMOUNT (₹)]],0)</f>
        <v>0</v>
      </c>
      <c r="K16" s="248" t="s">
        <v>711</v>
      </c>
      <c r="L16" s="259">
        <f ca="1">IF(D16="","",COUNTIF($D$9:INDIRECT("D"&amp;ROW()),D16))</f>
        <v>5</v>
      </c>
      <c r="M16" s="372"/>
      <c r="N16" s="372"/>
      <c r="O16" s="348"/>
    </row>
    <row r="17" spans="3:15" hidden="1" outlineLevel="1" x14ac:dyDescent="0.2">
      <c r="C17" s="252">
        <v>44579</v>
      </c>
      <c r="D17" s="248" t="s">
        <v>93</v>
      </c>
      <c r="E17" s="248">
        <f t="shared" si="0"/>
        <v>2022</v>
      </c>
      <c r="F17" s="257" t="s">
        <v>171</v>
      </c>
      <c r="G17" s="248" t="str">
        <f t="shared" si="1"/>
        <v>Cashflow</v>
      </c>
      <c r="H17" s="258">
        <v>1000</v>
      </c>
      <c r="I17" s="248">
        <f>IF(Table2[[#This Row],[TYPE]]="Given",Table2[[#This Row],[AMOUNT (₹)]],0)</f>
        <v>1000</v>
      </c>
      <c r="J17" s="248">
        <f>IF(Table2[[#This Row],[TYPE]]="Received",Table2[[#This Row],[AMOUNT (₹)]],0)</f>
        <v>0</v>
      </c>
      <c r="K17" s="248" t="s">
        <v>711</v>
      </c>
      <c r="L17" s="259">
        <f ca="1">IF(D17="","",COUNTIF($D$9:INDIRECT("D"&amp;ROW()),D17))</f>
        <v>6</v>
      </c>
      <c r="M17" s="372"/>
      <c r="N17" s="372"/>
      <c r="O17" s="348"/>
    </row>
    <row r="18" spans="3:15" hidden="1" outlineLevel="1" x14ac:dyDescent="0.2">
      <c r="C18" s="252">
        <v>44756</v>
      </c>
      <c r="D18" s="248" t="s">
        <v>91</v>
      </c>
      <c r="E18" s="248">
        <f t="shared" si="0"/>
        <v>2022</v>
      </c>
      <c r="F18" s="257" t="s">
        <v>171</v>
      </c>
      <c r="G18" s="248" t="str">
        <f t="shared" si="1"/>
        <v>Cashflow</v>
      </c>
      <c r="H18" s="258">
        <v>0</v>
      </c>
      <c r="I18" s="248">
        <f>IF(Table2[[#This Row],[TYPE]]="Given",Table2[[#This Row],[AMOUNT (₹)]],0)</f>
        <v>0</v>
      </c>
      <c r="J18" s="248">
        <f>IF(Table2[[#This Row],[TYPE]]="Received",Table2[[#This Row],[AMOUNT (₹)]],0)</f>
        <v>0</v>
      </c>
      <c r="K18" s="248" t="s">
        <v>712</v>
      </c>
      <c r="L18" s="259">
        <f ca="1">IF(D18="","",COUNTIF($D$9:INDIRECT("D"&amp;ROW()),D18))</f>
        <v>1</v>
      </c>
      <c r="M18" s="372"/>
      <c r="N18" s="372"/>
      <c r="O18" s="348"/>
    </row>
    <row r="19" spans="3:15" hidden="1" outlineLevel="1" x14ac:dyDescent="0.2">
      <c r="C19" s="252">
        <v>44839</v>
      </c>
      <c r="D19" s="248" t="s">
        <v>102</v>
      </c>
      <c r="E19" s="248">
        <f t="shared" si="0"/>
        <v>2022</v>
      </c>
      <c r="F19" s="257" t="s">
        <v>171</v>
      </c>
      <c r="G19" s="248" t="str">
        <f t="shared" si="1"/>
        <v>Cashflow</v>
      </c>
      <c r="H19" s="258">
        <v>28500</v>
      </c>
      <c r="I19" s="248">
        <f>IF(Table2[[#This Row],[TYPE]]="Given",Table2[[#This Row],[AMOUNT (₹)]],0)</f>
        <v>28500</v>
      </c>
      <c r="J19" s="248">
        <f>IF(Table2[[#This Row],[TYPE]]="Received",Table2[[#This Row],[AMOUNT (₹)]],0)</f>
        <v>0</v>
      </c>
      <c r="K19" s="248" t="s">
        <v>713</v>
      </c>
      <c r="L19" s="259">
        <f ca="1">IF(D19="","",COUNTIF($D$9:INDIRECT("D"&amp;ROW()),D19))</f>
        <v>2</v>
      </c>
      <c r="M19" s="372"/>
      <c r="N19" s="372"/>
      <c r="O19" s="348"/>
    </row>
    <row r="20" spans="3:15" hidden="1" outlineLevel="1" x14ac:dyDescent="0.2">
      <c r="C20" s="252">
        <v>44839</v>
      </c>
      <c r="D20" s="248" t="s">
        <v>102</v>
      </c>
      <c r="E20" s="248">
        <f t="shared" si="0"/>
        <v>2022</v>
      </c>
      <c r="F20" s="257" t="s">
        <v>172</v>
      </c>
      <c r="G20" s="248" t="str">
        <f t="shared" si="1"/>
        <v>Cashflow</v>
      </c>
      <c r="H20" s="258">
        <v>16000</v>
      </c>
      <c r="I20" s="248">
        <f>IF(Table2[[#This Row],[TYPE]]="Given",Table2[[#This Row],[AMOUNT (₹)]],0)</f>
        <v>0</v>
      </c>
      <c r="J20" s="248">
        <f>IF(Table2[[#This Row],[TYPE]]="Received",Table2[[#This Row],[AMOUNT (₹)]],0)</f>
        <v>16000</v>
      </c>
      <c r="K20" s="248" t="s">
        <v>236</v>
      </c>
      <c r="L20" s="259">
        <f ca="1">IF(D20="","",COUNTIF($D$9:INDIRECT("D"&amp;ROW()),D20))</f>
        <v>3</v>
      </c>
      <c r="M20" s="372"/>
      <c r="N20" s="372"/>
      <c r="O20" s="348"/>
    </row>
    <row r="21" spans="3:15" hidden="1" outlineLevel="1" x14ac:dyDescent="0.2">
      <c r="C21" s="252">
        <v>44839</v>
      </c>
      <c r="D21" s="248" t="s">
        <v>102</v>
      </c>
      <c r="E21" s="248">
        <f t="shared" si="0"/>
        <v>2022</v>
      </c>
      <c r="F21" s="257" t="s">
        <v>172</v>
      </c>
      <c r="G21" s="248" t="str">
        <f t="shared" si="1"/>
        <v>Cashflow</v>
      </c>
      <c r="H21" s="258">
        <v>10000</v>
      </c>
      <c r="I21" s="248">
        <f>IF(Table2[[#This Row],[TYPE]]="Given",Table2[[#This Row],[AMOUNT (₹)]],0)</f>
        <v>0</v>
      </c>
      <c r="J21" s="248">
        <f>IF(Table2[[#This Row],[TYPE]]="Received",Table2[[#This Row],[AMOUNT (₹)]],0)</f>
        <v>10000</v>
      </c>
      <c r="K21" s="248" t="s">
        <v>236</v>
      </c>
      <c r="L21" s="259">
        <f ca="1">IF(D21="","",COUNTIF($D$9:INDIRECT("D"&amp;ROW()),D21))</f>
        <v>4</v>
      </c>
      <c r="M21" s="372"/>
      <c r="N21" s="372"/>
      <c r="O21" s="348"/>
    </row>
    <row r="22" spans="3:15" hidden="1" outlineLevel="1" x14ac:dyDescent="0.2">
      <c r="C22" s="252">
        <v>44839</v>
      </c>
      <c r="D22" s="248" t="s">
        <v>102</v>
      </c>
      <c r="E22" s="248">
        <f t="shared" si="0"/>
        <v>2022</v>
      </c>
      <c r="F22" s="257" t="s">
        <v>172</v>
      </c>
      <c r="G22" s="248" t="str">
        <f t="shared" si="1"/>
        <v>Cashflow</v>
      </c>
      <c r="H22" s="258">
        <v>3000</v>
      </c>
      <c r="I22" s="248">
        <f>IF(Table2[[#This Row],[TYPE]]="Given",Table2[[#This Row],[AMOUNT (₹)]],0)</f>
        <v>0</v>
      </c>
      <c r="J22" s="248">
        <f>IF(Table2[[#This Row],[TYPE]]="Received",Table2[[#This Row],[AMOUNT (₹)]],0)</f>
        <v>3000</v>
      </c>
      <c r="K22" s="248" t="s">
        <v>714</v>
      </c>
      <c r="L22" s="292">
        <f ca="1">IF(D22="","",COUNTIF($D$9:INDIRECT("D"&amp;ROW()),D22))</f>
        <v>5</v>
      </c>
      <c r="M22" s="372"/>
      <c r="N22" s="372"/>
      <c r="O22" s="348"/>
    </row>
    <row r="23" spans="3:15" hidden="1" outlineLevel="1" x14ac:dyDescent="0.2">
      <c r="C23" s="252">
        <v>44856</v>
      </c>
      <c r="D23" s="248" t="s">
        <v>97</v>
      </c>
      <c r="E23" s="248">
        <f t="shared" si="0"/>
        <v>2022</v>
      </c>
      <c r="F23" s="257" t="s">
        <v>171</v>
      </c>
      <c r="G23" s="248" t="str">
        <f t="shared" si="1"/>
        <v>Cashflow</v>
      </c>
      <c r="H23" s="258">
        <v>10550</v>
      </c>
      <c r="I23" s="248">
        <f>IF(Table2[[#This Row],[TYPE]]="Given",Table2[[#This Row],[AMOUNT (₹)]],0)</f>
        <v>10550</v>
      </c>
      <c r="J23" s="248">
        <f>IF(Table2[[#This Row],[TYPE]]="Received",Table2[[#This Row],[AMOUNT (₹)]],0)</f>
        <v>0</v>
      </c>
      <c r="K23" s="248" t="s">
        <v>715</v>
      </c>
      <c r="L23" s="259">
        <f ca="1">IF(D23="","",COUNTIF($D$9:INDIRECT("D"&amp;ROW()),D23))</f>
        <v>1</v>
      </c>
      <c r="M23" s="372"/>
      <c r="N23" s="372"/>
      <c r="O23" s="348"/>
    </row>
    <row r="24" spans="3:15" hidden="1" outlineLevel="1" x14ac:dyDescent="0.2">
      <c r="C24" s="252">
        <v>44985</v>
      </c>
      <c r="D24" s="248" t="s">
        <v>79</v>
      </c>
      <c r="E24" s="248">
        <f t="shared" si="0"/>
        <v>2023</v>
      </c>
      <c r="F24" s="257" t="s">
        <v>171</v>
      </c>
      <c r="G24" s="248" t="str">
        <f t="shared" si="1"/>
        <v>Cashflow</v>
      </c>
      <c r="H24" s="258">
        <v>2000</v>
      </c>
      <c r="I24" s="248">
        <f>IF(Table2[[#This Row],[TYPE]]="Given",Table2[[#This Row],[AMOUNT (₹)]],0)</f>
        <v>2000</v>
      </c>
      <c r="J24" s="248">
        <f>IF(Table2[[#This Row],[TYPE]]="Received",Table2[[#This Row],[AMOUNT (₹)]],0)</f>
        <v>0</v>
      </c>
      <c r="K24" s="248" t="s">
        <v>716</v>
      </c>
      <c r="L24" s="259">
        <f ca="1">IF(D24="","",COUNTIF($D$9:INDIRECT("D"&amp;ROW()),D24))</f>
        <v>1</v>
      </c>
      <c r="M24" s="372"/>
      <c r="N24" s="372"/>
      <c r="O24" s="348"/>
    </row>
    <row r="25" spans="3:15" hidden="1" outlineLevel="1" x14ac:dyDescent="0.2">
      <c r="C25" s="252">
        <v>45055</v>
      </c>
      <c r="D25" s="248" t="s">
        <v>87</v>
      </c>
      <c r="E25" s="248">
        <f t="shared" si="0"/>
        <v>2023</v>
      </c>
      <c r="F25" s="257" t="s">
        <v>171</v>
      </c>
      <c r="G25" s="248" t="str">
        <f t="shared" si="1"/>
        <v>Cashflow</v>
      </c>
      <c r="H25" s="258">
        <v>2780</v>
      </c>
      <c r="I25" s="248">
        <f>IF(Table2[[#This Row],[TYPE]]="Given",Table2[[#This Row],[AMOUNT (₹)]],0)</f>
        <v>2780</v>
      </c>
      <c r="J25" s="248">
        <f>IF(Table2[[#This Row],[TYPE]]="Received",Table2[[#This Row],[AMOUNT (₹)]],0)</f>
        <v>0</v>
      </c>
      <c r="K25" s="248" t="s">
        <v>717</v>
      </c>
      <c r="L25" s="259">
        <f ca="1">IF(D25="","",COUNTIF($D$9:INDIRECT("D"&amp;ROW()),D25))</f>
        <v>1</v>
      </c>
      <c r="M25" s="372"/>
      <c r="N25" s="372"/>
      <c r="O25" s="348"/>
    </row>
    <row r="26" spans="3:15" hidden="1" outlineLevel="1" x14ac:dyDescent="0.2">
      <c r="C26" s="252">
        <v>45061</v>
      </c>
      <c r="D26" s="248" t="s">
        <v>87</v>
      </c>
      <c r="E26" s="248">
        <f t="shared" si="0"/>
        <v>2023</v>
      </c>
      <c r="F26" s="257" t="s">
        <v>171</v>
      </c>
      <c r="G26" s="248" t="str">
        <f t="shared" si="1"/>
        <v>Cashflow</v>
      </c>
      <c r="H26" s="258">
        <v>1465</v>
      </c>
      <c r="I26" s="248">
        <f>IF(Table2[[#This Row],[TYPE]]="Given",Table2[[#This Row],[AMOUNT (₹)]],0)</f>
        <v>1465</v>
      </c>
      <c r="J26" s="248">
        <f>IF(Table2[[#This Row],[TYPE]]="Received",Table2[[#This Row],[AMOUNT (₹)]],0)</f>
        <v>0</v>
      </c>
      <c r="K26" s="248" t="s">
        <v>718</v>
      </c>
      <c r="L26" s="259">
        <f ca="1">IF(D26="","",COUNTIF($D$9:INDIRECT("D"&amp;ROW()),D26))</f>
        <v>2</v>
      </c>
      <c r="M26" s="372"/>
      <c r="N26" s="372"/>
      <c r="O26" s="348"/>
    </row>
    <row r="27" spans="3:15" hidden="1" outlineLevel="1" x14ac:dyDescent="0.2">
      <c r="C27" s="252">
        <v>45111</v>
      </c>
      <c r="D27" s="248" t="s">
        <v>97</v>
      </c>
      <c r="E27" s="248">
        <f t="shared" si="0"/>
        <v>2023</v>
      </c>
      <c r="F27" s="257" t="s">
        <v>171</v>
      </c>
      <c r="G27" s="248" t="str">
        <f t="shared" si="1"/>
        <v>Cashflow</v>
      </c>
      <c r="H27" s="258">
        <v>11000</v>
      </c>
      <c r="I27" s="248">
        <f>IF(Table2[[#This Row],[TYPE]]="Given",Table2[[#This Row],[AMOUNT (₹)]],0)</f>
        <v>11000</v>
      </c>
      <c r="J27" s="248">
        <f>IF(Table2[[#This Row],[TYPE]]="Received",Table2[[#This Row],[AMOUNT (₹)]],0)</f>
        <v>0</v>
      </c>
      <c r="K27" s="248" t="s">
        <v>719</v>
      </c>
      <c r="L27" s="259">
        <f ca="1">IF(D27="","",COUNTIF($D$9:INDIRECT("D"&amp;ROW()),D27))</f>
        <v>2</v>
      </c>
      <c r="M27" s="372"/>
      <c r="N27" s="372"/>
      <c r="O27" s="348"/>
    </row>
    <row r="28" spans="3:15" hidden="1" outlineLevel="1" x14ac:dyDescent="0.2">
      <c r="C28" s="252">
        <v>45121</v>
      </c>
      <c r="D28" s="248" t="s">
        <v>87</v>
      </c>
      <c r="E28" s="248">
        <f t="shared" si="0"/>
        <v>2023</v>
      </c>
      <c r="F28" s="257" t="s">
        <v>171</v>
      </c>
      <c r="G28" s="248" t="str">
        <f t="shared" si="1"/>
        <v>Cashflow</v>
      </c>
      <c r="H28" s="258">
        <v>2773</v>
      </c>
      <c r="I28" s="248">
        <f>IF(Table2[[#This Row],[TYPE]]="Given",Table2[[#This Row],[AMOUNT (₹)]],0)</f>
        <v>2773</v>
      </c>
      <c r="J28" s="248">
        <f>IF(Table2[[#This Row],[TYPE]]="Received",Table2[[#This Row],[AMOUNT (₹)]],0)</f>
        <v>0</v>
      </c>
      <c r="K28" s="248" t="s">
        <v>720</v>
      </c>
      <c r="L28" s="259">
        <f ca="1">IF(D28="","",COUNTIF($D$9:INDIRECT("D"&amp;ROW()),D28))</f>
        <v>3</v>
      </c>
      <c r="M28" s="372"/>
      <c r="N28" s="372"/>
      <c r="O28" s="348"/>
    </row>
    <row r="29" spans="3:15" hidden="1" outlineLevel="1" x14ac:dyDescent="0.2">
      <c r="C29" s="252">
        <v>45133</v>
      </c>
      <c r="D29" s="248" t="s">
        <v>87</v>
      </c>
      <c r="E29" s="248">
        <f t="shared" si="0"/>
        <v>2023</v>
      </c>
      <c r="F29" s="257" t="s">
        <v>171</v>
      </c>
      <c r="G29" s="248" t="str">
        <f t="shared" si="1"/>
        <v>Cashflow</v>
      </c>
      <c r="H29" s="258">
        <v>2653</v>
      </c>
      <c r="I29" s="248">
        <f>IF(Table2[[#This Row],[TYPE]]="Given",Table2[[#This Row],[AMOUNT (₹)]],0)</f>
        <v>2653</v>
      </c>
      <c r="J29" s="248">
        <f>IF(Table2[[#This Row],[TYPE]]="Received",Table2[[#This Row],[AMOUNT (₹)]],0)</f>
        <v>0</v>
      </c>
      <c r="K29" s="248" t="s">
        <v>721</v>
      </c>
      <c r="L29" s="259">
        <f ca="1">IF(D29="","",COUNTIF($D$9:INDIRECT("D"&amp;ROW()),D29))</f>
        <v>4</v>
      </c>
      <c r="M29" s="372"/>
      <c r="N29" s="372"/>
      <c r="O29" s="348"/>
    </row>
    <row r="30" spans="3:15" hidden="1" outlineLevel="1" x14ac:dyDescent="0.2">
      <c r="C30" s="252">
        <v>45141</v>
      </c>
      <c r="D30" s="248" t="s">
        <v>91</v>
      </c>
      <c r="E30" s="248">
        <f t="shared" si="0"/>
        <v>2023</v>
      </c>
      <c r="F30" s="257" t="s">
        <v>171</v>
      </c>
      <c r="G30" s="248" t="str">
        <f t="shared" si="1"/>
        <v>Cashflow</v>
      </c>
      <c r="H30" s="258">
        <v>2000</v>
      </c>
      <c r="I30" s="248">
        <f>IF(Table2[[#This Row],[TYPE]]="Given",Table2[[#This Row],[AMOUNT (₹)]],0)</f>
        <v>2000</v>
      </c>
      <c r="J30" s="248">
        <f>IF(Table2[[#This Row],[TYPE]]="Received",Table2[[#This Row],[AMOUNT (₹)]],0)</f>
        <v>0</v>
      </c>
      <c r="L30" s="259">
        <f ca="1">IF(D30="","",COUNTIF($D$9:INDIRECT("D"&amp;ROW()),D30))</f>
        <v>2</v>
      </c>
      <c r="M30" s="372"/>
      <c r="N30" s="372"/>
      <c r="O30" s="348"/>
    </row>
    <row r="31" spans="3:15" hidden="1" outlineLevel="1" x14ac:dyDescent="0.2">
      <c r="C31" s="252">
        <v>45146</v>
      </c>
      <c r="D31" s="248" t="s">
        <v>91</v>
      </c>
      <c r="E31" s="248">
        <f t="shared" si="0"/>
        <v>2023</v>
      </c>
      <c r="F31" s="257" t="s">
        <v>171</v>
      </c>
      <c r="G31" s="248" t="str">
        <f t="shared" si="1"/>
        <v>Cashflow</v>
      </c>
      <c r="H31" s="258">
        <v>210</v>
      </c>
      <c r="I31" s="248">
        <f>IF(Table2[[#This Row],[TYPE]]="Given",Table2[[#This Row],[AMOUNT (₹)]],0)</f>
        <v>210</v>
      </c>
      <c r="J31" s="248">
        <f>IF(Table2[[#This Row],[TYPE]]="Received",Table2[[#This Row],[AMOUNT (₹)]],0)</f>
        <v>0</v>
      </c>
      <c r="K31" s="248" t="s">
        <v>94</v>
      </c>
      <c r="L31" s="259">
        <f ca="1">IF(D31="","",COUNTIF($D$9:INDIRECT("D"&amp;ROW()),D31))</f>
        <v>3</v>
      </c>
      <c r="M31" s="372"/>
      <c r="N31" s="372"/>
      <c r="O31" s="348"/>
    </row>
    <row r="32" spans="3:15" hidden="1" outlineLevel="1" x14ac:dyDescent="0.2">
      <c r="C32" s="252">
        <v>45198</v>
      </c>
      <c r="D32" s="248" t="s">
        <v>91</v>
      </c>
      <c r="E32" s="248">
        <f t="shared" si="0"/>
        <v>2023</v>
      </c>
      <c r="F32" s="257" t="s">
        <v>171</v>
      </c>
      <c r="G32" s="248" t="str">
        <f t="shared" si="1"/>
        <v>Cashflow</v>
      </c>
      <c r="H32" s="258">
        <v>160</v>
      </c>
      <c r="I32" s="248">
        <f>IF(Table2[[#This Row],[TYPE]]="Given",Table2[[#This Row],[AMOUNT (₹)]],0)</f>
        <v>160</v>
      </c>
      <c r="J32" s="248">
        <f>IF(Table2[[#This Row],[TYPE]]="Received",Table2[[#This Row],[AMOUNT (₹)]],0)</f>
        <v>0</v>
      </c>
      <c r="L32" s="259">
        <f ca="1">IF(D32="","",COUNTIF($D$9:INDIRECT("D"&amp;ROW()),D32))</f>
        <v>4</v>
      </c>
      <c r="M32" s="372"/>
      <c r="N32" s="372"/>
      <c r="O32" s="348"/>
    </row>
    <row r="33" spans="3:15" hidden="1" outlineLevel="1" x14ac:dyDescent="0.2">
      <c r="C33" s="252">
        <v>45212</v>
      </c>
      <c r="D33" s="248" t="s">
        <v>79</v>
      </c>
      <c r="E33" s="248">
        <f t="shared" si="0"/>
        <v>2023</v>
      </c>
      <c r="F33" s="257" t="s">
        <v>171</v>
      </c>
      <c r="G33" s="248" t="str">
        <f t="shared" si="1"/>
        <v>Cashflow</v>
      </c>
      <c r="H33" s="258">
        <v>500</v>
      </c>
      <c r="I33" s="248">
        <f>IF(Table2[[#This Row],[TYPE]]="Given",Table2[[#This Row],[AMOUNT (₹)]],0)</f>
        <v>500</v>
      </c>
      <c r="J33" s="248">
        <f>IF(Table2[[#This Row],[TYPE]]="Received",Table2[[#This Row],[AMOUNT (₹)]],0)</f>
        <v>0</v>
      </c>
      <c r="K33" s="248" t="s">
        <v>722</v>
      </c>
      <c r="L33" s="259">
        <f ca="1">IF(D33="","",COUNTIF($D$9:INDIRECT("D"&amp;ROW()),D33))</f>
        <v>2</v>
      </c>
      <c r="M33" s="372"/>
      <c r="N33" s="372"/>
      <c r="O33" s="348"/>
    </row>
    <row r="34" spans="3:15" hidden="1" outlineLevel="1" x14ac:dyDescent="0.2">
      <c r="C34" s="252">
        <v>45231</v>
      </c>
      <c r="D34" s="248" t="s">
        <v>79</v>
      </c>
      <c r="E34" s="248">
        <f t="shared" si="0"/>
        <v>2023</v>
      </c>
      <c r="F34" s="257" t="s">
        <v>171</v>
      </c>
      <c r="G34" s="248" t="str">
        <f t="shared" si="1"/>
        <v>Cashflow</v>
      </c>
      <c r="H34" s="258">
        <v>6000</v>
      </c>
      <c r="I34" s="248">
        <f>IF(Table2[[#This Row],[TYPE]]="Given",Table2[[#This Row],[AMOUNT (₹)]],0)</f>
        <v>6000</v>
      </c>
      <c r="J34" s="248">
        <f>IF(Table2[[#This Row],[TYPE]]="Received",Table2[[#This Row],[AMOUNT (₹)]],0)</f>
        <v>0</v>
      </c>
      <c r="K34" s="248" t="s">
        <v>723</v>
      </c>
      <c r="L34" s="259">
        <f ca="1">IF(D34="","",COUNTIF($D$9:INDIRECT("D"&amp;ROW()),D34))</f>
        <v>3</v>
      </c>
      <c r="M34" s="372"/>
      <c r="N34" s="372"/>
      <c r="O34" s="372"/>
    </row>
    <row r="35" spans="3:15" hidden="1" outlineLevel="1" x14ac:dyDescent="0.2">
      <c r="C35" s="252">
        <v>45240</v>
      </c>
      <c r="D35" s="248" t="s">
        <v>87</v>
      </c>
      <c r="E35" s="248">
        <f t="shared" si="0"/>
        <v>2023</v>
      </c>
      <c r="F35" s="257" t="s">
        <v>172</v>
      </c>
      <c r="G35" s="248" t="str">
        <f t="shared" si="1"/>
        <v>Cashflow</v>
      </c>
      <c r="H35" s="258">
        <v>1030</v>
      </c>
      <c r="I35" s="248">
        <f>IF(Table2[[#This Row],[TYPE]]="Given",Table2[[#This Row],[AMOUNT (₹)]],0)</f>
        <v>0</v>
      </c>
      <c r="J35" s="248">
        <f>IF(Table2[[#This Row],[TYPE]]="Received",Table2[[#This Row],[AMOUNT (₹)]],0)</f>
        <v>1030</v>
      </c>
      <c r="K35" s="248" t="s">
        <v>724</v>
      </c>
      <c r="L35" s="259">
        <f ca="1">IF(D35="","",COUNTIF($D$9:INDIRECT("D"&amp;ROW()),D35))</f>
        <v>5</v>
      </c>
      <c r="M35" s="372"/>
      <c r="N35" s="372"/>
      <c r="O35" s="372"/>
    </row>
    <row r="36" spans="3:15" hidden="1" outlineLevel="1" x14ac:dyDescent="0.2">
      <c r="C36" s="252">
        <v>45244</v>
      </c>
      <c r="D36" s="248" t="s">
        <v>91</v>
      </c>
      <c r="E36" s="248">
        <f t="shared" si="0"/>
        <v>2023</v>
      </c>
      <c r="F36" s="257" t="s">
        <v>171</v>
      </c>
      <c r="G36" s="248" t="str">
        <f t="shared" si="1"/>
        <v>Cashflow</v>
      </c>
      <c r="H36" s="258">
        <v>3853</v>
      </c>
      <c r="I36" s="248">
        <f>IF(Table2[[#This Row],[TYPE]]="Given",Table2[[#This Row],[AMOUNT (₹)]],0)</f>
        <v>3853</v>
      </c>
      <c r="J36" s="248">
        <f>IF(Table2[[#This Row],[TYPE]]="Received",Table2[[#This Row],[AMOUNT (₹)]],0)</f>
        <v>0</v>
      </c>
      <c r="K36" s="248" t="s">
        <v>725</v>
      </c>
      <c r="L36" s="259">
        <f ca="1">IF(D36="","",COUNTIF($D$9:INDIRECT("D"&amp;ROW()),D36))</f>
        <v>5</v>
      </c>
      <c r="M36" s="372"/>
      <c r="N36" s="372"/>
      <c r="O36" s="372"/>
    </row>
    <row r="37" spans="3:15" hidden="1" outlineLevel="1" x14ac:dyDescent="0.2">
      <c r="C37" s="252">
        <v>45268</v>
      </c>
      <c r="D37" s="248" t="s">
        <v>104</v>
      </c>
      <c r="E37" s="248">
        <f t="shared" si="0"/>
        <v>2023</v>
      </c>
      <c r="F37" s="257" t="s">
        <v>171</v>
      </c>
      <c r="G37" s="248" t="str">
        <f t="shared" si="1"/>
        <v>Cashflow</v>
      </c>
      <c r="H37" s="258">
        <v>240</v>
      </c>
      <c r="I37" s="248">
        <f>IF(Table2[[#This Row],[TYPE]]="Given",Table2[[#This Row],[AMOUNT (₹)]],0)</f>
        <v>240</v>
      </c>
      <c r="J37" s="248">
        <f>IF(Table2[[#This Row],[TYPE]]="Received",Table2[[#This Row],[AMOUNT (₹)]],0)</f>
        <v>0</v>
      </c>
      <c r="K37" s="248" t="s">
        <v>726</v>
      </c>
      <c r="L37" s="259">
        <f ca="1">IF(D37="","",COUNTIF($D$9:INDIRECT("D"&amp;ROW()),D37))</f>
        <v>1</v>
      </c>
      <c r="M37" s="372"/>
      <c r="N37" s="372"/>
      <c r="O37" s="372"/>
    </row>
    <row r="38" spans="3:15" hidden="1" outlineLevel="1" x14ac:dyDescent="0.2">
      <c r="C38" s="252">
        <v>45268</v>
      </c>
      <c r="D38" s="248" t="s">
        <v>104</v>
      </c>
      <c r="E38" s="248">
        <f t="shared" si="0"/>
        <v>2023</v>
      </c>
      <c r="F38" s="257" t="s">
        <v>171</v>
      </c>
      <c r="G38" s="248" t="str">
        <f t="shared" si="1"/>
        <v>Cashflow</v>
      </c>
      <c r="H38" s="258">
        <v>240</v>
      </c>
      <c r="I38" s="248">
        <f>IF(Table2[[#This Row],[TYPE]]="Given",Table2[[#This Row],[AMOUNT (₹)]],0)</f>
        <v>240</v>
      </c>
      <c r="J38" s="248">
        <f>IF(Table2[[#This Row],[TYPE]]="Received",Table2[[#This Row],[AMOUNT (₹)]],0)</f>
        <v>0</v>
      </c>
      <c r="K38" s="248" t="s">
        <v>726</v>
      </c>
      <c r="L38" s="259">
        <f ca="1">IF(D38="","",COUNTIF($D$9:INDIRECT("D"&amp;ROW()),D38))</f>
        <v>2</v>
      </c>
      <c r="M38" s="372"/>
      <c r="N38" s="372"/>
      <c r="O38" s="372"/>
    </row>
    <row r="39" spans="3:15" hidden="1" outlineLevel="1" x14ac:dyDescent="0.2">
      <c r="C39" s="252">
        <v>45268</v>
      </c>
      <c r="D39" s="248" t="s">
        <v>104</v>
      </c>
      <c r="E39" s="248">
        <f t="shared" si="0"/>
        <v>2023</v>
      </c>
      <c r="F39" s="257" t="s">
        <v>171</v>
      </c>
      <c r="G39" s="248" t="str">
        <f t="shared" si="1"/>
        <v>Cashflow</v>
      </c>
      <c r="H39" s="258">
        <v>200</v>
      </c>
      <c r="I39" s="248">
        <f>IF(Table2[[#This Row],[TYPE]]="Given",Table2[[#This Row],[AMOUNT (₹)]],0)</f>
        <v>200</v>
      </c>
      <c r="J39" s="248">
        <f>IF(Table2[[#This Row],[TYPE]]="Received",Table2[[#This Row],[AMOUNT (₹)]],0)</f>
        <v>0</v>
      </c>
      <c r="K39" s="248" t="s">
        <v>727</v>
      </c>
      <c r="L39" s="259">
        <f ca="1">IF(D39="","",COUNTIF($D$9:INDIRECT("D"&amp;ROW()),D39))</f>
        <v>3</v>
      </c>
      <c r="M39" s="372"/>
      <c r="N39" s="372"/>
      <c r="O39" s="372"/>
    </row>
    <row r="40" spans="3:15" hidden="1" outlineLevel="1" x14ac:dyDescent="0.2">
      <c r="C40" s="252">
        <v>45270</v>
      </c>
      <c r="D40" s="248" t="s">
        <v>87</v>
      </c>
      <c r="E40" s="248">
        <f t="shared" si="0"/>
        <v>2023</v>
      </c>
      <c r="F40" s="257" t="s">
        <v>172</v>
      </c>
      <c r="G40" s="248" t="str">
        <f t="shared" si="1"/>
        <v>Cashflow</v>
      </c>
      <c r="H40" s="258">
        <v>1000</v>
      </c>
      <c r="I40" s="248">
        <f>IF(Table2[[#This Row],[TYPE]]="Given",Table2[[#This Row],[AMOUNT (₹)]],0)</f>
        <v>0</v>
      </c>
      <c r="J40" s="248">
        <f>IF(Table2[[#This Row],[TYPE]]="Received",Table2[[#This Row],[AMOUNT (₹)]],0)</f>
        <v>1000</v>
      </c>
      <c r="K40" s="248" t="s">
        <v>728</v>
      </c>
      <c r="L40" s="259">
        <f ca="1">IF(D40="","",COUNTIF($D$9:INDIRECT("D"&amp;ROW()),D40))</f>
        <v>6</v>
      </c>
      <c r="M40" s="372"/>
      <c r="N40" s="372"/>
      <c r="O40" s="372"/>
    </row>
    <row r="41" spans="3:15" hidden="1" outlineLevel="1" x14ac:dyDescent="0.2">
      <c r="C41" s="252">
        <v>45307</v>
      </c>
      <c r="D41" s="248" t="s">
        <v>87</v>
      </c>
      <c r="E41" s="248">
        <f t="shared" si="0"/>
        <v>2024</v>
      </c>
      <c r="F41" s="257" t="s">
        <v>172</v>
      </c>
      <c r="G41" s="248" t="str">
        <f t="shared" si="1"/>
        <v>Cashflow</v>
      </c>
      <c r="H41" s="258">
        <v>10000</v>
      </c>
      <c r="I41" s="248">
        <f>IF(Table2[[#This Row],[TYPE]]="Given",Table2[[#This Row],[AMOUNT (₹)]],0)</f>
        <v>0</v>
      </c>
      <c r="J41" s="248">
        <f>IF(Table2[[#This Row],[TYPE]]="Received",Table2[[#This Row],[AMOUNT (₹)]],0)</f>
        <v>10000</v>
      </c>
      <c r="K41" s="248" t="s">
        <v>236</v>
      </c>
      <c r="L41" s="259">
        <f ca="1">IF(D41="","",COUNTIF($D$9:INDIRECT("D"&amp;ROW()),D41))</f>
        <v>7</v>
      </c>
      <c r="M41" s="372"/>
      <c r="N41" s="372"/>
      <c r="O41" s="372"/>
    </row>
    <row r="42" spans="3:15" hidden="1" outlineLevel="1" x14ac:dyDescent="0.2">
      <c r="C42" s="252">
        <v>45308</v>
      </c>
      <c r="D42" s="248" t="s">
        <v>87</v>
      </c>
      <c r="E42" s="248">
        <f t="shared" si="0"/>
        <v>2024</v>
      </c>
      <c r="F42" s="257" t="s">
        <v>171</v>
      </c>
      <c r="G42" s="248" t="str">
        <f t="shared" si="1"/>
        <v>Cashflow</v>
      </c>
      <c r="H42" s="258">
        <v>13256</v>
      </c>
      <c r="I42" s="248">
        <f>IF(Table2[[#This Row],[TYPE]]="Given",Table2[[#This Row],[AMOUNT (₹)]],0)</f>
        <v>13256</v>
      </c>
      <c r="J42" s="248">
        <f>IF(Table2[[#This Row],[TYPE]]="Received",Table2[[#This Row],[AMOUNT (₹)]],0)</f>
        <v>0</v>
      </c>
      <c r="K42" s="248" t="s">
        <v>729</v>
      </c>
      <c r="L42" s="259">
        <f ca="1">IF(D42="","",COUNTIF($D$9:INDIRECT("D"&amp;ROW()),D42))</f>
        <v>8</v>
      </c>
      <c r="M42" s="372"/>
      <c r="N42" s="372"/>
      <c r="O42" s="372"/>
    </row>
    <row r="43" spans="3:15" hidden="1" outlineLevel="1" x14ac:dyDescent="0.2">
      <c r="C43" s="252">
        <v>45309</v>
      </c>
      <c r="D43" s="248" t="s">
        <v>87</v>
      </c>
      <c r="E43" s="248">
        <f t="shared" si="0"/>
        <v>2024</v>
      </c>
      <c r="F43" s="257" t="s">
        <v>171</v>
      </c>
      <c r="G43" s="248" t="str">
        <f t="shared" si="1"/>
        <v>Cashflow</v>
      </c>
      <c r="H43" s="258">
        <v>5987</v>
      </c>
      <c r="I43" s="248">
        <f>IF(Table2[[#This Row],[TYPE]]="Given",Table2[[#This Row],[AMOUNT (₹)]],0)</f>
        <v>5987</v>
      </c>
      <c r="J43" s="248">
        <f>IF(Table2[[#This Row],[TYPE]]="Received",Table2[[#This Row],[AMOUNT (₹)]],0)</f>
        <v>0</v>
      </c>
      <c r="K43" s="248" t="s">
        <v>730</v>
      </c>
      <c r="L43" s="259">
        <f ca="1">IF(D43="","",COUNTIF($D$9:INDIRECT("D"&amp;ROW()),D43))</f>
        <v>9</v>
      </c>
      <c r="M43" s="372"/>
      <c r="N43" s="372"/>
      <c r="O43" s="372"/>
    </row>
    <row r="44" spans="3:15" hidden="1" outlineLevel="1" x14ac:dyDescent="0.2">
      <c r="C44" s="252">
        <v>45315</v>
      </c>
      <c r="D44" s="248" t="s">
        <v>87</v>
      </c>
      <c r="E44" s="248">
        <f t="shared" si="0"/>
        <v>2024</v>
      </c>
      <c r="F44" s="257" t="s">
        <v>171</v>
      </c>
      <c r="G44" s="248" t="str">
        <f t="shared" si="1"/>
        <v>Cashflow</v>
      </c>
      <c r="H44" s="258">
        <v>6837</v>
      </c>
      <c r="I44" s="248">
        <f>IF(Table2[[#This Row],[TYPE]]="Given",Table2[[#This Row],[AMOUNT (₹)]],0)</f>
        <v>6837</v>
      </c>
      <c r="J44" s="248">
        <f>IF(Table2[[#This Row],[TYPE]]="Received",Table2[[#This Row],[AMOUNT (₹)]],0)</f>
        <v>0</v>
      </c>
      <c r="K44" s="248" t="s">
        <v>731</v>
      </c>
      <c r="L44" s="259">
        <f ca="1">IF(D44="","",COUNTIF($D$9:INDIRECT("D"&amp;ROW()),D44))</f>
        <v>10</v>
      </c>
      <c r="M44" s="372"/>
      <c r="N44" s="372"/>
      <c r="O44" s="372"/>
    </row>
    <row r="45" spans="3:15" hidden="1" outlineLevel="1" x14ac:dyDescent="0.2">
      <c r="C45" s="252">
        <v>45315</v>
      </c>
      <c r="D45" s="248" t="s">
        <v>87</v>
      </c>
      <c r="E45" s="248">
        <f t="shared" si="0"/>
        <v>2024</v>
      </c>
      <c r="F45" s="257" t="s">
        <v>172</v>
      </c>
      <c r="G45" s="248" t="str">
        <f t="shared" si="1"/>
        <v>Cashflow</v>
      </c>
      <c r="H45" s="258">
        <v>5000</v>
      </c>
      <c r="I45" s="248">
        <f>IF(Table2[[#This Row],[TYPE]]="Given",Table2[[#This Row],[AMOUNT (₹)]],0)</f>
        <v>0</v>
      </c>
      <c r="J45" s="248">
        <f>IF(Table2[[#This Row],[TYPE]]="Received",Table2[[#This Row],[AMOUNT (₹)]],0)</f>
        <v>5000</v>
      </c>
      <c r="K45" s="248" t="s">
        <v>236</v>
      </c>
      <c r="L45" s="259">
        <f ca="1">IF(D45="","",COUNTIF($D$9:INDIRECT("D"&amp;ROW()),D45))</f>
        <v>11</v>
      </c>
      <c r="M45" s="372"/>
      <c r="N45" s="372"/>
      <c r="O45" s="372"/>
    </row>
    <row r="46" spans="3:15" hidden="1" outlineLevel="1" x14ac:dyDescent="0.2">
      <c r="C46" s="252">
        <v>45323</v>
      </c>
      <c r="D46" s="248" t="s">
        <v>87</v>
      </c>
      <c r="E46" s="248">
        <f t="shared" si="0"/>
        <v>2024</v>
      </c>
      <c r="F46" s="257" t="s">
        <v>171</v>
      </c>
      <c r="G46" s="248" t="str">
        <f t="shared" si="1"/>
        <v>Cashflow</v>
      </c>
      <c r="H46" s="258">
        <v>1703</v>
      </c>
      <c r="I46" s="248">
        <f>IF(Table2[[#This Row],[TYPE]]="Given",Table2[[#This Row],[AMOUNT (₹)]],0)</f>
        <v>1703</v>
      </c>
      <c r="J46" s="248">
        <f>IF(Table2[[#This Row],[TYPE]]="Received",Table2[[#This Row],[AMOUNT (₹)]],0)</f>
        <v>0</v>
      </c>
      <c r="K46" s="248" t="s">
        <v>732</v>
      </c>
      <c r="L46" s="259">
        <f ca="1">IF(D46="","",COUNTIF($D$9:INDIRECT("D"&amp;ROW()),D46))</f>
        <v>12</v>
      </c>
      <c r="M46" s="372"/>
      <c r="N46" s="372"/>
      <c r="O46" s="372"/>
    </row>
    <row r="47" spans="3:15" hidden="1" outlineLevel="1" x14ac:dyDescent="0.2">
      <c r="C47" s="252">
        <v>45323</v>
      </c>
      <c r="D47" s="248" t="s">
        <v>87</v>
      </c>
      <c r="E47" s="248">
        <f t="shared" si="0"/>
        <v>2024</v>
      </c>
      <c r="F47" s="257" t="s">
        <v>172</v>
      </c>
      <c r="G47" s="248" t="str">
        <f t="shared" si="1"/>
        <v>Cashflow</v>
      </c>
      <c r="H47" s="258">
        <v>2000</v>
      </c>
      <c r="I47" s="248">
        <f>IF(Table2[[#This Row],[TYPE]]="Given",Table2[[#This Row],[AMOUNT (₹)]],0)</f>
        <v>0</v>
      </c>
      <c r="J47" s="248">
        <f>IF(Table2[[#This Row],[TYPE]]="Received",Table2[[#This Row],[AMOUNT (₹)]],0)</f>
        <v>2000</v>
      </c>
      <c r="K47" s="248" t="s">
        <v>236</v>
      </c>
      <c r="L47" s="259">
        <f ca="1">IF(D47="","",COUNTIF($D$9:INDIRECT("D"&amp;ROW()),D47))</f>
        <v>13</v>
      </c>
      <c r="M47" s="372"/>
      <c r="N47" s="372"/>
      <c r="O47" s="372"/>
    </row>
    <row r="48" spans="3:15" hidden="1" outlineLevel="1" x14ac:dyDescent="0.2">
      <c r="C48" s="252">
        <v>45323</v>
      </c>
      <c r="D48" s="248" t="s">
        <v>105</v>
      </c>
      <c r="E48" s="248">
        <f t="shared" si="0"/>
        <v>2024</v>
      </c>
      <c r="F48" s="257" t="s">
        <v>171</v>
      </c>
      <c r="G48" s="248" t="str">
        <f t="shared" si="1"/>
        <v>Cashflow</v>
      </c>
      <c r="H48" s="258">
        <v>1450</v>
      </c>
      <c r="I48" s="248">
        <f>IF(Table2[[#This Row],[TYPE]]="Given",Table2[[#This Row],[AMOUNT (₹)]],0)</f>
        <v>1450</v>
      </c>
      <c r="J48" s="248">
        <f>IF(Table2[[#This Row],[TYPE]]="Received",Table2[[#This Row],[AMOUNT (₹)]],0)</f>
        <v>0</v>
      </c>
      <c r="K48" s="248" t="s">
        <v>716</v>
      </c>
      <c r="L48" s="259">
        <f ca="1">IF(D48="","",COUNTIF($D$9:INDIRECT("D"&amp;ROW()),D48))</f>
        <v>1</v>
      </c>
      <c r="M48" s="372"/>
      <c r="N48" s="372"/>
      <c r="O48" s="372"/>
    </row>
    <row r="49" spans="3:12" hidden="1" outlineLevel="1" x14ac:dyDescent="0.2">
      <c r="C49" s="252">
        <v>45329</v>
      </c>
      <c r="D49" s="248" t="s">
        <v>91</v>
      </c>
      <c r="E49" s="248">
        <f t="shared" si="0"/>
        <v>2024</v>
      </c>
      <c r="F49" s="257" t="s">
        <v>171</v>
      </c>
      <c r="G49" s="248" t="str">
        <f t="shared" si="1"/>
        <v>Cashflow</v>
      </c>
      <c r="H49" s="258">
        <v>300</v>
      </c>
      <c r="I49" s="248">
        <f>IF(Table2[[#This Row],[TYPE]]="Given",Table2[[#This Row],[AMOUNT (₹)]],0)</f>
        <v>300</v>
      </c>
      <c r="J49" s="248">
        <f>IF(Table2[[#This Row],[TYPE]]="Received",Table2[[#This Row],[AMOUNT (₹)]],0)</f>
        <v>0</v>
      </c>
      <c r="K49" s="248" t="s">
        <v>733</v>
      </c>
      <c r="L49" s="259">
        <f ca="1">IF(D49="","",COUNTIF($D$9:INDIRECT("D"&amp;ROW()),D49))</f>
        <v>6</v>
      </c>
    </row>
    <row r="50" spans="3:12" hidden="1" outlineLevel="1" x14ac:dyDescent="0.2">
      <c r="C50" s="252">
        <v>45331</v>
      </c>
      <c r="D50" s="248" t="s">
        <v>87</v>
      </c>
      <c r="E50" s="248">
        <f t="shared" si="0"/>
        <v>2024</v>
      </c>
      <c r="F50" s="257" t="s">
        <v>171</v>
      </c>
      <c r="G50" s="248" t="str">
        <f t="shared" si="1"/>
        <v>Cashflow</v>
      </c>
      <c r="H50" s="258">
        <v>1788</v>
      </c>
      <c r="I50" s="248">
        <f>IF(Table2[[#This Row],[TYPE]]="Given",Table2[[#This Row],[AMOUNT (₹)]],0)</f>
        <v>1788</v>
      </c>
      <c r="J50" s="248">
        <f>IF(Table2[[#This Row],[TYPE]]="Received",Table2[[#This Row],[AMOUNT (₹)]],0)</f>
        <v>0</v>
      </c>
      <c r="K50" s="248" t="s">
        <v>734</v>
      </c>
      <c r="L50" s="259">
        <f ca="1">IF(D50="","",COUNTIF($D$9:INDIRECT("D"&amp;ROW()),D50))</f>
        <v>14</v>
      </c>
    </row>
    <row r="51" spans="3:12" hidden="1" outlineLevel="1" x14ac:dyDescent="0.2">
      <c r="C51" s="252">
        <v>45337</v>
      </c>
      <c r="D51" s="248" t="s">
        <v>91</v>
      </c>
      <c r="E51" s="248">
        <f t="shared" si="0"/>
        <v>2024</v>
      </c>
      <c r="F51" s="257" t="s">
        <v>171</v>
      </c>
      <c r="G51" s="248" t="str">
        <f t="shared" si="1"/>
        <v>Cashflow</v>
      </c>
      <c r="H51" s="258">
        <v>2000</v>
      </c>
      <c r="I51" s="248">
        <f>IF(Table2[[#This Row],[TYPE]]="Given",Table2[[#This Row],[AMOUNT (₹)]],0)</f>
        <v>2000</v>
      </c>
      <c r="J51" s="248">
        <f>IF(Table2[[#This Row],[TYPE]]="Received",Table2[[#This Row],[AMOUNT (₹)]],0)</f>
        <v>0</v>
      </c>
      <c r="K51" s="248" t="s">
        <v>735</v>
      </c>
      <c r="L51" s="259">
        <f ca="1">IF(D51="","",COUNTIF($D$9:INDIRECT("D"&amp;ROW()),D51))</f>
        <v>7</v>
      </c>
    </row>
    <row r="52" spans="3:12" hidden="1" outlineLevel="1" x14ac:dyDescent="0.2">
      <c r="C52" s="252">
        <v>45352</v>
      </c>
      <c r="D52" s="248" t="s">
        <v>87</v>
      </c>
      <c r="E52" s="248">
        <f t="shared" si="0"/>
        <v>2024</v>
      </c>
      <c r="F52" s="257" t="s">
        <v>171</v>
      </c>
      <c r="G52" s="248" t="str">
        <f t="shared" si="1"/>
        <v>Cashflow</v>
      </c>
      <c r="H52" s="258">
        <v>1700</v>
      </c>
      <c r="I52" s="248">
        <f>IF(Table2[[#This Row],[TYPE]]="Given",Table2[[#This Row],[AMOUNT (₹)]],0)</f>
        <v>1700</v>
      </c>
      <c r="J52" s="248">
        <f>IF(Table2[[#This Row],[TYPE]]="Received",Table2[[#This Row],[AMOUNT (₹)]],0)</f>
        <v>0</v>
      </c>
      <c r="K52" s="248" t="s">
        <v>736</v>
      </c>
      <c r="L52" s="259">
        <f ca="1">IF(D52="","",COUNTIF($D$9:INDIRECT("D"&amp;ROW()),D52))</f>
        <v>15</v>
      </c>
    </row>
    <row r="53" spans="3:12" hidden="1" outlineLevel="1" x14ac:dyDescent="0.2">
      <c r="C53" s="252">
        <v>45352</v>
      </c>
      <c r="D53" s="248" t="s">
        <v>87</v>
      </c>
      <c r="E53" s="248">
        <f t="shared" si="0"/>
        <v>2024</v>
      </c>
      <c r="F53" s="257" t="s">
        <v>171</v>
      </c>
      <c r="G53" s="248" t="str">
        <f t="shared" si="1"/>
        <v>Cashflow</v>
      </c>
      <c r="H53" s="258">
        <v>0</v>
      </c>
      <c r="I53" s="248">
        <f>IF(Table2[[#This Row],[TYPE]]="Given",Table2[[#This Row],[AMOUNT (₹)]],0)</f>
        <v>0</v>
      </c>
      <c r="J53" s="248">
        <f>IF(Table2[[#This Row],[TYPE]]="Received",Table2[[#This Row],[AMOUNT (₹)]],0)</f>
        <v>0</v>
      </c>
      <c r="K53" s="248" t="s">
        <v>737</v>
      </c>
      <c r="L53" s="259">
        <f ca="1">IF(D53="","",COUNTIF($D$9:INDIRECT("D"&amp;ROW()),D53))</f>
        <v>16</v>
      </c>
    </row>
    <row r="54" spans="3:12" hidden="1" outlineLevel="1" x14ac:dyDescent="0.2">
      <c r="C54" s="252">
        <v>45352</v>
      </c>
      <c r="D54" s="248" t="s">
        <v>87</v>
      </c>
      <c r="E54" s="248">
        <f t="shared" si="0"/>
        <v>2024</v>
      </c>
      <c r="F54" s="257" t="s">
        <v>171</v>
      </c>
      <c r="G54" s="248" t="str">
        <f t="shared" si="1"/>
        <v>Cashflow</v>
      </c>
      <c r="H54" s="258">
        <v>1321</v>
      </c>
      <c r="I54" s="248">
        <f>IF(Table2[[#This Row],[TYPE]]="Given",Table2[[#This Row],[AMOUNT (₹)]],0)</f>
        <v>1321</v>
      </c>
      <c r="J54" s="248">
        <f>IF(Table2[[#This Row],[TYPE]]="Received",Table2[[#This Row],[AMOUNT (₹)]],0)</f>
        <v>0</v>
      </c>
      <c r="K54" s="248" t="s">
        <v>738</v>
      </c>
      <c r="L54" s="259">
        <f ca="1">IF(D54="","",COUNTIF($D$9:INDIRECT("D"&amp;ROW()),D54))</f>
        <v>17</v>
      </c>
    </row>
    <row r="55" spans="3:12" hidden="1" outlineLevel="1" x14ac:dyDescent="0.2">
      <c r="C55" s="252">
        <v>45402</v>
      </c>
      <c r="D55" s="248" t="s">
        <v>87</v>
      </c>
      <c r="E55" s="248">
        <f t="shared" si="0"/>
        <v>2024</v>
      </c>
      <c r="F55" s="257" t="s">
        <v>171</v>
      </c>
      <c r="G55" s="248" t="str">
        <f t="shared" si="1"/>
        <v>Cashflow</v>
      </c>
      <c r="H55" s="258">
        <v>8766</v>
      </c>
      <c r="I55" s="248">
        <f>IF(Table2[[#This Row],[TYPE]]="Given",Table2[[#This Row],[AMOUNT (₹)]],0)</f>
        <v>8766</v>
      </c>
      <c r="J55" s="248">
        <f>IF(Table2[[#This Row],[TYPE]]="Received",Table2[[#This Row],[AMOUNT (₹)]],0)</f>
        <v>0</v>
      </c>
      <c r="K55" s="248" t="s">
        <v>739</v>
      </c>
      <c r="L55" s="259">
        <f ca="1">IF(D55="","",COUNTIF($D$9:INDIRECT("D"&amp;ROW()),D55))</f>
        <v>18</v>
      </c>
    </row>
    <row r="56" spans="3:12" hidden="1" outlineLevel="1" x14ac:dyDescent="0.2">
      <c r="C56" s="252">
        <v>45402</v>
      </c>
      <c r="D56" s="248" t="s">
        <v>87</v>
      </c>
      <c r="E56" s="248">
        <f t="shared" si="0"/>
        <v>2024</v>
      </c>
      <c r="F56" s="257" t="s">
        <v>172</v>
      </c>
      <c r="G56" s="248" t="str">
        <f t="shared" si="1"/>
        <v>Cashflow</v>
      </c>
      <c r="H56" s="258">
        <v>9000</v>
      </c>
      <c r="I56" s="248">
        <f>IF(Table2[[#This Row],[TYPE]]="Given",Table2[[#This Row],[AMOUNT (₹)]],0)</f>
        <v>0</v>
      </c>
      <c r="J56" s="248">
        <f>IF(Table2[[#This Row],[TYPE]]="Received",Table2[[#This Row],[AMOUNT (₹)]],0)</f>
        <v>9000</v>
      </c>
      <c r="K56" s="248" t="s">
        <v>236</v>
      </c>
      <c r="L56" s="259">
        <f ca="1">IF(D56="","",COUNTIF($D$9:INDIRECT("D"&amp;ROW()),D56))</f>
        <v>19</v>
      </c>
    </row>
    <row r="57" spans="3:12" hidden="1" outlineLevel="1" x14ac:dyDescent="0.2">
      <c r="C57" s="252">
        <v>45409</v>
      </c>
      <c r="D57" s="248" t="s">
        <v>87</v>
      </c>
      <c r="E57" s="248">
        <f t="shared" si="0"/>
        <v>2024</v>
      </c>
      <c r="F57" s="257" t="s">
        <v>171</v>
      </c>
      <c r="G57" s="248" t="str">
        <f t="shared" si="1"/>
        <v>Cashflow</v>
      </c>
      <c r="H57" s="258">
        <v>1788</v>
      </c>
      <c r="I57" s="248">
        <f>IF(Table2[[#This Row],[TYPE]]="Given",Table2[[#This Row],[AMOUNT (₹)]],0)</f>
        <v>1788</v>
      </c>
      <c r="J57" s="248">
        <f>IF(Table2[[#This Row],[TYPE]]="Received",Table2[[#This Row],[AMOUNT (₹)]],0)</f>
        <v>0</v>
      </c>
      <c r="K57" s="248" t="s">
        <v>740</v>
      </c>
      <c r="L57" s="259">
        <f ca="1">IF(D57="","",COUNTIF($D$9:INDIRECT("D"&amp;ROW()),D57))</f>
        <v>20</v>
      </c>
    </row>
    <row r="58" spans="3:12" hidden="1" outlineLevel="1" x14ac:dyDescent="0.2">
      <c r="C58" s="252">
        <v>45413</v>
      </c>
      <c r="D58" s="248" t="s">
        <v>87</v>
      </c>
      <c r="E58" s="248">
        <f t="shared" si="0"/>
        <v>2024</v>
      </c>
      <c r="F58" s="257" t="s">
        <v>172</v>
      </c>
      <c r="G58" s="248" t="str">
        <f t="shared" si="1"/>
        <v>Cashflow</v>
      </c>
      <c r="H58" s="258">
        <v>4000</v>
      </c>
      <c r="I58" s="248">
        <f>IF(Table2[[#This Row],[TYPE]]="Given",Table2[[#This Row],[AMOUNT (₹)]],0)</f>
        <v>0</v>
      </c>
      <c r="J58" s="248">
        <f>IF(Table2[[#This Row],[TYPE]]="Received",Table2[[#This Row],[AMOUNT (₹)]],0)</f>
        <v>4000</v>
      </c>
      <c r="K58" s="248" t="s">
        <v>236</v>
      </c>
      <c r="L58" s="259">
        <f ca="1">IF(D58="","",COUNTIF($D$9:INDIRECT("D"&amp;ROW()),D58))</f>
        <v>21</v>
      </c>
    </row>
    <row r="59" spans="3:12" hidden="1" outlineLevel="1" x14ac:dyDescent="0.2">
      <c r="C59" s="252">
        <v>45442</v>
      </c>
      <c r="D59" s="248" t="s">
        <v>87</v>
      </c>
      <c r="E59" s="248">
        <f t="shared" si="0"/>
        <v>2024</v>
      </c>
      <c r="F59" s="257" t="s">
        <v>171</v>
      </c>
      <c r="G59" s="248" t="str">
        <f t="shared" si="1"/>
        <v>Cashflow</v>
      </c>
      <c r="H59" s="258">
        <v>6694</v>
      </c>
      <c r="I59" s="248">
        <f>IF(Table2[[#This Row],[TYPE]]="Given",Table2[[#This Row],[AMOUNT (₹)]],0)</f>
        <v>6694</v>
      </c>
      <c r="J59" s="248">
        <f>IF(Table2[[#This Row],[TYPE]]="Received",Table2[[#This Row],[AMOUNT (₹)]],0)</f>
        <v>0</v>
      </c>
      <c r="K59" s="248" t="s">
        <v>741</v>
      </c>
      <c r="L59" s="259">
        <f ca="1">IF(D59="","",COUNTIF($D$9:INDIRECT("D"&amp;ROW()),D59))</f>
        <v>22</v>
      </c>
    </row>
    <row r="60" spans="3:12" hidden="1" outlineLevel="1" x14ac:dyDescent="0.2">
      <c r="C60" s="252">
        <v>45442</v>
      </c>
      <c r="D60" s="248" t="s">
        <v>87</v>
      </c>
      <c r="E60" s="248">
        <f t="shared" si="0"/>
        <v>2024</v>
      </c>
      <c r="F60" s="257" t="s">
        <v>172</v>
      </c>
      <c r="G60" s="248" t="str">
        <f t="shared" si="1"/>
        <v>Cashflow</v>
      </c>
      <c r="H60" s="258">
        <v>6650</v>
      </c>
      <c r="I60" s="248">
        <f>IF(Table2[[#This Row],[TYPE]]="Given",Table2[[#This Row],[AMOUNT (₹)]],0)</f>
        <v>0</v>
      </c>
      <c r="J60" s="248">
        <f>IF(Table2[[#This Row],[TYPE]]="Received",Table2[[#This Row],[AMOUNT (₹)]],0)</f>
        <v>6650</v>
      </c>
      <c r="K60" s="248" t="s">
        <v>236</v>
      </c>
      <c r="L60" s="259">
        <f ca="1">IF(D60="","",COUNTIF($D$9:INDIRECT("D"&amp;ROW()),D60))</f>
        <v>23</v>
      </c>
    </row>
    <row r="61" spans="3:12" hidden="1" outlineLevel="1" x14ac:dyDescent="0.2">
      <c r="C61" s="252">
        <v>45452</v>
      </c>
      <c r="D61" s="248" t="s">
        <v>79</v>
      </c>
      <c r="E61" s="248">
        <f t="shared" si="0"/>
        <v>2024</v>
      </c>
      <c r="F61" s="257" t="s">
        <v>172</v>
      </c>
      <c r="G61" s="248" t="str">
        <f t="shared" si="1"/>
        <v>Cashflow</v>
      </c>
      <c r="H61" s="258">
        <v>2500</v>
      </c>
      <c r="I61" s="248">
        <f>IF(Table2[[#This Row],[TYPE]]="Given",Table2[[#This Row],[AMOUNT (₹)]],0)</f>
        <v>0</v>
      </c>
      <c r="J61" s="248">
        <f>IF(Table2[[#This Row],[TYPE]]="Received",Table2[[#This Row],[AMOUNT (₹)]],0)</f>
        <v>2500</v>
      </c>
      <c r="K61" s="248" t="s">
        <v>618</v>
      </c>
      <c r="L61" s="259">
        <f ca="1">IF(D61="","",COUNTIF($D$9:INDIRECT("D"&amp;ROW()),D61))</f>
        <v>4</v>
      </c>
    </row>
    <row r="62" spans="3:12" hidden="1" outlineLevel="1" x14ac:dyDescent="0.2">
      <c r="C62" s="252">
        <v>45474</v>
      </c>
      <c r="D62" s="248" t="s">
        <v>87</v>
      </c>
      <c r="E62" s="248">
        <f t="shared" si="0"/>
        <v>2024</v>
      </c>
      <c r="F62" s="257" t="s">
        <v>171</v>
      </c>
      <c r="G62" s="248" t="str">
        <f t="shared" si="1"/>
        <v>Cashflow</v>
      </c>
      <c r="H62" s="258">
        <v>1327</v>
      </c>
      <c r="I62" s="248">
        <f>IF(Table2[[#This Row],[TYPE]]="Given",Table2[[#This Row],[AMOUNT (₹)]],0)</f>
        <v>1327</v>
      </c>
      <c r="J62" s="248">
        <f>IF(Table2[[#This Row],[TYPE]]="Received",Table2[[#This Row],[AMOUNT (₹)]],0)</f>
        <v>0</v>
      </c>
      <c r="K62" s="248" t="s">
        <v>742</v>
      </c>
      <c r="L62" s="259">
        <f ca="1">IF(D62="","",COUNTIF($D$9:INDIRECT("D"&amp;ROW()),D62))</f>
        <v>24</v>
      </c>
    </row>
    <row r="63" spans="3:12" hidden="1" outlineLevel="1" x14ac:dyDescent="0.2">
      <c r="C63" s="252">
        <v>45484</v>
      </c>
      <c r="D63" s="248" t="s">
        <v>101</v>
      </c>
      <c r="E63" s="248">
        <f t="shared" si="0"/>
        <v>2024</v>
      </c>
      <c r="F63" s="253" t="s">
        <v>171</v>
      </c>
      <c r="G63" s="248" t="str">
        <f t="shared" si="1"/>
        <v>Cashflow</v>
      </c>
      <c r="H63" s="248">
        <v>500</v>
      </c>
      <c r="I63" s="248">
        <f>IF(Table2[[#This Row],[TYPE]]="Given",Table2[[#This Row],[AMOUNT (₹)]],0)</f>
        <v>500</v>
      </c>
      <c r="J63" s="248">
        <f>IF(Table2[[#This Row],[TYPE]]="Received",Table2[[#This Row],[AMOUNT (₹)]],0)</f>
        <v>0</v>
      </c>
      <c r="L63" s="259">
        <f ca="1">IF(D63="","",COUNTIF($D$9:INDIRECT("D"&amp;ROW()),D63))</f>
        <v>1</v>
      </c>
    </row>
    <row r="64" spans="3:12" hidden="1" outlineLevel="1" x14ac:dyDescent="0.2">
      <c r="C64" s="252">
        <v>45511</v>
      </c>
      <c r="D64" s="248" t="s">
        <v>87</v>
      </c>
      <c r="E64" s="248">
        <f t="shared" si="0"/>
        <v>2024</v>
      </c>
      <c r="F64" s="257" t="s">
        <v>171</v>
      </c>
      <c r="G64" s="248" t="str">
        <f t="shared" si="1"/>
        <v>Cashflow</v>
      </c>
      <c r="H64" s="258">
        <v>0</v>
      </c>
      <c r="I64" s="248">
        <f>IF(Table2[[#This Row],[TYPE]]="Given",Table2[[#This Row],[AMOUNT (₹)]],0)</f>
        <v>0</v>
      </c>
      <c r="J64" s="248">
        <f>IF(Table2[[#This Row],[TYPE]]="Received",Table2[[#This Row],[AMOUNT (₹)]],0)</f>
        <v>0</v>
      </c>
      <c r="K64" s="248" t="s">
        <v>743</v>
      </c>
      <c r="L64" s="259">
        <f ca="1">IF(D64="","",COUNTIF($D$9:INDIRECT("D"&amp;ROW()),D64))</f>
        <v>25</v>
      </c>
    </row>
    <row r="65" spans="3:12" hidden="1" outlineLevel="1" x14ac:dyDescent="0.2">
      <c r="C65" s="252">
        <v>45512</v>
      </c>
      <c r="D65" s="248" t="s">
        <v>87</v>
      </c>
      <c r="E65" s="248">
        <f t="shared" si="0"/>
        <v>2024</v>
      </c>
      <c r="F65" s="257" t="s">
        <v>171</v>
      </c>
      <c r="G65" s="248" t="str">
        <f t="shared" si="1"/>
        <v>Cashflow</v>
      </c>
      <c r="H65" s="258">
        <v>5702</v>
      </c>
      <c r="I65" s="248">
        <f>IF(Table2[[#This Row],[TYPE]]="Given",Table2[[#This Row],[AMOUNT (₹)]],0)</f>
        <v>5702</v>
      </c>
      <c r="J65" s="248">
        <f>IF(Table2[[#This Row],[TYPE]]="Received",Table2[[#This Row],[AMOUNT (₹)]],0)</f>
        <v>0</v>
      </c>
      <c r="K65" s="248" t="s">
        <v>744</v>
      </c>
      <c r="L65" s="259">
        <f ca="1">IF(D65="","",COUNTIF($D$9:INDIRECT("D"&amp;ROW()),D65))</f>
        <v>26</v>
      </c>
    </row>
    <row r="66" spans="3:12" hidden="1" outlineLevel="1" x14ac:dyDescent="0.2">
      <c r="C66" s="252">
        <v>45523</v>
      </c>
      <c r="D66" s="248" t="s">
        <v>97</v>
      </c>
      <c r="E66" s="248">
        <f t="shared" si="0"/>
        <v>2024</v>
      </c>
      <c r="F66" s="257" t="s">
        <v>172</v>
      </c>
      <c r="G66" s="248" t="str">
        <f t="shared" si="1"/>
        <v>Cashflow</v>
      </c>
      <c r="H66" s="258">
        <v>4000</v>
      </c>
      <c r="I66" s="248">
        <f>IF(Table2[[#This Row],[TYPE]]="Given",Table2[[#This Row],[AMOUNT (₹)]],0)</f>
        <v>0</v>
      </c>
      <c r="J66" s="248">
        <f>IF(Table2[[#This Row],[TYPE]]="Received",Table2[[#This Row],[AMOUNT (₹)]],0)</f>
        <v>4000</v>
      </c>
      <c r="K66" s="248" t="s">
        <v>618</v>
      </c>
      <c r="L66" s="259">
        <f ca="1">IF(D66="","",COUNTIF($D$9:INDIRECT("D"&amp;ROW()),D66))</f>
        <v>3</v>
      </c>
    </row>
    <row r="67" spans="3:12" hidden="1" outlineLevel="1" x14ac:dyDescent="0.2">
      <c r="C67" s="252">
        <v>45539</v>
      </c>
      <c r="D67" s="248" t="s">
        <v>101</v>
      </c>
      <c r="E67" s="248">
        <f t="shared" si="0"/>
        <v>2024</v>
      </c>
      <c r="F67" s="253" t="s">
        <v>171</v>
      </c>
      <c r="G67" s="248" t="str">
        <f t="shared" si="1"/>
        <v>Cashflow</v>
      </c>
      <c r="H67" s="248">
        <v>2500</v>
      </c>
      <c r="I67" s="248">
        <f>IF(Table2[[#This Row],[TYPE]]="Given",Table2[[#This Row],[AMOUNT (₹)]],0)</f>
        <v>2500</v>
      </c>
      <c r="J67" s="248">
        <f>IF(Table2[[#This Row],[TYPE]]="Received",Table2[[#This Row],[AMOUNT (₹)]],0)</f>
        <v>0</v>
      </c>
      <c r="L67" s="259">
        <f ca="1">IF(D67="","",COUNTIF($D$9:INDIRECT("D"&amp;ROW()),D67))</f>
        <v>2</v>
      </c>
    </row>
    <row r="68" spans="3:12" hidden="1" outlineLevel="1" x14ac:dyDescent="0.2">
      <c r="C68" s="252">
        <v>45561</v>
      </c>
      <c r="D68" s="248" t="s">
        <v>101</v>
      </c>
      <c r="E68" s="248">
        <f t="shared" si="0"/>
        <v>2024</v>
      </c>
      <c r="F68" s="253" t="s">
        <v>171</v>
      </c>
      <c r="G68" s="248" t="str">
        <f t="shared" si="1"/>
        <v>Cashflow</v>
      </c>
      <c r="H68" s="248">
        <v>2000</v>
      </c>
      <c r="I68" s="248">
        <f>IF(Table2[[#This Row],[TYPE]]="Given",Table2[[#This Row],[AMOUNT (₹)]],0)</f>
        <v>2000</v>
      </c>
      <c r="J68" s="248">
        <f>IF(Table2[[#This Row],[TYPE]]="Received",Table2[[#This Row],[AMOUNT (₹)]],0)</f>
        <v>0</v>
      </c>
      <c r="L68" s="259">
        <f ca="1">IF(D68="","",COUNTIF($D$9:INDIRECT("D"&amp;ROW()),D68))</f>
        <v>3</v>
      </c>
    </row>
    <row r="69" spans="3:12" hidden="1" outlineLevel="1" x14ac:dyDescent="0.2">
      <c r="C69" s="252">
        <v>45567</v>
      </c>
      <c r="D69" s="248" t="s">
        <v>110</v>
      </c>
      <c r="E69" s="248">
        <f t="shared" si="0"/>
        <v>2024</v>
      </c>
      <c r="F69" s="257" t="s">
        <v>171</v>
      </c>
      <c r="G69" s="248" t="str">
        <f t="shared" si="1"/>
        <v>Cashflow</v>
      </c>
      <c r="H69" s="258">
        <v>681.8</v>
      </c>
      <c r="I69" s="248">
        <f>IF(Table2[[#This Row],[TYPE]]="Given",Table2[[#This Row],[AMOUNT (₹)]],0)</f>
        <v>681.8</v>
      </c>
      <c r="J69" s="248">
        <f>IF(Table2[[#This Row],[TYPE]]="Received",Table2[[#This Row],[AMOUNT (₹)]],0)</f>
        <v>0</v>
      </c>
      <c r="K69" s="248" t="s">
        <v>745</v>
      </c>
      <c r="L69" s="259">
        <f ca="1">IF(D69="","",COUNTIF($D$9:INDIRECT("D"&amp;ROW()),D69))</f>
        <v>3</v>
      </c>
    </row>
    <row r="70" spans="3:12" hidden="1" outlineLevel="1" x14ac:dyDescent="0.2">
      <c r="C70" s="252">
        <v>45604</v>
      </c>
      <c r="D70" s="248" t="s">
        <v>87</v>
      </c>
      <c r="E70" s="248">
        <f t="shared" si="0"/>
        <v>2024</v>
      </c>
      <c r="F70" s="257" t="s">
        <v>171</v>
      </c>
      <c r="G70" s="248" t="str">
        <f t="shared" si="1"/>
        <v>Cashflow</v>
      </c>
      <c r="H70" s="258">
        <v>9080</v>
      </c>
      <c r="I70" s="248">
        <f>IF(Table2[[#This Row],[TYPE]]="Given",Table2[[#This Row],[AMOUNT (₹)]],0)</f>
        <v>9080</v>
      </c>
      <c r="J70" s="248">
        <f>IF(Table2[[#This Row],[TYPE]]="Received",Table2[[#This Row],[AMOUNT (₹)]],0)</f>
        <v>0</v>
      </c>
      <c r="K70" s="248" t="s">
        <v>746</v>
      </c>
      <c r="L70" s="259">
        <f ca="1">IF(D70="","",COUNTIF($D$9:INDIRECT("D"&amp;ROW()),D70))</f>
        <v>27</v>
      </c>
    </row>
    <row r="71" spans="3:12" hidden="1" outlineLevel="1" x14ac:dyDescent="0.2">
      <c r="C71" s="252">
        <v>45604</v>
      </c>
      <c r="D71" s="248" t="s">
        <v>87</v>
      </c>
      <c r="E71" s="248">
        <f t="shared" si="0"/>
        <v>2024</v>
      </c>
      <c r="F71" s="257" t="s">
        <v>172</v>
      </c>
      <c r="G71" s="248" t="str">
        <f t="shared" si="1"/>
        <v>Cashflow</v>
      </c>
      <c r="H71" s="258">
        <v>6000</v>
      </c>
      <c r="I71" s="248">
        <f>IF(Table2[[#This Row],[TYPE]]="Given",Table2[[#This Row],[AMOUNT (₹)]],0)</f>
        <v>0</v>
      </c>
      <c r="J71" s="248">
        <f>IF(Table2[[#This Row],[TYPE]]="Received",Table2[[#This Row],[AMOUNT (₹)]],0)</f>
        <v>6000</v>
      </c>
      <c r="K71" s="248" t="s">
        <v>747</v>
      </c>
      <c r="L71" s="259">
        <f ca="1">IF(D71="","",COUNTIF($D$9:INDIRECT("D"&amp;ROW()),D71))</f>
        <v>28</v>
      </c>
    </row>
    <row r="72" spans="3:12" hidden="1" outlineLevel="1" x14ac:dyDescent="0.2">
      <c r="C72" s="252">
        <v>45608</v>
      </c>
      <c r="D72" s="248" t="s">
        <v>87</v>
      </c>
      <c r="E72" s="248">
        <f t="shared" si="0"/>
        <v>2024</v>
      </c>
      <c r="F72" s="257" t="s">
        <v>171</v>
      </c>
      <c r="G72" s="248" t="str">
        <f t="shared" si="1"/>
        <v>Cashflow</v>
      </c>
      <c r="H72" s="258">
        <v>0</v>
      </c>
      <c r="I72" s="248">
        <f>IF(Table2[[#This Row],[TYPE]]="Given",Table2[[#This Row],[AMOUNT (₹)]],0)</f>
        <v>0</v>
      </c>
      <c r="J72" s="248">
        <f>IF(Table2[[#This Row],[TYPE]]="Received",Table2[[#This Row],[AMOUNT (₹)]],0)</f>
        <v>0</v>
      </c>
      <c r="K72" s="248" t="s">
        <v>748</v>
      </c>
      <c r="L72" s="259">
        <f ca="1">IF(D72="","",COUNTIF($D$9:INDIRECT("D"&amp;ROW()),D72))</f>
        <v>29</v>
      </c>
    </row>
    <row r="73" spans="3:12" hidden="1" outlineLevel="1" x14ac:dyDescent="0.2">
      <c r="C73" s="252">
        <v>45608</v>
      </c>
      <c r="D73" s="248" t="s">
        <v>99</v>
      </c>
      <c r="E73" s="248">
        <f t="shared" ref="E73:E136" si="2">IFERROR(YEAR(C73),"")</f>
        <v>2024</v>
      </c>
      <c r="F73" s="257" t="s">
        <v>172</v>
      </c>
      <c r="G73" s="248" t="str">
        <f t="shared" ref="G73:G136" si="3">$F$6</f>
        <v>Cashflow</v>
      </c>
      <c r="H73" s="258">
        <v>553</v>
      </c>
      <c r="I73" s="248">
        <f>IF(Table2[[#This Row],[TYPE]]="Given",Table2[[#This Row],[AMOUNT (₹)]],0)</f>
        <v>0</v>
      </c>
      <c r="J73" s="248">
        <f>IF(Table2[[#This Row],[TYPE]]="Received",Table2[[#This Row],[AMOUNT (₹)]],0)</f>
        <v>553</v>
      </c>
      <c r="K73" s="248" t="s">
        <v>236</v>
      </c>
      <c r="L73" s="259">
        <f ca="1">IF(D73="","",COUNTIF($D$9:INDIRECT("D"&amp;ROW()),D73))</f>
        <v>1</v>
      </c>
    </row>
    <row r="74" spans="3:12" hidden="1" outlineLevel="1" x14ac:dyDescent="0.2">
      <c r="C74" s="252">
        <v>45623</v>
      </c>
      <c r="D74" s="248" t="s">
        <v>103</v>
      </c>
      <c r="E74" s="248">
        <f t="shared" si="2"/>
        <v>2024</v>
      </c>
      <c r="F74" s="257" t="s">
        <v>171</v>
      </c>
      <c r="G74" s="248" t="str">
        <f t="shared" si="3"/>
        <v>Cashflow</v>
      </c>
      <c r="H74" s="258">
        <v>8835</v>
      </c>
      <c r="I74" s="248">
        <f>IF(Table2[[#This Row],[TYPE]]="Given",Table2[[#This Row],[AMOUNT (₹)]],0)</f>
        <v>8835</v>
      </c>
      <c r="J74" s="248">
        <f>IF(Table2[[#This Row],[TYPE]]="Received",Table2[[#This Row],[AMOUNT (₹)]],0)</f>
        <v>0</v>
      </c>
      <c r="K74" s="248" t="s">
        <v>749</v>
      </c>
      <c r="L74" s="259">
        <f ca="1">IF(D74="","",COUNTIF($D$9:INDIRECT("D"&amp;ROW()),D74))</f>
        <v>1</v>
      </c>
    </row>
    <row r="75" spans="3:12" hidden="1" outlineLevel="1" x14ac:dyDescent="0.2">
      <c r="C75" s="252">
        <v>45626</v>
      </c>
      <c r="D75" s="248" t="s">
        <v>87</v>
      </c>
      <c r="E75" s="248">
        <f t="shared" si="2"/>
        <v>2024</v>
      </c>
      <c r="F75" s="257" t="s">
        <v>172</v>
      </c>
      <c r="G75" s="248" t="str">
        <f t="shared" si="3"/>
        <v>Cashflow</v>
      </c>
      <c r="H75" s="258">
        <v>4000</v>
      </c>
      <c r="I75" s="248">
        <f>IF(Table2[[#This Row],[TYPE]]="Given",Table2[[#This Row],[AMOUNT (₹)]],0)</f>
        <v>0</v>
      </c>
      <c r="J75" s="248">
        <f>IF(Table2[[#This Row],[TYPE]]="Received",Table2[[#This Row],[AMOUNT (₹)]],0)</f>
        <v>4000</v>
      </c>
      <c r="K75" s="248" t="s">
        <v>236</v>
      </c>
      <c r="L75" s="259">
        <f ca="1">IF(D75="","",COUNTIF($D$9:INDIRECT("D"&amp;ROW()),D75))</f>
        <v>30</v>
      </c>
    </row>
    <row r="76" spans="3:12" hidden="1" outlineLevel="1" x14ac:dyDescent="0.2">
      <c r="C76" s="252">
        <v>45635</v>
      </c>
      <c r="D76" s="248" t="s">
        <v>87</v>
      </c>
      <c r="E76" s="248">
        <f t="shared" si="2"/>
        <v>2024</v>
      </c>
      <c r="F76" s="257" t="s">
        <v>171</v>
      </c>
      <c r="G76" s="248" t="str">
        <f t="shared" si="3"/>
        <v>Cashflow</v>
      </c>
      <c r="H76" s="258">
        <v>1200</v>
      </c>
      <c r="I76" s="248">
        <f>IF(Table2[[#This Row],[TYPE]]="Given",Table2[[#This Row],[AMOUNT (₹)]],0)</f>
        <v>1200</v>
      </c>
      <c r="J76" s="248">
        <f>IF(Table2[[#This Row],[TYPE]]="Received",Table2[[#This Row],[AMOUNT (₹)]],0)</f>
        <v>0</v>
      </c>
      <c r="K76" s="248" t="s">
        <v>750</v>
      </c>
      <c r="L76" s="259">
        <f ca="1">IF(D76="","",COUNTIF($D$9:INDIRECT("D"&amp;ROW()),D76))</f>
        <v>31</v>
      </c>
    </row>
    <row r="77" spans="3:12" hidden="1" outlineLevel="1" x14ac:dyDescent="0.2">
      <c r="C77" s="252">
        <v>45635</v>
      </c>
      <c r="D77" s="248" t="s">
        <v>87</v>
      </c>
      <c r="E77" s="248">
        <f t="shared" si="2"/>
        <v>2024</v>
      </c>
      <c r="F77" s="257" t="s">
        <v>172</v>
      </c>
      <c r="G77" s="248" t="str">
        <f t="shared" si="3"/>
        <v>Cashflow</v>
      </c>
      <c r="H77" s="258">
        <v>1000</v>
      </c>
      <c r="I77" s="248">
        <f>IF(Table2[[#This Row],[TYPE]]="Given",Table2[[#This Row],[AMOUNT (₹)]],0)</f>
        <v>0</v>
      </c>
      <c r="J77" s="248">
        <f>IF(Table2[[#This Row],[TYPE]]="Received",Table2[[#This Row],[AMOUNT (₹)]],0)</f>
        <v>1000</v>
      </c>
      <c r="K77" s="248" t="s">
        <v>750</v>
      </c>
      <c r="L77" s="259">
        <f ca="1">IF(D77="","",COUNTIF($D$9:INDIRECT("D"&amp;ROW()),D77))</f>
        <v>32</v>
      </c>
    </row>
    <row r="78" spans="3:12" hidden="1" outlineLevel="1" x14ac:dyDescent="0.2">
      <c r="C78" s="252">
        <v>45635</v>
      </c>
      <c r="D78" s="248" t="s">
        <v>101</v>
      </c>
      <c r="E78" s="248">
        <f t="shared" si="2"/>
        <v>2024</v>
      </c>
      <c r="F78" s="253" t="s">
        <v>171</v>
      </c>
      <c r="G78" s="248" t="str">
        <f t="shared" si="3"/>
        <v>Cashflow</v>
      </c>
      <c r="H78" s="248">
        <v>1000</v>
      </c>
      <c r="I78" s="248">
        <f>IF(Table2[[#This Row],[TYPE]]="Given",Table2[[#This Row],[AMOUNT (₹)]],0)</f>
        <v>1000</v>
      </c>
      <c r="J78" s="248">
        <f>IF(Table2[[#This Row],[TYPE]]="Received",Table2[[#This Row],[AMOUNT (₹)]],0)</f>
        <v>0</v>
      </c>
      <c r="L78" s="259">
        <f ca="1">IF(D78="","",COUNTIF($D$9:INDIRECT("D"&amp;ROW()),D78))</f>
        <v>4</v>
      </c>
    </row>
    <row r="79" spans="3:12" hidden="1" outlineLevel="1" x14ac:dyDescent="0.2">
      <c r="C79" s="252">
        <v>45639</v>
      </c>
      <c r="D79" s="248" t="s">
        <v>103</v>
      </c>
      <c r="E79" s="248">
        <f t="shared" si="2"/>
        <v>2024</v>
      </c>
      <c r="F79" s="257" t="s">
        <v>172</v>
      </c>
      <c r="G79" s="248" t="str">
        <f t="shared" si="3"/>
        <v>Cashflow</v>
      </c>
      <c r="H79" s="258">
        <v>6500</v>
      </c>
      <c r="I79" s="248">
        <f>IF(Table2[[#This Row],[TYPE]]="Given",Table2[[#This Row],[AMOUNT (₹)]],0)</f>
        <v>0</v>
      </c>
      <c r="J79" s="248">
        <f>IF(Table2[[#This Row],[TYPE]]="Received",Table2[[#This Row],[AMOUNT (₹)]],0)</f>
        <v>6500</v>
      </c>
      <c r="K79" s="248" t="s">
        <v>618</v>
      </c>
      <c r="L79" s="259">
        <f ca="1">IF(D79="","",COUNTIF($D$9:INDIRECT("D"&amp;ROW()),D79))</f>
        <v>2</v>
      </c>
    </row>
    <row r="80" spans="3:12" hidden="1" outlineLevel="1" x14ac:dyDescent="0.2">
      <c r="C80" s="252">
        <v>45640</v>
      </c>
      <c r="D80" s="248" t="s">
        <v>105</v>
      </c>
      <c r="E80" s="248">
        <f t="shared" si="2"/>
        <v>2024</v>
      </c>
      <c r="F80" s="257" t="s">
        <v>171</v>
      </c>
      <c r="G80" s="248" t="str">
        <f t="shared" si="3"/>
        <v>Cashflow</v>
      </c>
      <c r="H80" s="258">
        <v>2000</v>
      </c>
      <c r="I80" s="248">
        <f>IF(Table2[[#This Row],[TYPE]]="Given",Table2[[#This Row],[AMOUNT (₹)]],0)</f>
        <v>2000</v>
      </c>
      <c r="J80" s="248">
        <f>IF(Table2[[#This Row],[TYPE]]="Received",Table2[[#This Row],[AMOUNT (₹)]],0)</f>
        <v>0</v>
      </c>
      <c r="K80" s="248" t="s">
        <v>716</v>
      </c>
      <c r="L80" s="259">
        <f ca="1">IF(D80="","",COUNTIF($D$9:INDIRECT("D"&amp;ROW()),D80))</f>
        <v>2</v>
      </c>
    </row>
    <row r="81" spans="3:12" hidden="1" outlineLevel="1" x14ac:dyDescent="0.2">
      <c r="C81" s="252">
        <v>45650</v>
      </c>
      <c r="D81" s="248" t="s">
        <v>105</v>
      </c>
      <c r="E81" s="248">
        <f t="shared" si="2"/>
        <v>2024</v>
      </c>
      <c r="F81" s="257" t="s">
        <v>171</v>
      </c>
      <c r="G81" s="248" t="str">
        <f t="shared" si="3"/>
        <v>Cashflow</v>
      </c>
      <c r="H81" s="258">
        <v>600</v>
      </c>
      <c r="I81" s="248">
        <f>IF(Table2[[#This Row],[TYPE]]="Given",Table2[[#This Row],[AMOUNT (₹)]],0)</f>
        <v>600</v>
      </c>
      <c r="J81" s="248">
        <f>IF(Table2[[#This Row],[TYPE]]="Received",Table2[[#This Row],[AMOUNT (₹)]],0)</f>
        <v>0</v>
      </c>
      <c r="K81" s="248" t="s">
        <v>716</v>
      </c>
      <c r="L81" s="259">
        <f ca="1">IF(D81="","",COUNTIF($D$9:INDIRECT("D"&amp;ROW()),D81))</f>
        <v>3</v>
      </c>
    </row>
    <row r="82" spans="3:12" hidden="1" outlineLevel="1" x14ac:dyDescent="0.2">
      <c r="C82" s="252">
        <v>45652</v>
      </c>
      <c r="D82" s="248" t="s">
        <v>87</v>
      </c>
      <c r="E82" s="248">
        <f t="shared" si="2"/>
        <v>2024</v>
      </c>
      <c r="F82" s="257" t="s">
        <v>171</v>
      </c>
      <c r="G82" s="248" t="str">
        <f t="shared" si="3"/>
        <v>Cashflow</v>
      </c>
      <c r="H82" s="258">
        <v>5657</v>
      </c>
      <c r="I82" s="248">
        <f>IF(Table2[[#This Row],[TYPE]]="Given",Table2[[#This Row],[AMOUNT (₹)]],0)</f>
        <v>5657</v>
      </c>
      <c r="J82" s="248">
        <f>IF(Table2[[#This Row],[TYPE]]="Received",Table2[[#This Row],[AMOUNT (₹)]],0)</f>
        <v>0</v>
      </c>
      <c r="K82" s="248" t="s">
        <v>751</v>
      </c>
      <c r="L82" s="259">
        <f ca="1">IF(D82="","",COUNTIF($D$9:INDIRECT("D"&amp;ROW()),D82))</f>
        <v>33</v>
      </c>
    </row>
    <row r="83" spans="3:12" hidden="1" outlineLevel="1" x14ac:dyDescent="0.2">
      <c r="C83" s="252">
        <v>45660</v>
      </c>
      <c r="D83" s="248" t="s">
        <v>87</v>
      </c>
      <c r="E83" s="248">
        <f t="shared" si="2"/>
        <v>2025</v>
      </c>
      <c r="F83" s="257" t="s">
        <v>172</v>
      </c>
      <c r="G83" s="248" t="str">
        <f t="shared" si="3"/>
        <v>Cashflow</v>
      </c>
      <c r="H83" s="258">
        <v>4000</v>
      </c>
      <c r="I83" s="248">
        <f>IF(Table2[[#This Row],[TYPE]]="Given",Table2[[#This Row],[AMOUNT (₹)]],0)</f>
        <v>0</v>
      </c>
      <c r="J83" s="248">
        <f>IF(Table2[[#This Row],[TYPE]]="Received",Table2[[#This Row],[AMOUNT (₹)]],0)</f>
        <v>4000</v>
      </c>
      <c r="K83" s="248" t="s">
        <v>747</v>
      </c>
      <c r="L83" s="259">
        <f ca="1">IF(D83="","",COUNTIF($D$9:INDIRECT("D"&amp;ROW()),D83))</f>
        <v>34</v>
      </c>
    </row>
    <row r="84" spans="3:12" hidden="1" outlineLevel="1" x14ac:dyDescent="0.2">
      <c r="C84" s="252">
        <v>45685</v>
      </c>
      <c r="D84" s="248" t="s">
        <v>87</v>
      </c>
      <c r="E84" s="248">
        <f t="shared" si="2"/>
        <v>2025</v>
      </c>
      <c r="F84" s="257" t="s">
        <v>171</v>
      </c>
      <c r="G84" s="248" t="str">
        <f t="shared" si="3"/>
        <v>Cashflow</v>
      </c>
      <c r="H84" s="258">
        <v>1390</v>
      </c>
      <c r="I84" s="248">
        <f>IF(Table2[[#This Row],[TYPE]]="Given",Table2[[#This Row],[AMOUNT (₹)]],0)</f>
        <v>1390</v>
      </c>
      <c r="J84" s="248">
        <f>IF(Table2[[#This Row],[TYPE]]="Received",Table2[[#This Row],[AMOUNT (₹)]],0)</f>
        <v>0</v>
      </c>
      <c r="K84" s="248" t="s">
        <v>752</v>
      </c>
      <c r="L84" s="259">
        <f ca="1">IF(D84="","",COUNTIF($D$9:INDIRECT("D"&amp;ROW()),D84))</f>
        <v>35</v>
      </c>
    </row>
    <row r="85" spans="3:12" hidden="1" outlineLevel="1" x14ac:dyDescent="0.2">
      <c r="C85" s="252">
        <v>45688</v>
      </c>
      <c r="D85" s="248" t="s">
        <v>87</v>
      </c>
      <c r="E85" s="248">
        <f t="shared" si="2"/>
        <v>2025</v>
      </c>
      <c r="F85" s="257" t="s">
        <v>171</v>
      </c>
      <c r="G85" s="248" t="str">
        <f t="shared" si="3"/>
        <v>Cashflow</v>
      </c>
      <c r="H85" s="258">
        <v>1478</v>
      </c>
      <c r="I85" s="248">
        <f>IF(Table2[[#This Row],[TYPE]]="Given",Table2[[#This Row],[AMOUNT (₹)]],0)</f>
        <v>1478</v>
      </c>
      <c r="J85" s="248">
        <f>IF(Table2[[#This Row],[TYPE]]="Received",Table2[[#This Row],[AMOUNT (₹)]],0)</f>
        <v>0</v>
      </c>
      <c r="K85" s="248" t="s">
        <v>753</v>
      </c>
      <c r="L85" s="259">
        <f ca="1">IF(D85="","",COUNTIF($D$9:INDIRECT("D"&amp;ROW()),D85))</f>
        <v>36</v>
      </c>
    </row>
    <row r="86" spans="3:12" hidden="1" outlineLevel="1" x14ac:dyDescent="0.2">
      <c r="C86" s="252">
        <v>45691</v>
      </c>
      <c r="D86" s="248" t="s">
        <v>79</v>
      </c>
      <c r="E86" s="248">
        <f t="shared" si="2"/>
        <v>2025</v>
      </c>
      <c r="F86" s="257" t="s">
        <v>172</v>
      </c>
      <c r="G86" s="248" t="str">
        <f t="shared" si="3"/>
        <v>Cashflow</v>
      </c>
      <c r="H86" s="258">
        <v>2500</v>
      </c>
      <c r="I86" s="248">
        <f>IF(Table2[[#This Row],[TYPE]]="Given",Table2[[#This Row],[AMOUNT (₹)]],0)</f>
        <v>0</v>
      </c>
      <c r="J86" s="248">
        <f>IF(Table2[[#This Row],[TYPE]]="Received",Table2[[#This Row],[AMOUNT (₹)]],0)</f>
        <v>2500</v>
      </c>
      <c r="K86" s="248" t="s">
        <v>618</v>
      </c>
      <c r="L86" s="259">
        <f ca="1">IF(D86="","",COUNTIF($D$9:INDIRECT("D"&amp;ROW()),D86))</f>
        <v>5</v>
      </c>
    </row>
    <row r="87" spans="3:12" hidden="1" outlineLevel="1" x14ac:dyDescent="0.2">
      <c r="C87" s="252">
        <v>45695</v>
      </c>
      <c r="D87" s="248" t="s">
        <v>91</v>
      </c>
      <c r="E87" s="248">
        <f t="shared" si="2"/>
        <v>2025</v>
      </c>
      <c r="F87" s="257" t="s">
        <v>171</v>
      </c>
      <c r="G87" s="248" t="str">
        <f t="shared" si="3"/>
        <v>Cashflow</v>
      </c>
      <c r="H87" s="258">
        <v>1000</v>
      </c>
      <c r="I87" s="248">
        <f>IF(Table2[[#This Row],[TYPE]]="Given",Table2[[#This Row],[AMOUNT (₹)]],0)</f>
        <v>1000</v>
      </c>
      <c r="J87" s="248">
        <f>IF(Table2[[#This Row],[TYPE]]="Received",Table2[[#This Row],[AMOUNT (₹)]],0)</f>
        <v>0</v>
      </c>
      <c r="K87" s="248" t="s">
        <v>754</v>
      </c>
      <c r="L87" s="259">
        <f ca="1">IF(D87="","",COUNTIF($D$9:INDIRECT("D"&amp;ROW()),D87))</f>
        <v>8</v>
      </c>
    </row>
    <row r="88" spans="3:12" hidden="1" outlineLevel="1" x14ac:dyDescent="0.2">
      <c r="C88" s="252">
        <v>45697</v>
      </c>
      <c r="D88" s="248" t="s">
        <v>85</v>
      </c>
      <c r="E88" s="248">
        <f t="shared" si="2"/>
        <v>2025</v>
      </c>
      <c r="F88" s="257" t="s">
        <v>172</v>
      </c>
      <c r="G88" s="248" t="str">
        <f t="shared" si="3"/>
        <v>Cashflow</v>
      </c>
      <c r="H88" s="258">
        <v>50000</v>
      </c>
      <c r="I88" s="248">
        <f>IF(Table2[[#This Row],[TYPE]]="Given",Table2[[#This Row],[AMOUNT (₹)]],0)</f>
        <v>0</v>
      </c>
      <c r="J88" s="248">
        <f>IF(Table2[[#This Row],[TYPE]]="Received",Table2[[#This Row],[AMOUNT (₹)]],0)</f>
        <v>50000</v>
      </c>
      <c r="K88" s="248" t="s">
        <v>525</v>
      </c>
      <c r="L88" s="259">
        <f ca="1">IF(D88="","",COUNTIF($D$9:INDIRECT("D"&amp;ROW()),D88))</f>
        <v>1</v>
      </c>
    </row>
    <row r="89" spans="3:12" hidden="1" outlineLevel="1" x14ac:dyDescent="0.2">
      <c r="C89" s="252">
        <v>45702</v>
      </c>
      <c r="D89" s="248" t="s">
        <v>85</v>
      </c>
      <c r="E89" s="248">
        <f t="shared" si="2"/>
        <v>2025</v>
      </c>
      <c r="F89" s="257" t="s">
        <v>172</v>
      </c>
      <c r="G89" s="248" t="str">
        <f t="shared" si="3"/>
        <v>Cashflow</v>
      </c>
      <c r="H89" s="258">
        <v>17000</v>
      </c>
      <c r="I89" s="248">
        <f>IF(Table2[[#This Row],[TYPE]]="Given",Table2[[#This Row],[AMOUNT (₹)]],0)</f>
        <v>0</v>
      </c>
      <c r="J89" s="248">
        <f>IF(Table2[[#This Row],[TYPE]]="Received",Table2[[#This Row],[AMOUNT (₹)]],0)</f>
        <v>17000</v>
      </c>
      <c r="K89" s="248" t="s">
        <v>63</v>
      </c>
      <c r="L89" s="259">
        <f ca="1">IF(D89="","",COUNTIF($D$9:INDIRECT("D"&amp;ROW()),D89))</f>
        <v>2</v>
      </c>
    </row>
    <row r="90" spans="3:12" hidden="1" outlineLevel="1" x14ac:dyDescent="0.2">
      <c r="C90" s="252">
        <v>45703</v>
      </c>
      <c r="D90" s="248" t="s">
        <v>87</v>
      </c>
      <c r="E90" s="248">
        <f t="shared" si="2"/>
        <v>2025</v>
      </c>
      <c r="F90" s="257" t="s">
        <v>171</v>
      </c>
      <c r="G90" s="248" t="str">
        <f t="shared" si="3"/>
        <v>Cashflow</v>
      </c>
      <c r="H90" s="258">
        <v>0</v>
      </c>
      <c r="I90" s="248">
        <f>IF(Table2[[#This Row],[TYPE]]="Given",Table2[[#This Row],[AMOUNT (₹)]],0)</f>
        <v>0</v>
      </c>
      <c r="J90" s="248">
        <f>IF(Table2[[#This Row],[TYPE]]="Received",Table2[[#This Row],[AMOUNT (₹)]],0)</f>
        <v>0</v>
      </c>
      <c r="K90" s="248" t="s">
        <v>755</v>
      </c>
      <c r="L90" s="259">
        <f ca="1">IF(D90="","",COUNTIF($D$9:INDIRECT("D"&amp;ROW()),D90))</f>
        <v>37</v>
      </c>
    </row>
    <row r="91" spans="3:12" hidden="1" outlineLevel="1" x14ac:dyDescent="0.2">
      <c r="C91" s="252">
        <v>45713</v>
      </c>
      <c r="D91" s="248" t="s">
        <v>87</v>
      </c>
      <c r="E91" s="248">
        <f t="shared" si="2"/>
        <v>2025</v>
      </c>
      <c r="F91" s="257" t="s">
        <v>172</v>
      </c>
      <c r="G91" s="248" t="str">
        <f t="shared" si="3"/>
        <v>Cashflow</v>
      </c>
      <c r="H91" s="258">
        <v>600</v>
      </c>
      <c r="I91" s="248">
        <f>IF(Table2[[#This Row],[TYPE]]="Given",Table2[[#This Row],[AMOUNT (₹)]],0)</f>
        <v>0</v>
      </c>
      <c r="J91" s="248">
        <f>IF(Table2[[#This Row],[TYPE]]="Received",Table2[[#This Row],[AMOUNT (₹)]],0)</f>
        <v>600</v>
      </c>
      <c r="K91" s="248" t="s">
        <v>756</v>
      </c>
      <c r="L91" s="259">
        <f ca="1">IF(D91="","",COUNTIF($D$9:INDIRECT("D"&amp;ROW()),D91))</f>
        <v>38</v>
      </c>
    </row>
    <row r="92" spans="3:12" hidden="1" outlineLevel="1" x14ac:dyDescent="0.2">
      <c r="C92" s="252">
        <v>45727</v>
      </c>
      <c r="D92" s="248" t="s">
        <v>87</v>
      </c>
      <c r="E92" s="248">
        <f t="shared" si="2"/>
        <v>2025</v>
      </c>
      <c r="F92" s="257" t="s">
        <v>171</v>
      </c>
      <c r="G92" s="248" t="str">
        <f t="shared" si="3"/>
        <v>Cashflow</v>
      </c>
      <c r="H92" s="258">
        <v>17025</v>
      </c>
      <c r="I92" s="248">
        <f>IF(Table2[[#This Row],[TYPE]]="Given",Table2[[#This Row],[AMOUNT (₹)]],0)</f>
        <v>17025</v>
      </c>
      <c r="J92" s="248">
        <f>IF(Table2[[#This Row],[TYPE]]="Received",Table2[[#This Row],[AMOUNT (₹)]],0)</f>
        <v>0</v>
      </c>
      <c r="K92" s="248" t="s">
        <v>757</v>
      </c>
      <c r="L92" s="259">
        <f ca="1">IF(D92="","",COUNTIF($D$9:INDIRECT("D"&amp;ROW()),D92))</f>
        <v>39</v>
      </c>
    </row>
    <row r="93" spans="3:12" hidden="1" outlineLevel="1" x14ac:dyDescent="0.2">
      <c r="C93" s="252">
        <v>45742</v>
      </c>
      <c r="D93" s="248" t="s">
        <v>85</v>
      </c>
      <c r="E93" s="248">
        <f t="shared" si="2"/>
        <v>2025</v>
      </c>
      <c r="F93" s="257" t="s">
        <v>172</v>
      </c>
      <c r="G93" s="248" t="str">
        <f t="shared" si="3"/>
        <v>Cashflow</v>
      </c>
      <c r="H93" s="258">
        <v>25000</v>
      </c>
      <c r="I93" s="248">
        <f>IF(Table2[[#This Row],[TYPE]]="Given",Table2[[#This Row],[AMOUNT (₹)]],0)</f>
        <v>0</v>
      </c>
      <c r="J93" s="248">
        <f>IF(Table2[[#This Row],[TYPE]]="Received",Table2[[#This Row],[AMOUNT (₹)]],0)</f>
        <v>25000</v>
      </c>
      <c r="K93" s="248" t="s">
        <v>758</v>
      </c>
      <c r="L93" s="259">
        <f ca="1">IF(D93="","",COUNTIF($D$9:INDIRECT("D"&amp;ROW()),D93))</f>
        <v>3</v>
      </c>
    </row>
    <row r="94" spans="3:12" hidden="1" outlineLevel="1" x14ac:dyDescent="0.2">
      <c r="C94" s="252">
        <v>45745</v>
      </c>
      <c r="D94" s="248" t="s">
        <v>105</v>
      </c>
      <c r="E94" s="248">
        <f t="shared" si="2"/>
        <v>2025</v>
      </c>
      <c r="F94" s="257" t="s">
        <v>171</v>
      </c>
      <c r="G94" s="248" t="str">
        <f t="shared" si="3"/>
        <v>Cashflow</v>
      </c>
      <c r="H94" s="258">
        <v>1500</v>
      </c>
      <c r="I94" s="248">
        <f>IF(Table2[[#This Row],[TYPE]]="Given",Table2[[#This Row],[AMOUNT (₹)]],0)</f>
        <v>1500</v>
      </c>
      <c r="J94" s="248">
        <f>IF(Table2[[#This Row],[TYPE]]="Received",Table2[[#This Row],[AMOUNT (₹)]],0)</f>
        <v>0</v>
      </c>
      <c r="K94" s="248" t="s">
        <v>716</v>
      </c>
      <c r="L94" s="259">
        <f ca="1">IF(D94="","",COUNTIF($D$9:INDIRECT("D"&amp;ROW()),D94))</f>
        <v>4</v>
      </c>
    </row>
    <row r="95" spans="3:12" hidden="1" outlineLevel="1" x14ac:dyDescent="0.2">
      <c r="C95" s="252">
        <v>45770</v>
      </c>
      <c r="D95" s="248" t="s">
        <v>87</v>
      </c>
      <c r="E95" s="248">
        <f t="shared" si="2"/>
        <v>2025</v>
      </c>
      <c r="F95" s="257" t="s">
        <v>171</v>
      </c>
      <c r="G95" s="248" t="str">
        <f t="shared" si="3"/>
        <v>Cashflow</v>
      </c>
      <c r="H95" s="258">
        <v>1000</v>
      </c>
      <c r="I95" s="248">
        <f>IF(Table2[[#This Row],[TYPE]]="Given",Table2[[#This Row],[AMOUNT (₹)]],0)</f>
        <v>1000</v>
      </c>
      <c r="J95" s="248">
        <f>IF(Table2[[#This Row],[TYPE]]="Received",Table2[[#This Row],[AMOUNT (₹)]],0)</f>
        <v>0</v>
      </c>
      <c r="K95" s="248" t="s">
        <v>759</v>
      </c>
      <c r="L95" s="259">
        <f ca="1">IF(D95="","",COUNTIF($D$9:INDIRECT("D"&amp;ROW()),D95))</f>
        <v>40</v>
      </c>
    </row>
    <row r="96" spans="3:12" hidden="1" outlineLevel="1" x14ac:dyDescent="0.2">
      <c r="C96" s="252">
        <v>45779</v>
      </c>
      <c r="D96" s="248" t="s">
        <v>87</v>
      </c>
      <c r="E96" s="248">
        <f t="shared" si="2"/>
        <v>2025</v>
      </c>
      <c r="F96" s="257" t="s">
        <v>172</v>
      </c>
      <c r="G96" s="248" t="str">
        <f t="shared" si="3"/>
        <v>Cashflow</v>
      </c>
      <c r="H96" s="258">
        <v>4000</v>
      </c>
      <c r="I96" s="248">
        <f>IF(Table2[[#This Row],[TYPE]]="Given",Table2[[#This Row],[AMOUNT (₹)]],0)</f>
        <v>0</v>
      </c>
      <c r="J96" s="248">
        <f>IF(Table2[[#This Row],[TYPE]]="Received",Table2[[#This Row],[AMOUNT (₹)]],0)</f>
        <v>4000</v>
      </c>
      <c r="K96" s="248" t="s">
        <v>236</v>
      </c>
      <c r="L96" s="259">
        <f ca="1">IF(D96="","",COUNTIF($D$9:INDIRECT("D"&amp;ROW()),D96))</f>
        <v>41</v>
      </c>
    </row>
    <row r="97" spans="3:12" hidden="1" outlineLevel="1" x14ac:dyDescent="0.2">
      <c r="C97" s="252">
        <v>45788</v>
      </c>
      <c r="D97" s="248" t="s">
        <v>87</v>
      </c>
      <c r="E97" s="248">
        <f t="shared" si="2"/>
        <v>2025</v>
      </c>
      <c r="F97" s="257" t="s">
        <v>172</v>
      </c>
      <c r="G97" s="248" t="str">
        <f t="shared" si="3"/>
        <v>Cashflow</v>
      </c>
      <c r="H97" s="258">
        <v>500</v>
      </c>
      <c r="I97" s="248">
        <f>IF(Table2[[#This Row],[TYPE]]="Given",Table2[[#This Row],[AMOUNT (₹)]],0)</f>
        <v>0</v>
      </c>
      <c r="J97" s="248">
        <f>IF(Table2[[#This Row],[TYPE]]="Received",Table2[[#This Row],[AMOUNT (₹)]],0)</f>
        <v>500</v>
      </c>
      <c r="K97" s="248" t="s">
        <v>760</v>
      </c>
      <c r="L97" s="259">
        <f ca="1">IF(D97="","",COUNTIF($D$9:INDIRECT("D"&amp;ROW()),D97))</f>
        <v>42</v>
      </c>
    </row>
    <row r="98" spans="3:12" hidden="1" outlineLevel="1" x14ac:dyDescent="0.2">
      <c r="C98" s="252">
        <v>45788</v>
      </c>
      <c r="D98" s="248" t="s">
        <v>107</v>
      </c>
      <c r="E98" s="248">
        <f t="shared" si="2"/>
        <v>2025</v>
      </c>
      <c r="F98" s="257" t="s">
        <v>171</v>
      </c>
      <c r="G98" s="248" t="str">
        <f t="shared" si="3"/>
        <v>Cashflow</v>
      </c>
      <c r="H98" s="258">
        <v>500</v>
      </c>
      <c r="I98" s="248">
        <f>IF(Table2[[#This Row],[TYPE]]="Given",Table2[[#This Row],[AMOUNT (₹)]],0)</f>
        <v>500</v>
      </c>
      <c r="J98" s="248">
        <f>IF(Table2[[#This Row],[TYPE]]="Received",Table2[[#This Row],[AMOUNT (₹)]],0)</f>
        <v>0</v>
      </c>
      <c r="K98" s="248" t="s">
        <v>761</v>
      </c>
      <c r="L98" s="259">
        <f ca="1">IF(D98="","",COUNTIF($D$9:INDIRECT("D"&amp;ROW()),D98))</f>
        <v>1</v>
      </c>
    </row>
    <row r="99" spans="3:12" hidden="1" outlineLevel="1" x14ac:dyDescent="0.2">
      <c r="C99" s="252">
        <v>45788</v>
      </c>
      <c r="D99" s="248" t="s">
        <v>107</v>
      </c>
      <c r="E99" s="248">
        <f t="shared" si="2"/>
        <v>2025</v>
      </c>
      <c r="F99" s="257" t="s">
        <v>171</v>
      </c>
      <c r="G99" s="248" t="str">
        <f t="shared" si="3"/>
        <v>Cashflow</v>
      </c>
      <c r="H99" s="258">
        <v>400</v>
      </c>
      <c r="I99" s="248">
        <f>IF(Table2[[#This Row],[TYPE]]="Given",Table2[[#This Row],[AMOUNT (₹)]],0)</f>
        <v>400</v>
      </c>
      <c r="J99" s="248">
        <f>IF(Table2[[#This Row],[TYPE]]="Received",Table2[[#This Row],[AMOUNT (₹)]],0)</f>
        <v>0</v>
      </c>
      <c r="K99" s="248" t="s">
        <v>762</v>
      </c>
      <c r="L99" s="259">
        <f ca="1">IF(D99="","",COUNTIF($D$9:INDIRECT("D"&amp;ROW()),D99))</f>
        <v>2</v>
      </c>
    </row>
    <row r="100" spans="3:12" hidden="1" outlineLevel="1" x14ac:dyDescent="0.2">
      <c r="C100" s="252">
        <v>45790</v>
      </c>
      <c r="D100" s="248" t="s">
        <v>107</v>
      </c>
      <c r="E100" s="248">
        <f t="shared" si="2"/>
        <v>2025</v>
      </c>
      <c r="F100" s="257" t="s">
        <v>171</v>
      </c>
      <c r="G100" s="248" t="str">
        <f t="shared" si="3"/>
        <v>Cashflow</v>
      </c>
      <c r="H100" s="258">
        <v>69</v>
      </c>
      <c r="I100" s="248">
        <f>IF(Table2[[#This Row],[TYPE]]="Given",Table2[[#This Row],[AMOUNT (₹)]],0)</f>
        <v>69</v>
      </c>
      <c r="J100" s="248">
        <f>IF(Table2[[#This Row],[TYPE]]="Received",Table2[[#This Row],[AMOUNT (₹)]],0)</f>
        <v>0</v>
      </c>
      <c r="K100" s="248" t="s">
        <v>434</v>
      </c>
      <c r="L100" s="259">
        <f ca="1">IF(D100="","",COUNTIF($D$9:INDIRECT("D"&amp;ROW()),D100))</f>
        <v>3</v>
      </c>
    </row>
    <row r="101" spans="3:12" hidden="1" outlineLevel="1" x14ac:dyDescent="0.2">
      <c r="C101" s="252">
        <v>45793</v>
      </c>
      <c r="D101" s="248" t="s">
        <v>85</v>
      </c>
      <c r="E101" s="248">
        <f t="shared" si="2"/>
        <v>2025</v>
      </c>
      <c r="F101" s="257" t="s">
        <v>172</v>
      </c>
      <c r="G101" s="248" t="str">
        <f t="shared" si="3"/>
        <v>Cashflow</v>
      </c>
      <c r="H101" s="258">
        <v>50000</v>
      </c>
      <c r="I101" s="248">
        <f>IF(Table2[[#This Row],[TYPE]]="Given",Table2[[#This Row],[AMOUNT (₹)]],0)</f>
        <v>0</v>
      </c>
      <c r="J101" s="248">
        <f>IF(Table2[[#This Row],[TYPE]]="Received",Table2[[#This Row],[AMOUNT (₹)]],0)</f>
        <v>50000</v>
      </c>
      <c r="K101" s="248" t="s">
        <v>763</v>
      </c>
      <c r="L101" s="259">
        <f ca="1">IF(D101="","",COUNTIF($D$9:INDIRECT("D"&amp;ROW()),D101))</f>
        <v>4</v>
      </c>
    </row>
    <row r="102" spans="3:12" hidden="1" outlineLevel="1" x14ac:dyDescent="0.2">
      <c r="C102" s="252">
        <v>45802</v>
      </c>
      <c r="D102" s="248" t="s">
        <v>105</v>
      </c>
      <c r="E102" s="248">
        <f t="shared" si="2"/>
        <v>2025</v>
      </c>
      <c r="F102" s="257" t="s">
        <v>171</v>
      </c>
      <c r="G102" s="248" t="str">
        <f t="shared" si="3"/>
        <v>Cashflow</v>
      </c>
      <c r="H102" s="258">
        <v>1500</v>
      </c>
      <c r="I102" s="248">
        <f>IF(Table2[[#This Row],[TYPE]]="Given",Table2[[#This Row],[AMOUNT (₹)]],0)</f>
        <v>1500</v>
      </c>
      <c r="J102" s="248">
        <f>IF(Table2[[#This Row],[TYPE]]="Received",Table2[[#This Row],[AMOUNT (₹)]],0)</f>
        <v>0</v>
      </c>
      <c r="K102" s="248" t="s">
        <v>716</v>
      </c>
      <c r="L102" s="259">
        <f ca="1">IF(D102="","",COUNTIF($D$9:INDIRECT("D"&amp;ROW()),D102))</f>
        <v>5</v>
      </c>
    </row>
    <row r="103" spans="3:12" hidden="1" outlineLevel="1" x14ac:dyDescent="0.2">
      <c r="C103" s="252">
        <v>45813</v>
      </c>
      <c r="D103" s="248" t="s">
        <v>107</v>
      </c>
      <c r="E103" s="248">
        <f t="shared" si="2"/>
        <v>2025</v>
      </c>
      <c r="F103" s="257" t="s">
        <v>171</v>
      </c>
      <c r="G103" s="248" t="str">
        <f t="shared" si="3"/>
        <v>Cashflow</v>
      </c>
      <c r="H103" s="258">
        <v>69</v>
      </c>
      <c r="I103" s="248">
        <f>IF(Table2[[#This Row],[TYPE]]="Given",Table2[[#This Row],[AMOUNT (₹)]],0)</f>
        <v>69</v>
      </c>
      <c r="J103" s="248">
        <f>IF(Table2[[#This Row],[TYPE]]="Received",Table2[[#This Row],[AMOUNT (₹)]],0)</f>
        <v>0</v>
      </c>
      <c r="K103" s="248" t="s">
        <v>434</v>
      </c>
      <c r="L103" s="259">
        <f ca="1">IF(D103="","",COUNTIF($D$9:INDIRECT("D"&amp;ROW()),D103))</f>
        <v>4</v>
      </c>
    </row>
    <row r="104" spans="3:12" hidden="1" outlineLevel="1" x14ac:dyDescent="0.2">
      <c r="C104" s="252">
        <v>45819</v>
      </c>
      <c r="D104" s="248" t="s">
        <v>100</v>
      </c>
      <c r="E104" s="248">
        <f t="shared" si="2"/>
        <v>2025</v>
      </c>
      <c r="F104" s="253" t="s">
        <v>172</v>
      </c>
      <c r="G104" s="248" t="str">
        <f t="shared" si="3"/>
        <v>Cashflow</v>
      </c>
      <c r="H104" s="248">
        <v>50000</v>
      </c>
      <c r="I104" s="248">
        <f>IF(Table2[[#This Row],[TYPE]]="Given",Table2[[#This Row],[AMOUNT (₹)]],0)</f>
        <v>0</v>
      </c>
      <c r="J104" s="248">
        <f>IF(Table2[[#This Row],[TYPE]]="Received",Table2[[#This Row],[AMOUNT (₹)]],0)</f>
        <v>50000</v>
      </c>
      <c r="K104" s="248" t="s">
        <v>96</v>
      </c>
      <c r="L104" s="259">
        <f ca="1">IF(D104="","",COUNTIF($D$9:INDIRECT("D"&amp;ROW()),D104))</f>
        <v>1</v>
      </c>
    </row>
    <row r="105" spans="3:12" hidden="1" outlineLevel="1" x14ac:dyDescent="0.2">
      <c r="C105" s="252">
        <v>45820</v>
      </c>
      <c r="D105" s="248" t="s">
        <v>107</v>
      </c>
      <c r="E105" s="248">
        <f t="shared" si="2"/>
        <v>2025</v>
      </c>
      <c r="F105" s="257" t="s">
        <v>171</v>
      </c>
      <c r="G105" s="248" t="str">
        <f t="shared" si="3"/>
        <v>Cashflow</v>
      </c>
      <c r="H105" s="258">
        <v>250</v>
      </c>
      <c r="I105" s="248">
        <f>IF(Table2[[#This Row],[TYPE]]="Given",Table2[[#This Row],[AMOUNT (₹)]],0)</f>
        <v>250</v>
      </c>
      <c r="J105" s="248">
        <f>IF(Table2[[#This Row],[TYPE]]="Received",Table2[[#This Row],[AMOUNT (₹)]],0)</f>
        <v>0</v>
      </c>
      <c r="K105" s="248" t="s">
        <v>764</v>
      </c>
      <c r="L105" s="259">
        <f ca="1">IF(D105="","",COUNTIF($D$9:INDIRECT("D"&amp;ROW()),D105))</f>
        <v>5</v>
      </c>
    </row>
    <row r="106" spans="3:12" hidden="1" outlineLevel="1" x14ac:dyDescent="0.2">
      <c r="C106" s="252">
        <v>45820</v>
      </c>
      <c r="D106" s="248" t="s">
        <v>107</v>
      </c>
      <c r="E106" s="248">
        <f t="shared" si="2"/>
        <v>2025</v>
      </c>
      <c r="F106" s="257" t="s">
        <v>171</v>
      </c>
      <c r="G106" s="248" t="str">
        <f t="shared" si="3"/>
        <v>Cashflow</v>
      </c>
      <c r="H106" s="258">
        <v>300</v>
      </c>
      <c r="I106" s="248">
        <f>IF(Table2[[#This Row],[TYPE]]="Given",Table2[[#This Row],[AMOUNT (₹)]],0)</f>
        <v>300</v>
      </c>
      <c r="J106" s="248">
        <f>IF(Table2[[#This Row],[TYPE]]="Received",Table2[[#This Row],[AMOUNT (₹)]],0)</f>
        <v>0</v>
      </c>
      <c r="K106" s="248" t="s">
        <v>716</v>
      </c>
      <c r="L106" s="259">
        <f ca="1">IF(D106="","",COUNTIF($D$9:INDIRECT("D"&amp;ROW()),D106))</f>
        <v>6</v>
      </c>
    </row>
    <row r="107" spans="3:12" hidden="1" outlineLevel="1" x14ac:dyDescent="0.2">
      <c r="C107" s="252">
        <v>45835</v>
      </c>
      <c r="D107" s="248" t="s">
        <v>107</v>
      </c>
      <c r="E107" s="248">
        <f t="shared" si="2"/>
        <v>2025</v>
      </c>
      <c r="F107" s="257" t="s">
        <v>171</v>
      </c>
      <c r="G107" s="248" t="str">
        <f t="shared" si="3"/>
        <v>Cashflow</v>
      </c>
      <c r="H107" s="258">
        <v>69</v>
      </c>
      <c r="I107" s="248">
        <f>IF(Table2[[#This Row],[TYPE]]="Given",Table2[[#This Row],[AMOUNT (₹)]],0)</f>
        <v>69</v>
      </c>
      <c r="J107" s="248">
        <f>IF(Table2[[#This Row],[TYPE]]="Received",Table2[[#This Row],[AMOUNT (₹)]],0)</f>
        <v>0</v>
      </c>
      <c r="K107" s="248" t="s">
        <v>434</v>
      </c>
      <c r="L107" s="259">
        <f ca="1">IF(D107="","",COUNTIF($D$9:INDIRECT("D"&amp;ROW()),D107))</f>
        <v>7</v>
      </c>
    </row>
    <row r="108" spans="3:12" hidden="1" outlineLevel="1" x14ac:dyDescent="0.2">
      <c r="C108" s="252">
        <v>45844</v>
      </c>
      <c r="D108" s="248" t="s">
        <v>87</v>
      </c>
      <c r="E108" s="248">
        <f t="shared" si="2"/>
        <v>2025</v>
      </c>
      <c r="F108" s="257" t="s">
        <v>172</v>
      </c>
      <c r="G108" s="248" t="str">
        <f t="shared" si="3"/>
        <v>Cashflow</v>
      </c>
      <c r="H108" s="258">
        <v>5000</v>
      </c>
      <c r="I108" s="248">
        <f>IF(Table2[[#This Row],[TYPE]]="Given",Table2[[#This Row],[AMOUNT (₹)]],0)</f>
        <v>0</v>
      </c>
      <c r="J108" s="248">
        <f>IF(Table2[[#This Row],[TYPE]]="Received",Table2[[#This Row],[AMOUNT (₹)]],0)</f>
        <v>5000</v>
      </c>
      <c r="K108" s="248" t="s">
        <v>747</v>
      </c>
      <c r="L108" s="259">
        <f ca="1">IF(D108="","",COUNTIF($D$9:INDIRECT("D"&amp;ROW()),D108))</f>
        <v>43</v>
      </c>
    </row>
    <row r="109" spans="3:12" hidden="1" outlineLevel="1" x14ac:dyDescent="0.2">
      <c r="C109" s="252">
        <v>45854</v>
      </c>
      <c r="D109" s="248" t="s">
        <v>107</v>
      </c>
      <c r="E109" s="248">
        <f t="shared" si="2"/>
        <v>2025</v>
      </c>
      <c r="F109" s="257" t="s">
        <v>171</v>
      </c>
      <c r="G109" s="248" t="str">
        <f t="shared" si="3"/>
        <v>Cashflow</v>
      </c>
      <c r="H109" s="258">
        <v>900</v>
      </c>
      <c r="I109" s="248">
        <f>IF(Table2[[#This Row],[TYPE]]="Given",Table2[[#This Row],[AMOUNT (₹)]],0)</f>
        <v>900</v>
      </c>
      <c r="J109" s="248">
        <f>IF(Table2[[#This Row],[TYPE]]="Received",Table2[[#This Row],[AMOUNT (₹)]],0)</f>
        <v>0</v>
      </c>
      <c r="K109" s="248" t="s">
        <v>486</v>
      </c>
      <c r="L109" s="259">
        <f ca="1">IF(D109="","",COUNTIF($D$9:INDIRECT("D"&amp;ROW()),D109))</f>
        <v>8</v>
      </c>
    </row>
    <row r="110" spans="3:12" hidden="1" outlineLevel="1" x14ac:dyDescent="0.2">
      <c r="C110" s="252">
        <v>45874</v>
      </c>
      <c r="D110" s="248" t="s">
        <v>107</v>
      </c>
      <c r="E110" s="248">
        <f t="shared" si="2"/>
        <v>2025</v>
      </c>
      <c r="F110" s="257" t="s">
        <v>171</v>
      </c>
      <c r="G110" s="248" t="str">
        <f t="shared" si="3"/>
        <v>Cashflow</v>
      </c>
      <c r="H110" s="258">
        <v>899</v>
      </c>
      <c r="I110" s="248">
        <f>IF(Table2[[#This Row],[TYPE]]="Given",Table2[[#This Row],[AMOUNT (₹)]],0)</f>
        <v>899</v>
      </c>
      <c r="J110" s="248">
        <f>IF(Table2[[#This Row],[TYPE]]="Received",Table2[[#This Row],[AMOUNT (₹)]],0)</f>
        <v>0</v>
      </c>
      <c r="K110" s="248" t="s">
        <v>94</v>
      </c>
      <c r="L110" s="259">
        <f ca="1">IF(D110="","",COUNTIF($D$9:INDIRECT("D"&amp;ROW()),D110))</f>
        <v>9</v>
      </c>
    </row>
    <row r="111" spans="3:12" hidden="1" outlineLevel="1" x14ac:dyDescent="0.2">
      <c r="C111" s="252">
        <v>45875</v>
      </c>
      <c r="D111" s="248" t="s">
        <v>87</v>
      </c>
      <c r="E111" s="248">
        <f t="shared" si="2"/>
        <v>2025</v>
      </c>
      <c r="F111" s="257" t="s">
        <v>172</v>
      </c>
      <c r="G111" s="248" t="str">
        <f t="shared" si="3"/>
        <v>Cashflow</v>
      </c>
      <c r="H111" s="258">
        <v>4000</v>
      </c>
      <c r="I111" s="248">
        <f>IF(Table2[[#This Row],[TYPE]]="Given",Table2[[#This Row],[AMOUNT (₹)]],0)</f>
        <v>0</v>
      </c>
      <c r="J111" s="248">
        <f>IF(Table2[[#This Row],[TYPE]]="Received",Table2[[#This Row],[AMOUNT (₹)]],0)</f>
        <v>4000</v>
      </c>
      <c r="K111" s="248" t="s">
        <v>765</v>
      </c>
      <c r="L111" s="259">
        <f ca="1">IF(D111="","",COUNTIF($D$9:INDIRECT("D"&amp;ROW()),D111))</f>
        <v>44</v>
      </c>
    </row>
    <row r="112" spans="3:12" hidden="1" outlineLevel="1" x14ac:dyDescent="0.2">
      <c r="C112" s="252">
        <v>45880</v>
      </c>
      <c r="D112" s="248" t="s">
        <v>107</v>
      </c>
      <c r="E112" s="248">
        <f t="shared" si="2"/>
        <v>2025</v>
      </c>
      <c r="F112" s="257" t="s">
        <v>171</v>
      </c>
      <c r="G112" s="248" t="str">
        <f t="shared" si="3"/>
        <v>Cashflow</v>
      </c>
      <c r="H112" s="258">
        <v>50</v>
      </c>
      <c r="I112" s="248">
        <f>IF(Table2[[#This Row],[TYPE]]="Given",Table2[[#This Row],[AMOUNT (₹)]],0)</f>
        <v>50</v>
      </c>
      <c r="J112" s="248">
        <f>IF(Table2[[#This Row],[TYPE]]="Received",Table2[[#This Row],[AMOUNT (₹)]],0)</f>
        <v>0</v>
      </c>
      <c r="K112" s="248" t="s">
        <v>716</v>
      </c>
      <c r="L112" s="259">
        <f ca="1">IF(D112="","",COUNTIF($D$9:INDIRECT("D"&amp;ROW()),D112))</f>
        <v>10</v>
      </c>
    </row>
    <row r="113" spans="3:12" hidden="1" outlineLevel="1" x14ac:dyDescent="0.2">
      <c r="C113" s="252">
        <v>45888</v>
      </c>
      <c r="D113" s="248" t="s">
        <v>87</v>
      </c>
      <c r="E113" s="248">
        <f t="shared" si="2"/>
        <v>2025</v>
      </c>
      <c r="F113" s="257" t="s">
        <v>171</v>
      </c>
      <c r="G113" s="248" t="str">
        <f t="shared" si="3"/>
        <v>Cashflow</v>
      </c>
      <c r="H113" s="258">
        <v>0</v>
      </c>
      <c r="I113" s="248">
        <f>IF(Table2[[#This Row],[TYPE]]="Given",Table2[[#This Row],[AMOUNT (₹)]],0)</f>
        <v>0</v>
      </c>
      <c r="J113" s="248">
        <f>IF(Table2[[#This Row],[TYPE]]="Received",Table2[[#This Row],[AMOUNT (₹)]],0)</f>
        <v>0</v>
      </c>
      <c r="K113" s="248" t="s">
        <v>766</v>
      </c>
      <c r="L113" s="259">
        <f ca="1">IF(D113="","",COUNTIF($D$9:INDIRECT("D"&amp;ROW()),D113))</f>
        <v>45</v>
      </c>
    </row>
    <row r="114" spans="3:12" hidden="1" outlineLevel="1" x14ac:dyDescent="0.2">
      <c r="C114" s="252">
        <v>45891</v>
      </c>
      <c r="D114" s="248" t="s">
        <v>91</v>
      </c>
      <c r="E114" s="248">
        <f t="shared" si="2"/>
        <v>2025</v>
      </c>
      <c r="F114" s="257" t="s">
        <v>171</v>
      </c>
      <c r="G114" s="248" t="str">
        <f t="shared" si="3"/>
        <v>Cashflow</v>
      </c>
      <c r="H114" s="258">
        <v>2733.6</v>
      </c>
      <c r="I114" s="248">
        <f>IF(Table2[[#This Row],[TYPE]]="Given",Table2[[#This Row],[AMOUNT (₹)]],0)</f>
        <v>2733.6</v>
      </c>
      <c r="J114" s="248">
        <f>IF(Table2[[#This Row],[TYPE]]="Received",Table2[[#This Row],[AMOUNT (₹)]],0)</f>
        <v>0</v>
      </c>
      <c r="K114" s="248" t="s">
        <v>754</v>
      </c>
      <c r="L114" s="259">
        <f ca="1">IF(D114="","",COUNTIF($D$9:INDIRECT("D"&amp;ROW()),D114))</f>
        <v>9</v>
      </c>
    </row>
    <row r="115" spans="3:12" hidden="1" outlineLevel="1" x14ac:dyDescent="0.2">
      <c r="C115" s="252">
        <v>45910</v>
      </c>
      <c r="D115" s="248" t="s">
        <v>87</v>
      </c>
      <c r="E115" s="248">
        <f t="shared" si="2"/>
        <v>2025</v>
      </c>
      <c r="F115" s="257" t="s">
        <v>172</v>
      </c>
      <c r="G115" s="248" t="str">
        <f t="shared" si="3"/>
        <v>Cashflow</v>
      </c>
      <c r="H115" s="258">
        <v>5000</v>
      </c>
      <c r="I115" s="248">
        <f>IF(Table2[[#This Row],[TYPE]]="Given",Table2[[#This Row],[AMOUNT (₹)]],0)</f>
        <v>0</v>
      </c>
      <c r="J115" s="248">
        <f>IF(Table2[[#This Row],[TYPE]]="Received",Table2[[#This Row],[AMOUNT (₹)]],0)</f>
        <v>5000</v>
      </c>
      <c r="K115" s="248" t="s">
        <v>747</v>
      </c>
      <c r="L115" s="259">
        <f ca="1">IF(D115="","",COUNTIF($D$9:INDIRECT("D"&amp;ROW()),D115))</f>
        <v>46</v>
      </c>
    </row>
    <row r="116" spans="3:12" hidden="1" outlineLevel="1" x14ac:dyDescent="0.2">
      <c r="C116" s="252">
        <v>45921</v>
      </c>
      <c r="D116" s="248" t="s">
        <v>107</v>
      </c>
      <c r="E116" s="248">
        <f t="shared" si="2"/>
        <v>2025</v>
      </c>
      <c r="F116" s="257" t="s">
        <v>171</v>
      </c>
      <c r="G116" s="248" t="str">
        <f t="shared" si="3"/>
        <v>Cashflow</v>
      </c>
      <c r="H116" s="258">
        <v>3000</v>
      </c>
      <c r="I116" s="248">
        <f>IF(Table2[[#This Row],[TYPE]]="Given",Table2[[#This Row],[AMOUNT (₹)]],0)</f>
        <v>3000</v>
      </c>
      <c r="J116" s="248">
        <f>IF(Table2[[#This Row],[TYPE]]="Received",Table2[[#This Row],[AMOUNT (₹)]],0)</f>
        <v>0</v>
      </c>
      <c r="K116" s="248" t="s">
        <v>767</v>
      </c>
      <c r="L116" s="259">
        <f ca="1">IF(D116="","",COUNTIF($D$9:INDIRECT("D"&amp;ROW()),D116))</f>
        <v>11</v>
      </c>
    </row>
    <row r="117" spans="3:12" hidden="1" outlineLevel="1" x14ac:dyDescent="0.2">
      <c r="C117" s="252">
        <v>45932</v>
      </c>
      <c r="D117" s="248" t="s">
        <v>87</v>
      </c>
      <c r="E117" s="248">
        <f t="shared" si="2"/>
        <v>2025</v>
      </c>
      <c r="F117" s="257" t="s">
        <v>171</v>
      </c>
      <c r="G117" s="248" t="str">
        <f t="shared" si="3"/>
        <v>Cashflow</v>
      </c>
      <c r="H117" s="258">
        <v>1400</v>
      </c>
      <c r="I117" s="248">
        <f>IF(Table2[[#This Row],[TYPE]]="Given",Table2[[#This Row],[AMOUNT (₹)]],0)</f>
        <v>1400</v>
      </c>
      <c r="J117" s="248">
        <f>IF(Table2[[#This Row],[TYPE]]="Received",Table2[[#This Row],[AMOUNT (₹)]],0)</f>
        <v>0</v>
      </c>
      <c r="K117" s="248" t="s">
        <v>768</v>
      </c>
      <c r="L117" s="259">
        <f ca="1">IF(D117="","",COUNTIF($D$9:INDIRECT("D"&amp;ROW()),D117))</f>
        <v>47</v>
      </c>
    </row>
    <row r="118" spans="3:12" hidden="1" outlineLevel="1" x14ac:dyDescent="0.2">
      <c r="C118" s="252">
        <v>45935</v>
      </c>
      <c r="D118" s="248" t="s">
        <v>83</v>
      </c>
      <c r="E118" s="248">
        <f t="shared" si="2"/>
        <v>2025</v>
      </c>
      <c r="F118" s="257" t="s">
        <v>171</v>
      </c>
      <c r="G118" s="248" t="str">
        <f t="shared" si="3"/>
        <v>Cashflow</v>
      </c>
      <c r="H118" s="258">
        <v>8000</v>
      </c>
      <c r="I118" s="248">
        <f>IF(Table2[[#This Row],[TYPE]]="Given",Table2[[#This Row],[AMOUNT (₹)]],0)</f>
        <v>8000</v>
      </c>
      <c r="J118" s="248">
        <f>IF(Table2[[#This Row],[TYPE]]="Received",Table2[[#This Row],[AMOUNT (₹)]],0)</f>
        <v>0</v>
      </c>
      <c r="K118" s="248" t="s">
        <v>769</v>
      </c>
      <c r="L118" s="259">
        <f ca="1">IF(D118="","",COUNTIF($D$9:INDIRECT("D"&amp;ROW()),D118))</f>
        <v>1</v>
      </c>
    </row>
    <row r="119" spans="3:12" hidden="1" outlineLevel="1" x14ac:dyDescent="0.2">
      <c r="C119" s="252">
        <v>45937</v>
      </c>
      <c r="D119" s="248" t="s">
        <v>100</v>
      </c>
      <c r="E119" s="248">
        <f t="shared" si="2"/>
        <v>2025</v>
      </c>
      <c r="F119" s="253" t="s">
        <v>171</v>
      </c>
      <c r="G119" s="248" t="str">
        <f t="shared" si="3"/>
        <v>Cashflow</v>
      </c>
      <c r="H119" s="248">
        <v>6405</v>
      </c>
      <c r="I119" s="248">
        <f>IF(Table2[[#This Row],[TYPE]]="Given",Table2[[#This Row],[AMOUNT (₹)]],0)</f>
        <v>6405</v>
      </c>
      <c r="J119" s="248">
        <f>IF(Table2[[#This Row],[TYPE]]="Received",Table2[[#This Row],[AMOUNT (₹)]],0)</f>
        <v>0</v>
      </c>
      <c r="K119" s="248" t="s">
        <v>770</v>
      </c>
      <c r="L119" s="259">
        <f ca="1">IF(D119="","",COUNTIF($D$9:INDIRECT("D"&amp;ROW()),D119))</f>
        <v>2</v>
      </c>
    </row>
    <row r="120" spans="3:12" hidden="1" outlineLevel="1" x14ac:dyDescent="0.2">
      <c r="C120" s="252">
        <v>45937</v>
      </c>
      <c r="D120" s="248" t="s">
        <v>100</v>
      </c>
      <c r="E120" s="248">
        <f t="shared" si="2"/>
        <v>2025</v>
      </c>
      <c r="F120" s="253" t="s">
        <v>172</v>
      </c>
      <c r="G120" s="248" t="str">
        <f t="shared" si="3"/>
        <v>Cashflow</v>
      </c>
      <c r="H120" s="248">
        <v>3450</v>
      </c>
      <c r="I120" s="248">
        <f>IF(Table2[[#This Row],[TYPE]]="Given",Table2[[#This Row],[AMOUNT (₹)]],0)</f>
        <v>0</v>
      </c>
      <c r="J120" s="248">
        <f>IF(Table2[[#This Row],[TYPE]]="Received",Table2[[#This Row],[AMOUNT (₹)]],0)</f>
        <v>3450</v>
      </c>
      <c r="K120" s="248" t="s">
        <v>771</v>
      </c>
      <c r="L120" s="259">
        <f ca="1">IF(D120="","",COUNTIF($D$9:INDIRECT("D"&amp;ROW()),D120))</f>
        <v>3</v>
      </c>
    </row>
    <row r="121" spans="3:12" hidden="1" outlineLevel="1" x14ac:dyDescent="0.2">
      <c r="C121" s="252">
        <v>45937</v>
      </c>
      <c r="D121" s="248" t="s">
        <v>100</v>
      </c>
      <c r="E121" s="248">
        <f t="shared" si="2"/>
        <v>2025</v>
      </c>
      <c r="F121" s="253" t="s">
        <v>171</v>
      </c>
      <c r="G121" s="248" t="str">
        <f t="shared" si="3"/>
        <v>Cashflow</v>
      </c>
      <c r="H121" s="248">
        <v>790</v>
      </c>
      <c r="I121" s="248">
        <f>IF(Table2[[#This Row],[TYPE]]="Given",Table2[[#This Row],[AMOUNT (₹)]],0)</f>
        <v>790</v>
      </c>
      <c r="J121" s="248">
        <f>IF(Table2[[#This Row],[TYPE]]="Received",Table2[[#This Row],[AMOUNT (₹)]],0)</f>
        <v>0</v>
      </c>
      <c r="K121" s="248" t="s">
        <v>772</v>
      </c>
      <c r="L121" s="259">
        <f ca="1">IF(D121="","",COUNTIF($D$9:INDIRECT("D"&amp;ROW()),D121))</f>
        <v>4</v>
      </c>
    </row>
    <row r="122" spans="3:12" hidden="1" outlineLevel="1" x14ac:dyDescent="0.2">
      <c r="C122" s="252">
        <v>45941</v>
      </c>
      <c r="D122" s="248" t="s">
        <v>100</v>
      </c>
      <c r="E122" s="248">
        <f t="shared" si="2"/>
        <v>2025</v>
      </c>
      <c r="F122" s="253" t="s">
        <v>171</v>
      </c>
      <c r="G122" s="248" t="str">
        <f t="shared" si="3"/>
        <v>Cashflow</v>
      </c>
      <c r="H122" s="248">
        <v>2533</v>
      </c>
      <c r="I122" s="248">
        <f>IF(Table2[[#This Row],[TYPE]]="Given",Table2[[#This Row],[AMOUNT (₹)]],0)</f>
        <v>2533</v>
      </c>
      <c r="J122" s="248">
        <f>IF(Table2[[#This Row],[TYPE]]="Received",Table2[[#This Row],[AMOUNT (₹)]],0)</f>
        <v>0</v>
      </c>
      <c r="K122" s="248" t="s">
        <v>773</v>
      </c>
      <c r="L122" s="259">
        <f ca="1">IF(D122="","",COUNTIF($D$9:INDIRECT("D"&amp;ROW()),D122))</f>
        <v>5</v>
      </c>
    </row>
    <row r="123" spans="3:12" hidden="1" outlineLevel="1" x14ac:dyDescent="0.2">
      <c r="C123" s="252">
        <v>45941</v>
      </c>
      <c r="D123" s="248" t="s">
        <v>100</v>
      </c>
      <c r="E123" s="248">
        <f t="shared" si="2"/>
        <v>2025</v>
      </c>
      <c r="F123" s="253" t="s">
        <v>171</v>
      </c>
      <c r="G123" s="248" t="str">
        <f t="shared" si="3"/>
        <v>Cashflow</v>
      </c>
      <c r="H123" s="248">
        <v>5000</v>
      </c>
      <c r="I123" s="248">
        <f>IF(Table2[[#This Row],[TYPE]]="Given",Table2[[#This Row],[AMOUNT (₹)]],0)</f>
        <v>5000</v>
      </c>
      <c r="J123" s="248">
        <f>IF(Table2[[#This Row],[TYPE]]="Received",Table2[[#This Row],[AMOUNT (₹)]],0)</f>
        <v>0</v>
      </c>
      <c r="K123" s="248" t="s">
        <v>412</v>
      </c>
      <c r="L123" s="259">
        <f ca="1">IF(D123="","",COUNTIF($D$9:INDIRECT("D"&amp;ROW()),D123))</f>
        <v>6</v>
      </c>
    </row>
    <row r="124" spans="3:12" hidden="1" outlineLevel="1" x14ac:dyDescent="0.2">
      <c r="C124" s="252">
        <v>45941</v>
      </c>
      <c r="D124" s="248" t="s">
        <v>110</v>
      </c>
      <c r="E124" s="248">
        <f t="shared" si="2"/>
        <v>2025</v>
      </c>
      <c r="F124" s="257" t="s">
        <v>171</v>
      </c>
      <c r="G124" s="248" t="str">
        <f t="shared" si="3"/>
        <v>Cashflow</v>
      </c>
      <c r="H124" s="258">
        <v>2666.8</v>
      </c>
      <c r="I124" s="248">
        <f>IF(Table2[[#This Row],[TYPE]]="Given",Table2[[#This Row],[AMOUNT (₹)]],0)</f>
        <v>2666.8</v>
      </c>
      <c r="J124" s="248">
        <f>IF(Table2[[#This Row],[TYPE]]="Received",Table2[[#This Row],[AMOUNT (₹)]],0)</f>
        <v>0</v>
      </c>
      <c r="K124" s="248" t="s">
        <v>774</v>
      </c>
      <c r="L124" s="259">
        <f ca="1">IF(D124="","",COUNTIF($D$9:INDIRECT("D"&amp;ROW()),D124))</f>
        <v>4</v>
      </c>
    </row>
    <row r="125" spans="3:12" hidden="1" outlineLevel="1" x14ac:dyDescent="0.2">
      <c r="C125" s="252">
        <v>45942</v>
      </c>
      <c r="D125" s="248" t="s">
        <v>91</v>
      </c>
      <c r="E125" s="248">
        <f t="shared" si="2"/>
        <v>2025</v>
      </c>
      <c r="F125" s="257" t="s">
        <v>172</v>
      </c>
      <c r="G125" s="248" t="str">
        <f t="shared" si="3"/>
        <v>Cashflow</v>
      </c>
      <c r="H125" s="258">
        <v>500</v>
      </c>
      <c r="I125" s="248">
        <f>IF(Table2[[#This Row],[TYPE]]="Given",Table2[[#This Row],[AMOUNT (₹)]],0)</f>
        <v>0</v>
      </c>
      <c r="J125" s="248">
        <f>IF(Table2[[#This Row],[TYPE]]="Received",Table2[[#This Row],[AMOUNT (₹)]],0)</f>
        <v>500</v>
      </c>
      <c r="K125" s="248" t="s">
        <v>775</v>
      </c>
      <c r="L125" s="259">
        <f ca="1">IF(D125="","",COUNTIF($D$9:INDIRECT("D"&amp;ROW()),D125))</f>
        <v>10</v>
      </c>
    </row>
    <row r="126" spans="3:12" hidden="1" outlineLevel="1" x14ac:dyDescent="0.2">
      <c r="C126" s="252">
        <v>45949</v>
      </c>
      <c r="D126" s="248" t="s">
        <v>95</v>
      </c>
      <c r="E126" s="248">
        <f t="shared" si="2"/>
        <v>2025</v>
      </c>
      <c r="F126" s="257" t="s">
        <v>171</v>
      </c>
      <c r="G126" s="248" t="str">
        <f t="shared" si="3"/>
        <v>Cashflow</v>
      </c>
      <c r="H126" s="258">
        <v>10000</v>
      </c>
      <c r="I126" s="248">
        <f>IF(Table2[[#This Row],[TYPE]]="Given",Table2[[#This Row],[AMOUNT (₹)]],0)</f>
        <v>10000</v>
      </c>
      <c r="J126" s="248">
        <f>IF(Table2[[#This Row],[TYPE]]="Received",Table2[[#This Row],[AMOUNT (₹)]],0)</f>
        <v>0</v>
      </c>
      <c r="K126" s="248" t="s">
        <v>769</v>
      </c>
      <c r="L126" s="259">
        <f ca="1">IF(D126="","",COUNTIF($D$9:INDIRECT("D"&amp;ROW()),D126))</f>
        <v>1</v>
      </c>
    </row>
    <row r="127" spans="3:12" hidden="1" outlineLevel="1" x14ac:dyDescent="0.2">
      <c r="C127" s="252">
        <v>45955</v>
      </c>
      <c r="D127" s="248" t="s">
        <v>87</v>
      </c>
      <c r="E127" s="248">
        <f t="shared" si="2"/>
        <v>2025</v>
      </c>
      <c r="F127" s="257" t="s">
        <v>172</v>
      </c>
      <c r="G127" s="248" t="str">
        <f t="shared" si="3"/>
        <v>Cashflow</v>
      </c>
      <c r="H127" s="258">
        <v>800</v>
      </c>
      <c r="I127" s="248">
        <f>IF(Table2[[#This Row],[TYPE]]="Given",Table2[[#This Row],[AMOUNT (₹)]],0)</f>
        <v>0</v>
      </c>
      <c r="J127" s="248">
        <f>IF(Table2[[#This Row],[TYPE]]="Received",Table2[[#This Row],[AMOUNT (₹)]],0)</f>
        <v>800</v>
      </c>
      <c r="K127" s="248" t="s">
        <v>776</v>
      </c>
      <c r="L127" s="259">
        <f ca="1">IF(D127="","",COUNTIF($D$9:INDIRECT("D"&amp;ROW()),D127))</f>
        <v>48</v>
      </c>
    </row>
    <row r="128" spans="3:12" hidden="1" outlineLevel="1" x14ac:dyDescent="0.2">
      <c r="C128" s="252">
        <v>45955</v>
      </c>
      <c r="D128" s="248" t="s">
        <v>87</v>
      </c>
      <c r="E128" s="248">
        <f t="shared" si="2"/>
        <v>2025</v>
      </c>
      <c r="F128" s="257" t="s">
        <v>171</v>
      </c>
      <c r="G128" s="248" t="str">
        <f t="shared" si="3"/>
        <v>Cashflow</v>
      </c>
      <c r="H128" s="258">
        <v>8318</v>
      </c>
      <c r="I128" s="248">
        <f>IF(Table2[[#This Row],[TYPE]]="Given",Table2[[#This Row],[AMOUNT (₹)]],0)</f>
        <v>8318</v>
      </c>
      <c r="J128" s="248">
        <f>IF(Table2[[#This Row],[TYPE]]="Received",Table2[[#This Row],[AMOUNT (₹)]],0)</f>
        <v>0</v>
      </c>
      <c r="K128" s="248" t="s">
        <v>777</v>
      </c>
      <c r="L128" s="259">
        <f ca="1">IF(D128="","",COUNTIF($D$9:INDIRECT("D"&amp;ROW()),D128))</f>
        <v>49</v>
      </c>
    </row>
    <row r="129" spans="3:12" hidden="1" outlineLevel="1" x14ac:dyDescent="0.2">
      <c r="C129" s="252">
        <v>45957</v>
      </c>
      <c r="D129" s="248" t="s">
        <v>87</v>
      </c>
      <c r="E129" s="248">
        <f t="shared" si="2"/>
        <v>2025</v>
      </c>
      <c r="F129" s="257" t="s">
        <v>171</v>
      </c>
      <c r="G129" s="248" t="str">
        <f t="shared" si="3"/>
        <v>Cashflow</v>
      </c>
      <c r="H129" s="258">
        <v>22511</v>
      </c>
      <c r="I129" s="248">
        <f>IF(Table2[[#This Row],[TYPE]]="Given",Table2[[#This Row],[AMOUNT (₹)]],0)</f>
        <v>22511</v>
      </c>
      <c r="J129" s="248">
        <f>IF(Table2[[#This Row],[TYPE]]="Received",Table2[[#This Row],[AMOUNT (₹)]],0)</f>
        <v>0</v>
      </c>
      <c r="K129" s="248" t="s">
        <v>778</v>
      </c>
      <c r="L129" s="259">
        <f ca="1">IF(D129="","",COUNTIF($D$9:INDIRECT("D"&amp;ROW()),D129))</f>
        <v>50</v>
      </c>
    </row>
    <row r="130" spans="3:12" hidden="1" outlineLevel="1" x14ac:dyDescent="0.2">
      <c r="C130" s="252">
        <v>45969</v>
      </c>
      <c r="D130" s="248" t="s">
        <v>110</v>
      </c>
      <c r="E130" s="248">
        <f t="shared" si="2"/>
        <v>2025</v>
      </c>
      <c r="F130" s="257" t="s">
        <v>172</v>
      </c>
      <c r="G130" s="248" t="str">
        <f t="shared" si="3"/>
        <v>Cashflow</v>
      </c>
      <c r="H130" s="258">
        <v>2475</v>
      </c>
      <c r="I130" s="248">
        <f>IF(Table2[[#This Row],[TYPE]]="Given",Table2[[#This Row],[AMOUNT (₹)]],0)</f>
        <v>0</v>
      </c>
      <c r="J130" s="248">
        <f>IF(Table2[[#This Row],[TYPE]]="Received",Table2[[#This Row],[AMOUNT (₹)]],0)</f>
        <v>2475</v>
      </c>
      <c r="K130" s="248" t="s">
        <v>779</v>
      </c>
      <c r="L130" s="259">
        <f ca="1">IF(D130="","",COUNTIF($D$9:INDIRECT("D"&amp;ROW()),D130))</f>
        <v>5</v>
      </c>
    </row>
    <row r="131" spans="3:12" hidden="1" outlineLevel="1" x14ac:dyDescent="0.2">
      <c r="C131" s="252">
        <v>45973</v>
      </c>
      <c r="D131" s="248" t="s">
        <v>95</v>
      </c>
      <c r="E131" s="248">
        <f t="shared" si="2"/>
        <v>2025</v>
      </c>
      <c r="F131" s="257" t="s">
        <v>171</v>
      </c>
      <c r="G131" s="248" t="str">
        <f t="shared" si="3"/>
        <v>Cashflow</v>
      </c>
      <c r="H131" s="258">
        <v>2000</v>
      </c>
      <c r="I131" s="248">
        <f>IF(Table2[[#This Row],[TYPE]]="Given",Table2[[#This Row],[AMOUNT (₹)]],0)</f>
        <v>2000</v>
      </c>
      <c r="J131" s="248">
        <f>IF(Table2[[#This Row],[TYPE]]="Received",Table2[[#This Row],[AMOUNT (₹)]],0)</f>
        <v>0</v>
      </c>
      <c r="K131" s="248" t="s">
        <v>769</v>
      </c>
      <c r="L131" s="259">
        <f ca="1">IF(D131="","",COUNTIF($D$9:INDIRECT("D"&amp;ROW()),D131))</f>
        <v>2</v>
      </c>
    </row>
    <row r="132" spans="3:12" hidden="1" outlineLevel="1" x14ac:dyDescent="0.2">
      <c r="C132" s="252">
        <v>45973</v>
      </c>
      <c r="D132" s="248" t="s">
        <v>95</v>
      </c>
      <c r="E132" s="248">
        <f t="shared" si="2"/>
        <v>2025</v>
      </c>
      <c r="F132" s="257" t="s">
        <v>171</v>
      </c>
      <c r="G132" s="248" t="str">
        <f t="shared" si="3"/>
        <v>Cashflow</v>
      </c>
      <c r="H132" s="258">
        <v>5000</v>
      </c>
      <c r="I132" s="248">
        <f>IF(Table2[[#This Row],[TYPE]]="Given",Table2[[#This Row],[AMOUNT (₹)]],0)</f>
        <v>5000</v>
      </c>
      <c r="J132" s="248">
        <f>IF(Table2[[#This Row],[TYPE]]="Received",Table2[[#This Row],[AMOUNT (₹)]],0)</f>
        <v>0</v>
      </c>
      <c r="K132" s="248" t="s">
        <v>769</v>
      </c>
      <c r="L132" s="259">
        <f ca="1">IF(D132="","",COUNTIF($D$9:INDIRECT("D"&amp;ROW()),D132))</f>
        <v>3</v>
      </c>
    </row>
    <row r="133" spans="3:12" hidden="1" outlineLevel="1" x14ac:dyDescent="0.2">
      <c r="C133" s="252">
        <v>45974</v>
      </c>
      <c r="D133" s="248" t="s">
        <v>87</v>
      </c>
      <c r="E133" s="248">
        <f t="shared" si="2"/>
        <v>2025</v>
      </c>
      <c r="F133" s="257" t="s">
        <v>172</v>
      </c>
      <c r="G133" s="248" t="str">
        <f t="shared" si="3"/>
        <v>Cashflow</v>
      </c>
      <c r="H133" s="258">
        <v>22511</v>
      </c>
      <c r="I133" s="248">
        <f>IF(Table2[[#This Row],[TYPE]]="Given",Table2[[#This Row],[AMOUNT (₹)]],0)</f>
        <v>0</v>
      </c>
      <c r="J133" s="248">
        <f>IF(Table2[[#This Row],[TYPE]]="Received",Table2[[#This Row],[AMOUNT (₹)]],0)</f>
        <v>22511</v>
      </c>
      <c r="K133" s="248" t="s">
        <v>236</v>
      </c>
      <c r="L133" s="259">
        <f ca="1">IF(D133="","",COUNTIF($D$9:INDIRECT("D"&amp;ROW()),D133))</f>
        <v>51</v>
      </c>
    </row>
    <row r="134" spans="3:12" hidden="1" outlineLevel="1" x14ac:dyDescent="0.2">
      <c r="C134" s="252">
        <v>45974</v>
      </c>
      <c r="D134" s="248" t="s">
        <v>99</v>
      </c>
      <c r="E134" s="248">
        <f t="shared" si="2"/>
        <v>2025</v>
      </c>
      <c r="F134" s="257" t="s">
        <v>171</v>
      </c>
      <c r="G134" s="248" t="str">
        <f t="shared" si="3"/>
        <v>Cashflow</v>
      </c>
      <c r="H134" s="258">
        <v>1093</v>
      </c>
      <c r="I134" s="248">
        <f>IF(Table2[[#This Row],[TYPE]]="Given",Table2[[#This Row],[AMOUNT (₹)]],0)</f>
        <v>1093</v>
      </c>
      <c r="J134" s="248">
        <f>IF(Table2[[#This Row],[TYPE]]="Received",Table2[[#This Row],[AMOUNT (₹)]],0)</f>
        <v>0</v>
      </c>
      <c r="K134" s="248" t="s">
        <v>780</v>
      </c>
      <c r="L134" s="259">
        <f ca="1">IF(D134="","",COUNTIF($D$9:INDIRECT("D"&amp;ROW()),D134))</f>
        <v>2</v>
      </c>
    </row>
    <row r="135" spans="3:12" hidden="1" outlineLevel="1" x14ac:dyDescent="0.2">
      <c r="C135" s="252">
        <v>45976</v>
      </c>
      <c r="D135" s="248" t="s">
        <v>99</v>
      </c>
      <c r="E135" s="248">
        <f t="shared" si="2"/>
        <v>2025</v>
      </c>
      <c r="F135" s="257" t="s">
        <v>171</v>
      </c>
      <c r="G135" s="248" t="str">
        <f t="shared" si="3"/>
        <v>Cashflow</v>
      </c>
      <c r="H135" s="258">
        <v>1110</v>
      </c>
      <c r="I135" s="248">
        <f>IF(Table2[[#This Row],[TYPE]]="Given",Table2[[#This Row],[AMOUNT (₹)]],0)</f>
        <v>1110</v>
      </c>
      <c r="J135" s="248">
        <f>IF(Table2[[#This Row],[TYPE]]="Received",Table2[[#This Row],[AMOUNT (₹)]],0)</f>
        <v>0</v>
      </c>
      <c r="K135" s="248" t="s">
        <v>780</v>
      </c>
      <c r="L135" s="259">
        <f ca="1">IF(D135="","",COUNTIF($D$9:INDIRECT("D"&amp;ROW()),D135))</f>
        <v>3</v>
      </c>
    </row>
    <row r="136" spans="3:12" hidden="1" outlineLevel="1" x14ac:dyDescent="0.2">
      <c r="C136" s="252">
        <v>45982</v>
      </c>
      <c r="D136" s="248" t="s">
        <v>95</v>
      </c>
      <c r="E136" s="248">
        <f t="shared" si="2"/>
        <v>2025</v>
      </c>
      <c r="F136" s="257" t="s">
        <v>171</v>
      </c>
      <c r="G136" s="248" t="str">
        <f t="shared" si="3"/>
        <v>Cashflow</v>
      </c>
      <c r="H136" s="258">
        <v>5000</v>
      </c>
      <c r="I136" s="248">
        <f>IF(Table2[[#This Row],[TYPE]]="Given",Table2[[#This Row],[AMOUNT (₹)]],0)</f>
        <v>5000</v>
      </c>
      <c r="J136" s="248">
        <f>IF(Table2[[#This Row],[TYPE]]="Received",Table2[[#This Row],[AMOUNT (₹)]],0)</f>
        <v>0</v>
      </c>
      <c r="K136" s="248" t="s">
        <v>769</v>
      </c>
      <c r="L136" s="259">
        <f ca="1">IF(D136="","",COUNTIF($D$9:INDIRECT("D"&amp;ROW()),D136))</f>
        <v>4</v>
      </c>
    </row>
    <row r="137" spans="3:12" hidden="1" outlineLevel="1" x14ac:dyDescent="0.2">
      <c r="C137" s="252">
        <v>45988</v>
      </c>
      <c r="D137" s="248" t="s">
        <v>101</v>
      </c>
      <c r="E137" s="248">
        <f t="shared" ref="E137:E200" si="4">IFERROR(YEAR(C137),"")</f>
        <v>2025</v>
      </c>
      <c r="F137" s="253" t="s">
        <v>171</v>
      </c>
      <c r="G137" s="248" t="str">
        <f t="shared" ref="G137:G200" si="5">$F$6</f>
        <v>Cashflow</v>
      </c>
      <c r="H137" s="248">
        <v>500</v>
      </c>
      <c r="I137" s="248">
        <f>IF(Table2[[#This Row],[TYPE]]="Given",Table2[[#This Row],[AMOUNT (₹)]],0)</f>
        <v>500</v>
      </c>
      <c r="J137" s="248">
        <f>IF(Table2[[#This Row],[TYPE]]="Received",Table2[[#This Row],[AMOUNT (₹)]],0)</f>
        <v>0</v>
      </c>
      <c r="L137" s="259">
        <f ca="1">IF(D137="","",COUNTIF($D$9:INDIRECT("D"&amp;ROW()),D137))</f>
        <v>5</v>
      </c>
    </row>
    <row r="138" spans="3:12" hidden="1" outlineLevel="1" x14ac:dyDescent="0.2">
      <c r="C138" s="252">
        <v>45989</v>
      </c>
      <c r="D138" s="248" t="s">
        <v>95</v>
      </c>
      <c r="E138" s="248">
        <f t="shared" si="4"/>
        <v>2025</v>
      </c>
      <c r="F138" s="257" t="s">
        <v>171</v>
      </c>
      <c r="G138" s="248" t="str">
        <f t="shared" si="5"/>
        <v>Cashflow</v>
      </c>
      <c r="H138" s="258">
        <v>8000</v>
      </c>
      <c r="I138" s="248">
        <f>IF(Table2[[#This Row],[TYPE]]="Given",Table2[[#This Row],[AMOUNT (₹)]],0)</f>
        <v>8000</v>
      </c>
      <c r="J138" s="248">
        <f>IF(Table2[[#This Row],[TYPE]]="Received",Table2[[#This Row],[AMOUNT (₹)]],0)</f>
        <v>0</v>
      </c>
      <c r="K138" s="248" t="s">
        <v>781</v>
      </c>
      <c r="L138" s="259">
        <f ca="1">IF(D138="","",COUNTIF($D$9:INDIRECT("D"&amp;ROW()),D138))</f>
        <v>5</v>
      </c>
    </row>
    <row r="139" spans="3:12" hidden="1" outlineLevel="1" x14ac:dyDescent="0.2">
      <c r="C139" s="252">
        <v>45991</v>
      </c>
      <c r="D139" s="248" t="s">
        <v>95</v>
      </c>
      <c r="E139" s="248">
        <f t="shared" si="4"/>
        <v>2025</v>
      </c>
      <c r="F139" s="257" t="s">
        <v>171</v>
      </c>
      <c r="G139" s="248" t="str">
        <f t="shared" si="5"/>
        <v>Cashflow</v>
      </c>
      <c r="H139" s="258">
        <v>20000</v>
      </c>
      <c r="I139" s="248">
        <f>IF(Table2[[#This Row],[TYPE]]="Given",Table2[[#This Row],[AMOUNT (₹)]],0)</f>
        <v>20000</v>
      </c>
      <c r="J139" s="248">
        <f>IF(Table2[[#This Row],[TYPE]]="Received",Table2[[#This Row],[AMOUNT (₹)]],0)</f>
        <v>0</v>
      </c>
      <c r="K139" s="248" t="s">
        <v>781</v>
      </c>
      <c r="L139" s="259">
        <f ca="1">IF(D139="","",COUNTIF($D$9:INDIRECT("D"&amp;ROW()),D139))</f>
        <v>6</v>
      </c>
    </row>
    <row r="140" spans="3:12" hidden="1" outlineLevel="1" x14ac:dyDescent="0.2">
      <c r="C140" s="252">
        <v>45992</v>
      </c>
      <c r="D140" s="248" t="s">
        <v>95</v>
      </c>
      <c r="E140" s="248">
        <f t="shared" si="4"/>
        <v>2025</v>
      </c>
      <c r="F140" s="257" t="s">
        <v>171</v>
      </c>
      <c r="G140" s="248" t="str">
        <f t="shared" si="5"/>
        <v>Cashflow</v>
      </c>
      <c r="H140" s="258">
        <v>10000</v>
      </c>
      <c r="I140" s="248">
        <f>IF(Table2[[#This Row],[TYPE]]="Given",Table2[[#This Row],[AMOUNT (₹)]],0)</f>
        <v>10000</v>
      </c>
      <c r="J140" s="248">
        <f>IF(Table2[[#This Row],[TYPE]]="Received",Table2[[#This Row],[AMOUNT (₹)]],0)</f>
        <v>0</v>
      </c>
      <c r="K140" s="248" t="s">
        <v>781</v>
      </c>
      <c r="L140" s="259">
        <f ca="1">IF(D140="","",COUNTIF($D$9:INDIRECT("D"&amp;ROW()),D140))</f>
        <v>7</v>
      </c>
    </row>
    <row r="141" spans="3:12" hidden="1" outlineLevel="1" x14ac:dyDescent="0.2">
      <c r="C141" s="252">
        <v>45992</v>
      </c>
      <c r="D141" s="248" t="s">
        <v>99</v>
      </c>
      <c r="E141" s="248">
        <f t="shared" si="4"/>
        <v>2025</v>
      </c>
      <c r="F141" s="257" t="s">
        <v>171</v>
      </c>
      <c r="G141" s="248" t="str">
        <f t="shared" si="5"/>
        <v>Cashflow</v>
      </c>
      <c r="H141" s="258">
        <v>1081</v>
      </c>
      <c r="I141" s="248">
        <f>IF(Table2[[#This Row],[TYPE]]="Given",Table2[[#This Row],[AMOUNT (₹)]],0)</f>
        <v>1081</v>
      </c>
      <c r="J141" s="248">
        <f>IF(Table2[[#This Row],[TYPE]]="Received",Table2[[#This Row],[AMOUNT (₹)]],0)</f>
        <v>0</v>
      </c>
      <c r="K141" s="248" t="s">
        <v>780</v>
      </c>
      <c r="L141" s="259">
        <f ca="1">IF(D141="","",COUNTIF($D$9:INDIRECT("D"&amp;ROW()),D141))</f>
        <v>4</v>
      </c>
    </row>
    <row r="142" spans="3:12" hidden="1" outlineLevel="1" x14ac:dyDescent="0.2">
      <c r="C142" s="252">
        <v>45993</v>
      </c>
      <c r="D142" s="248" t="s">
        <v>100</v>
      </c>
      <c r="E142" s="248">
        <f t="shared" si="4"/>
        <v>2025</v>
      </c>
      <c r="F142" s="253" t="s">
        <v>171</v>
      </c>
      <c r="G142" s="248" t="str">
        <f t="shared" si="5"/>
        <v>Cashflow</v>
      </c>
      <c r="H142" s="248">
        <v>12130</v>
      </c>
      <c r="I142" s="248">
        <f>IF(Table2[[#This Row],[TYPE]]="Given",Table2[[#This Row],[AMOUNT (₹)]],0)</f>
        <v>12130</v>
      </c>
      <c r="J142" s="248">
        <f>IF(Table2[[#This Row],[TYPE]]="Received",Table2[[#This Row],[AMOUNT (₹)]],0)</f>
        <v>0</v>
      </c>
      <c r="K142" s="248" t="s">
        <v>782</v>
      </c>
      <c r="L142" s="259">
        <f ca="1">IF(D142="","",COUNTIF($D$9:INDIRECT("D"&amp;ROW()),D142))</f>
        <v>7</v>
      </c>
    </row>
    <row r="143" spans="3:12" hidden="1" outlineLevel="1" x14ac:dyDescent="0.2">
      <c r="C143" s="252">
        <v>45994</v>
      </c>
      <c r="D143" s="248" t="s">
        <v>95</v>
      </c>
      <c r="E143" s="248">
        <f t="shared" si="4"/>
        <v>2025</v>
      </c>
      <c r="F143" s="257" t="s">
        <v>171</v>
      </c>
      <c r="G143" s="248" t="str">
        <f t="shared" si="5"/>
        <v>Cashflow</v>
      </c>
      <c r="H143" s="258">
        <v>10000</v>
      </c>
      <c r="I143" s="248">
        <f>IF(Table2[[#This Row],[TYPE]]="Given",Table2[[#This Row],[AMOUNT (₹)]],0)</f>
        <v>10000</v>
      </c>
      <c r="J143" s="248">
        <f>IF(Table2[[#This Row],[TYPE]]="Received",Table2[[#This Row],[AMOUNT (₹)]],0)</f>
        <v>0</v>
      </c>
      <c r="K143" s="248" t="s">
        <v>781</v>
      </c>
      <c r="L143" s="259">
        <f ca="1">IF(D143="","",COUNTIF($D$9:INDIRECT("D"&amp;ROW()),D143))</f>
        <v>8</v>
      </c>
    </row>
    <row r="144" spans="3:12" hidden="1" outlineLevel="1" x14ac:dyDescent="0.2">
      <c r="C144" s="252">
        <v>45996</v>
      </c>
      <c r="D144" s="248" t="s">
        <v>95</v>
      </c>
      <c r="E144" s="248">
        <f t="shared" si="4"/>
        <v>2025</v>
      </c>
      <c r="F144" s="257" t="s">
        <v>171</v>
      </c>
      <c r="G144" s="248" t="str">
        <f t="shared" si="5"/>
        <v>Cashflow</v>
      </c>
      <c r="H144" s="258">
        <v>5000</v>
      </c>
      <c r="I144" s="248">
        <f>IF(Table2[[#This Row],[TYPE]]="Given",Table2[[#This Row],[AMOUNT (₹)]],0)</f>
        <v>5000</v>
      </c>
      <c r="J144" s="248">
        <f>IF(Table2[[#This Row],[TYPE]]="Received",Table2[[#This Row],[AMOUNT (₹)]],0)</f>
        <v>0</v>
      </c>
      <c r="K144" s="248" t="s">
        <v>781</v>
      </c>
      <c r="L144" s="259">
        <f ca="1">IF(D144="","",COUNTIF($D$9:INDIRECT("D"&amp;ROW()),D144))</f>
        <v>9</v>
      </c>
    </row>
    <row r="145" spans="3:12" hidden="1" outlineLevel="1" x14ac:dyDescent="0.2">
      <c r="C145" s="252">
        <v>45997</v>
      </c>
      <c r="D145" s="248" t="s">
        <v>99</v>
      </c>
      <c r="E145" s="248">
        <f t="shared" si="4"/>
        <v>2025</v>
      </c>
      <c r="F145" s="257" t="s">
        <v>171</v>
      </c>
      <c r="G145" s="248" t="str">
        <f t="shared" si="5"/>
        <v>Cashflow</v>
      </c>
      <c r="H145" s="258">
        <v>1084</v>
      </c>
      <c r="I145" s="248">
        <f>IF(Table2[[#This Row],[TYPE]]="Given",Table2[[#This Row],[AMOUNT (₹)]],0)</f>
        <v>1084</v>
      </c>
      <c r="J145" s="248">
        <f>IF(Table2[[#This Row],[TYPE]]="Received",Table2[[#This Row],[AMOUNT (₹)]],0)</f>
        <v>0</v>
      </c>
      <c r="K145" s="248" t="s">
        <v>780</v>
      </c>
      <c r="L145" s="259">
        <f ca="1">IF(D145="","",COUNTIF($D$9:INDIRECT("D"&amp;ROW()),D145))</f>
        <v>5</v>
      </c>
    </row>
    <row r="146" spans="3:12" hidden="1" outlineLevel="1" x14ac:dyDescent="0.2">
      <c r="C146" s="252">
        <v>45997</v>
      </c>
      <c r="D146" s="248" t="s">
        <v>101</v>
      </c>
      <c r="E146" s="248">
        <f t="shared" si="4"/>
        <v>2025</v>
      </c>
      <c r="F146" s="253" t="s">
        <v>171</v>
      </c>
      <c r="G146" s="248" t="str">
        <f t="shared" si="5"/>
        <v>Cashflow</v>
      </c>
      <c r="H146" s="248">
        <v>5000</v>
      </c>
      <c r="I146" s="248">
        <f>IF(Table2[[#This Row],[TYPE]]="Given",Table2[[#This Row],[AMOUNT (₹)]],0)</f>
        <v>5000</v>
      </c>
      <c r="J146" s="248">
        <f>IF(Table2[[#This Row],[TYPE]]="Received",Table2[[#This Row],[AMOUNT (₹)]],0)</f>
        <v>0</v>
      </c>
      <c r="K146" s="248" t="s">
        <v>783</v>
      </c>
      <c r="L146" s="259">
        <f ca="1">IF(D146="","",COUNTIF($D$9:INDIRECT("D"&amp;ROW()),D146))</f>
        <v>6</v>
      </c>
    </row>
    <row r="147" spans="3:12" hidden="1" outlineLevel="1" x14ac:dyDescent="0.2">
      <c r="C147" s="252">
        <v>45998</v>
      </c>
      <c r="D147" s="248" t="s">
        <v>74</v>
      </c>
      <c r="E147" s="248">
        <f t="shared" si="4"/>
        <v>2025</v>
      </c>
      <c r="F147" s="257" t="s">
        <v>171</v>
      </c>
      <c r="G147" s="248" t="str">
        <f t="shared" si="5"/>
        <v>Cashflow</v>
      </c>
      <c r="H147" s="258">
        <v>35003</v>
      </c>
      <c r="I147" s="248">
        <f>IF(Table2[[#This Row],[TYPE]]="Given",Table2[[#This Row],[AMOUNT (₹)]],0)</f>
        <v>35003</v>
      </c>
      <c r="J147" s="248">
        <f>IF(Table2[[#This Row],[TYPE]]="Received",Table2[[#This Row],[AMOUNT (₹)]],0)</f>
        <v>0</v>
      </c>
      <c r="K147" s="248" t="s">
        <v>784</v>
      </c>
      <c r="L147" s="259">
        <f ca="1">IF(D147="","",COUNTIF($D$9:INDIRECT("D"&amp;ROW()),D147))</f>
        <v>1</v>
      </c>
    </row>
    <row r="148" spans="3:12" hidden="1" outlineLevel="1" x14ac:dyDescent="0.2">
      <c r="C148" s="252">
        <v>45998</v>
      </c>
      <c r="D148" s="248" t="s">
        <v>74</v>
      </c>
      <c r="E148" s="248">
        <f t="shared" si="4"/>
        <v>2025</v>
      </c>
      <c r="F148" s="257" t="s">
        <v>172</v>
      </c>
      <c r="G148" s="248" t="str">
        <f t="shared" si="5"/>
        <v>Cashflow</v>
      </c>
      <c r="H148" s="258">
        <v>10000</v>
      </c>
      <c r="I148" s="248">
        <f>IF(Table2[[#This Row],[TYPE]]="Given",Table2[[#This Row],[AMOUNT (₹)]],0)</f>
        <v>0</v>
      </c>
      <c r="J148" s="248">
        <f>IF(Table2[[#This Row],[TYPE]]="Received",Table2[[#This Row],[AMOUNT (₹)]],0)</f>
        <v>10000</v>
      </c>
      <c r="K148" s="248" t="s">
        <v>236</v>
      </c>
      <c r="L148" s="259">
        <f ca="1">IF(D148="","",COUNTIF($D$9:INDIRECT("D"&amp;ROW()),D148))</f>
        <v>2</v>
      </c>
    </row>
    <row r="149" spans="3:12" hidden="1" outlineLevel="1" x14ac:dyDescent="0.2">
      <c r="C149" s="252">
        <v>45998</v>
      </c>
      <c r="D149" s="248" t="s">
        <v>95</v>
      </c>
      <c r="E149" s="248">
        <f t="shared" si="4"/>
        <v>2025</v>
      </c>
      <c r="F149" s="257" t="s">
        <v>171</v>
      </c>
      <c r="G149" s="248" t="str">
        <f t="shared" si="5"/>
        <v>Cashflow</v>
      </c>
      <c r="H149" s="258">
        <v>5000</v>
      </c>
      <c r="I149" s="248">
        <f>IF(Table2[[#This Row],[TYPE]]="Given",Table2[[#This Row],[AMOUNT (₹)]],0)</f>
        <v>5000</v>
      </c>
      <c r="J149" s="248">
        <f>IF(Table2[[#This Row],[TYPE]]="Received",Table2[[#This Row],[AMOUNT (₹)]],0)</f>
        <v>0</v>
      </c>
      <c r="K149" s="248" t="s">
        <v>769</v>
      </c>
      <c r="L149" s="259">
        <f ca="1">IF(D149="","",COUNTIF($D$9:INDIRECT("D"&amp;ROW()),D149))</f>
        <v>10</v>
      </c>
    </row>
    <row r="150" spans="3:12" hidden="1" outlineLevel="1" x14ac:dyDescent="0.2">
      <c r="C150" s="252">
        <v>46000</v>
      </c>
      <c r="D150" s="248" t="s">
        <v>95</v>
      </c>
      <c r="E150" s="248">
        <f t="shared" si="4"/>
        <v>2025</v>
      </c>
      <c r="F150" s="257" t="s">
        <v>171</v>
      </c>
      <c r="G150" s="248" t="str">
        <f t="shared" si="5"/>
        <v>Cashflow</v>
      </c>
      <c r="H150" s="258">
        <v>10000</v>
      </c>
      <c r="I150" s="248">
        <f>IF(Table2[[#This Row],[TYPE]]="Given",Table2[[#This Row],[AMOUNT (₹)]],0)</f>
        <v>10000</v>
      </c>
      <c r="J150" s="248">
        <f>IF(Table2[[#This Row],[TYPE]]="Received",Table2[[#This Row],[AMOUNT (₹)]],0)</f>
        <v>0</v>
      </c>
      <c r="K150" s="248" t="s">
        <v>769</v>
      </c>
      <c r="L150" s="259">
        <f ca="1">IF(D150="","",COUNTIF($D$9:INDIRECT("D"&amp;ROW()),D150))</f>
        <v>11</v>
      </c>
    </row>
    <row r="151" spans="3:12" hidden="1" outlineLevel="1" x14ac:dyDescent="0.2">
      <c r="C151" s="252">
        <v>46001</v>
      </c>
      <c r="D151" s="248" t="s">
        <v>95</v>
      </c>
      <c r="E151" s="248">
        <f t="shared" si="4"/>
        <v>2025</v>
      </c>
      <c r="F151" s="257" t="s">
        <v>171</v>
      </c>
      <c r="G151" s="248" t="str">
        <f t="shared" si="5"/>
        <v>Cashflow</v>
      </c>
      <c r="H151" s="258">
        <v>5000</v>
      </c>
      <c r="I151" s="248">
        <f>IF(Table2[[#This Row],[TYPE]]="Given",Table2[[#This Row],[AMOUNT (₹)]],0)</f>
        <v>5000</v>
      </c>
      <c r="J151" s="248">
        <f>IF(Table2[[#This Row],[TYPE]]="Received",Table2[[#This Row],[AMOUNT (₹)]],0)</f>
        <v>0</v>
      </c>
      <c r="K151" s="248" t="s">
        <v>769</v>
      </c>
      <c r="L151" s="259">
        <f ca="1">IF(D151="","",COUNTIF($D$9:INDIRECT("D"&amp;ROW()),D151))</f>
        <v>12</v>
      </c>
    </row>
    <row r="152" spans="3:12" hidden="1" outlineLevel="1" x14ac:dyDescent="0.2">
      <c r="C152" s="252">
        <v>46003</v>
      </c>
      <c r="D152" s="248" t="s">
        <v>95</v>
      </c>
      <c r="E152" s="248">
        <f t="shared" si="4"/>
        <v>2025</v>
      </c>
      <c r="F152" s="257" t="s">
        <v>171</v>
      </c>
      <c r="G152" s="248" t="str">
        <f t="shared" si="5"/>
        <v>Cashflow</v>
      </c>
      <c r="H152" s="258">
        <v>5000</v>
      </c>
      <c r="I152" s="248">
        <f>IF(Table2[[#This Row],[TYPE]]="Given",Table2[[#This Row],[AMOUNT (₹)]],0)</f>
        <v>5000</v>
      </c>
      <c r="J152" s="248">
        <f>IF(Table2[[#This Row],[TYPE]]="Received",Table2[[#This Row],[AMOUNT (₹)]],0)</f>
        <v>0</v>
      </c>
      <c r="K152" s="248" t="s">
        <v>769</v>
      </c>
      <c r="L152" s="259">
        <f ca="1">IF(D152="","",COUNTIF($D$9:INDIRECT("D"&amp;ROW()),D152))</f>
        <v>13</v>
      </c>
    </row>
    <row r="153" spans="3:12" hidden="1" outlineLevel="1" x14ac:dyDescent="0.2">
      <c r="C153" s="252">
        <v>46004</v>
      </c>
      <c r="D153" s="248" t="s">
        <v>101</v>
      </c>
      <c r="E153" s="248">
        <f t="shared" si="4"/>
        <v>2025</v>
      </c>
      <c r="F153" s="253" t="s">
        <v>171</v>
      </c>
      <c r="G153" s="248" t="str">
        <f t="shared" si="5"/>
        <v>Cashflow</v>
      </c>
      <c r="H153" s="248">
        <v>3000</v>
      </c>
      <c r="I153" s="248">
        <f>IF(Table2[[#This Row],[TYPE]]="Given",Table2[[#This Row],[AMOUNT (₹)]],0)</f>
        <v>3000</v>
      </c>
      <c r="J153" s="248">
        <f>IF(Table2[[#This Row],[TYPE]]="Received",Table2[[#This Row],[AMOUNT (₹)]],0)</f>
        <v>0</v>
      </c>
      <c r="K153" s="248" t="s">
        <v>785</v>
      </c>
      <c r="L153" s="259">
        <f ca="1">IF(D153="","",COUNTIF($D$9:INDIRECT("D"&amp;ROW()),D153))</f>
        <v>7</v>
      </c>
    </row>
    <row r="154" spans="3:12" hidden="1" outlineLevel="1" x14ac:dyDescent="0.2">
      <c r="C154" s="252">
        <v>46004</v>
      </c>
      <c r="D154" s="248" t="s">
        <v>101</v>
      </c>
      <c r="E154" s="248">
        <f t="shared" si="4"/>
        <v>2025</v>
      </c>
      <c r="F154" s="253" t="s">
        <v>172</v>
      </c>
      <c r="G154" s="248" t="str">
        <f t="shared" si="5"/>
        <v>Cashflow</v>
      </c>
      <c r="H154" s="248">
        <v>1500</v>
      </c>
      <c r="I154" s="248">
        <f>IF(Table2[[#This Row],[TYPE]]="Given",Table2[[#This Row],[AMOUNT (₹)]],0)</f>
        <v>0</v>
      </c>
      <c r="J154" s="248">
        <f>IF(Table2[[#This Row],[TYPE]]="Received",Table2[[#This Row],[AMOUNT (₹)]],0)</f>
        <v>1500</v>
      </c>
      <c r="K154" s="248" t="s">
        <v>785</v>
      </c>
      <c r="L154" s="259">
        <f ca="1">IF(D154="","",COUNTIF($D$9:INDIRECT("D"&amp;ROW()),D154))</f>
        <v>8</v>
      </c>
    </row>
    <row r="155" spans="3:12" hidden="1" outlineLevel="1" x14ac:dyDescent="0.2">
      <c r="C155" s="252">
        <v>46005</v>
      </c>
      <c r="D155" s="248" t="s">
        <v>95</v>
      </c>
      <c r="E155" s="248">
        <f t="shared" si="4"/>
        <v>2025</v>
      </c>
      <c r="F155" s="257" t="s">
        <v>171</v>
      </c>
      <c r="G155" s="248" t="str">
        <f t="shared" si="5"/>
        <v>Cashflow</v>
      </c>
      <c r="H155" s="258">
        <v>10000</v>
      </c>
      <c r="I155" s="248">
        <f>IF(Table2[[#This Row],[TYPE]]="Given",Table2[[#This Row],[AMOUNT (₹)]],0)</f>
        <v>10000</v>
      </c>
      <c r="J155" s="248">
        <f>IF(Table2[[#This Row],[TYPE]]="Received",Table2[[#This Row],[AMOUNT (₹)]],0)</f>
        <v>0</v>
      </c>
      <c r="K155" s="248" t="s">
        <v>769</v>
      </c>
      <c r="L155" s="259">
        <f ca="1">IF(D155="","",COUNTIF($D$9:INDIRECT("D"&amp;ROW()),D155))</f>
        <v>14</v>
      </c>
    </row>
    <row r="156" spans="3:12" hidden="1" outlineLevel="1" x14ac:dyDescent="0.2">
      <c r="C156" s="252">
        <v>46005</v>
      </c>
      <c r="D156" s="248" t="s">
        <v>101</v>
      </c>
      <c r="E156" s="248">
        <f t="shared" si="4"/>
        <v>2025</v>
      </c>
      <c r="F156" s="253" t="s">
        <v>171</v>
      </c>
      <c r="G156" s="248" t="str">
        <f t="shared" si="5"/>
        <v>Cashflow</v>
      </c>
      <c r="H156" s="248">
        <v>500</v>
      </c>
      <c r="I156" s="248">
        <f>IF(Table2[[#This Row],[TYPE]]="Given",Table2[[#This Row],[AMOUNT (₹)]],0)</f>
        <v>500</v>
      </c>
      <c r="J156" s="248">
        <f>IF(Table2[[#This Row],[TYPE]]="Received",Table2[[#This Row],[AMOUNT (₹)]],0)</f>
        <v>0</v>
      </c>
      <c r="K156" s="248" t="s">
        <v>685</v>
      </c>
      <c r="L156" s="259">
        <f ca="1">IF(D156="","",COUNTIF($D$9:INDIRECT("D"&amp;ROW()),D156))</f>
        <v>9</v>
      </c>
    </row>
    <row r="157" spans="3:12" hidden="1" outlineLevel="1" x14ac:dyDescent="0.2">
      <c r="C157" s="252">
        <v>46006</v>
      </c>
      <c r="D157" s="248" t="s">
        <v>85</v>
      </c>
      <c r="E157" s="248">
        <f t="shared" si="4"/>
        <v>2025</v>
      </c>
      <c r="F157" s="257" t="s">
        <v>172</v>
      </c>
      <c r="G157" s="248" t="str">
        <f t="shared" si="5"/>
        <v>Cashflow</v>
      </c>
      <c r="H157" s="258">
        <v>20000</v>
      </c>
      <c r="I157" s="248">
        <f>IF(Table2[[#This Row],[TYPE]]="Given",Table2[[#This Row],[AMOUNT (₹)]],0)</f>
        <v>0</v>
      </c>
      <c r="J157" s="248">
        <f>IF(Table2[[#This Row],[TYPE]]="Received",Table2[[#This Row],[AMOUNT (₹)]],0)</f>
        <v>20000</v>
      </c>
      <c r="K157" s="248" t="s">
        <v>786</v>
      </c>
      <c r="L157" s="259">
        <f ca="1">IF(D157="","",COUNTIF($D$9:INDIRECT("D"&amp;ROW()),D157))</f>
        <v>5</v>
      </c>
    </row>
    <row r="158" spans="3:12" hidden="1" outlineLevel="1" x14ac:dyDescent="0.2">
      <c r="C158" s="252">
        <v>46006</v>
      </c>
      <c r="D158" s="248" t="s">
        <v>95</v>
      </c>
      <c r="E158" s="248">
        <f t="shared" si="4"/>
        <v>2025</v>
      </c>
      <c r="F158" s="257" t="s">
        <v>171</v>
      </c>
      <c r="G158" s="248" t="str">
        <f t="shared" si="5"/>
        <v>Cashflow</v>
      </c>
      <c r="H158" s="258">
        <v>20000</v>
      </c>
      <c r="I158" s="248">
        <f>IF(Table2[[#This Row],[TYPE]]="Given",Table2[[#This Row],[AMOUNT (₹)]],0)</f>
        <v>20000</v>
      </c>
      <c r="J158" s="248">
        <f>IF(Table2[[#This Row],[TYPE]]="Received",Table2[[#This Row],[AMOUNT (₹)]],0)</f>
        <v>0</v>
      </c>
      <c r="K158" s="248" t="s">
        <v>769</v>
      </c>
      <c r="L158" s="259">
        <f ca="1">IF(D158="","",COUNTIF($D$9:INDIRECT("D"&amp;ROW()),D158))</f>
        <v>15</v>
      </c>
    </row>
    <row r="159" spans="3:12" hidden="1" outlineLevel="1" x14ac:dyDescent="0.2">
      <c r="C159" s="252">
        <v>46007</v>
      </c>
      <c r="D159" s="248" t="s">
        <v>95</v>
      </c>
      <c r="E159" s="248">
        <f t="shared" si="4"/>
        <v>2025</v>
      </c>
      <c r="F159" s="257" t="s">
        <v>171</v>
      </c>
      <c r="G159" s="248" t="str">
        <f t="shared" si="5"/>
        <v>Cashflow</v>
      </c>
      <c r="H159" s="258">
        <v>7000</v>
      </c>
      <c r="I159" s="248">
        <f>IF(Table2[[#This Row],[TYPE]]="Given",Table2[[#This Row],[AMOUNT (₹)]],0)</f>
        <v>7000</v>
      </c>
      <c r="J159" s="248">
        <f>IF(Table2[[#This Row],[TYPE]]="Received",Table2[[#This Row],[AMOUNT (₹)]],0)</f>
        <v>0</v>
      </c>
      <c r="K159" s="248" t="s">
        <v>769</v>
      </c>
      <c r="L159" s="259">
        <f ca="1">IF(D159="","",COUNTIF($D$9:INDIRECT("D"&amp;ROW()),D159))</f>
        <v>16</v>
      </c>
    </row>
    <row r="160" spans="3:12" hidden="1" outlineLevel="1" x14ac:dyDescent="0.2">
      <c r="C160" s="252">
        <v>46008</v>
      </c>
      <c r="D160" s="248" t="s">
        <v>95</v>
      </c>
      <c r="E160" s="248">
        <f t="shared" si="4"/>
        <v>2025</v>
      </c>
      <c r="F160" s="257" t="s">
        <v>171</v>
      </c>
      <c r="G160" s="248" t="str">
        <f t="shared" si="5"/>
        <v>Cashflow</v>
      </c>
      <c r="H160" s="258">
        <v>13000</v>
      </c>
      <c r="I160" s="248">
        <f>IF(Table2[[#This Row],[TYPE]]="Given",Table2[[#This Row],[AMOUNT (₹)]],0)</f>
        <v>13000</v>
      </c>
      <c r="J160" s="248">
        <f>IF(Table2[[#This Row],[TYPE]]="Received",Table2[[#This Row],[AMOUNT (₹)]],0)</f>
        <v>0</v>
      </c>
      <c r="K160" s="248" t="s">
        <v>769</v>
      </c>
      <c r="L160" s="259">
        <f ca="1">IF(D160="","",COUNTIF($D$9:INDIRECT("D"&amp;ROW()),D160))</f>
        <v>17</v>
      </c>
    </row>
    <row r="161" spans="3:12" hidden="1" outlineLevel="1" x14ac:dyDescent="0.2">
      <c r="C161" s="252">
        <v>46009</v>
      </c>
      <c r="D161" s="248" t="s">
        <v>85</v>
      </c>
      <c r="E161" s="248">
        <f t="shared" si="4"/>
        <v>2025</v>
      </c>
      <c r="F161" s="257" t="s">
        <v>172</v>
      </c>
      <c r="G161" s="248" t="str">
        <f t="shared" si="5"/>
        <v>Cashflow</v>
      </c>
      <c r="H161" s="258">
        <v>20000</v>
      </c>
      <c r="I161" s="248">
        <f>IF(Table2[[#This Row],[TYPE]]="Given",Table2[[#This Row],[AMOUNT (₹)]],0)</f>
        <v>0</v>
      </c>
      <c r="J161" s="248">
        <f>IF(Table2[[#This Row],[TYPE]]="Received",Table2[[#This Row],[AMOUNT (₹)]],0)</f>
        <v>20000</v>
      </c>
      <c r="K161" s="248" t="s">
        <v>786</v>
      </c>
      <c r="L161" s="259">
        <f ca="1">IF(D161="","",COUNTIF($D$9:INDIRECT("D"&amp;ROW()),D161))</f>
        <v>6</v>
      </c>
    </row>
    <row r="162" spans="3:12" hidden="1" outlineLevel="1" x14ac:dyDescent="0.2">
      <c r="C162" s="252">
        <v>46009</v>
      </c>
      <c r="D162" s="248" t="s">
        <v>95</v>
      </c>
      <c r="E162" s="248">
        <f t="shared" si="4"/>
        <v>2025</v>
      </c>
      <c r="F162" s="257" t="s">
        <v>171</v>
      </c>
      <c r="G162" s="248" t="str">
        <f t="shared" si="5"/>
        <v>Cashflow</v>
      </c>
      <c r="H162" s="258">
        <v>10000</v>
      </c>
      <c r="I162" s="248">
        <f>IF(Table2[[#This Row],[TYPE]]="Given",Table2[[#This Row],[AMOUNT (₹)]],0)</f>
        <v>10000</v>
      </c>
      <c r="J162" s="248">
        <f>IF(Table2[[#This Row],[TYPE]]="Received",Table2[[#This Row],[AMOUNT (₹)]],0)</f>
        <v>0</v>
      </c>
      <c r="K162" s="248" t="s">
        <v>769</v>
      </c>
      <c r="L162" s="259">
        <f ca="1">IF(D162="","",COUNTIF($D$9:INDIRECT("D"&amp;ROW()),D162))</f>
        <v>18</v>
      </c>
    </row>
    <row r="163" spans="3:12" hidden="1" outlineLevel="1" x14ac:dyDescent="0.2">
      <c r="C163" s="252">
        <v>46009</v>
      </c>
      <c r="D163" s="248" t="s">
        <v>99</v>
      </c>
      <c r="E163" s="248">
        <f t="shared" si="4"/>
        <v>2025</v>
      </c>
      <c r="F163" s="257" t="s">
        <v>171</v>
      </c>
      <c r="G163" s="248" t="str">
        <f t="shared" si="5"/>
        <v>Cashflow</v>
      </c>
      <c r="H163" s="258">
        <v>1092</v>
      </c>
      <c r="I163" s="248">
        <f>IF(Table2[[#This Row],[TYPE]]="Given",Table2[[#This Row],[AMOUNT (₹)]],0)</f>
        <v>1092</v>
      </c>
      <c r="J163" s="248">
        <f>IF(Table2[[#This Row],[TYPE]]="Received",Table2[[#This Row],[AMOUNT (₹)]],0)</f>
        <v>0</v>
      </c>
      <c r="K163" s="248" t="s">
        <v>780</v>
      </c>
      <c r="L163" s="259">
        <f ca="1">IF(D163="","",COUNTIF($D$9:INDIRECT("D"&amp;ROW()),D163))</f>
        <v>6</v>
      </c>
    </row>
    <row r="164" spans="3:12" hidden="1" outlineLevel="1" x14ac:dyDescent="0.2">
      <c r="C164" s="252">
        <v>46009</v>
      </c>
      <c r="D164" s="248" t="s">
        <v>99</v>
      </c>
      <c r="E164" s="248">
        <f t="shared" si="4"/>
        <v>2025</v>
      </c>
      <c r="F164" s="257" t="s">
        <v>171</v>
      </c>
      <c r="G164" s="248" t="str">
        <f t="shared" si="5"/>
        <v>Cashflow</v>
      </c>
      <c r="H164" s="258">
        <v>1134</v>
      </c>
      <c r="I164" s="248">
        <f>IF(Table2[[#This Row],[TYPE]]="Given",Table2[[#This Row],[AMOUNT (₹)]],0)</f>
        <v>1134</v>
      </c>
      <c r="J164" s="248">
        <f>IF(Table2[[#This Row],[TYPE]]="Received",Table2[[#This Row],[AMOUNT (₹)]],0)</f>
        <v>0</v>
      </c>
      <c r="K164" s="248" t="s">
        <v>780</v>
      </c>
      <c r="L164" s="259">
        <f ca="1">IF(D164="","",COUNTIF($D$9:INDIRECT("D"&amp;ROW()),D164))</f>
        <v>7</v>
      </c>
    </row>
    <row r="165" spans="3:12" hidden="1" outlineLevel="1" x14ac:dyDescent="0.2">
      <c r="C165" s="252">
        <v>46009</v>
      </c>
      <c r="D165" s="248" t="s">
        <v>99</v>
      </c>
      <c r="E165" s="248">
        <f t="shared" si="4"/>
        <v>2025</v>
      </c>
      <c r="F165" s="257" t="s">
        <v>171</v>
      </c>
      <c r="G165" s="248" t="str">
        <f t="shared" si="5"/>
        <v>Cashflow</v>
      </c>
      <c r="H165" s="258">
        <v>1134</v>
      </c>
      <c r="I165" s="248">
        <f>IF(Table2[[#This Row],[TYPE]]="Given",Table2[[#This Row],[AMOUNT (₹)]],0)</f>
        <v>1134</v>
      </c>
      <c r="J165" s="248">
        <f>IF(Table2[[#This Row],[TYPE]]="Received",Table2[[#This Row],[AMOUNT (₹)]],0)</f>
        <v>0</v>
      </c>
      <c r="K165" s="248" t="s">
        <v>780</v>
      </c>
      <c r="L165" s="259">
        <f ca="1">IF(D165="","",COUNTIF($D$9:INDIRECT("D"&amp;ROW()),D165))</f>
        <v>8</v>
      </c>
    </row>
    <row r="166" spans="3:12" hidden="1" outlineLevel="1" x14ac:dyDescent="0.2">
      <c r="C166" s="252">
        <v>46009</v>
      </c>
      <c r="D166" s="248" t="s">
        <v>99</v>
      </c>
      <c r="E166" s="248">
        <f t="shared" si="4"/>
        <v>2025</v>
      </c>
      <c r="F166" s="257" t="s">
        <v>171</v>
      </c>
      <c r="G166" s="248" t="str">
        <f t="shared" si="5"/>
        <v>Cashflow</v>
      </c>
      <c r="H166" s="258">
        <v>1092</v>
      </c>
      <c r="I166" s="248">
        <f>IF(Table2[[#This Row],[TYPE]]="Given",Table2[[#This Row],[AMOUNT (₹)]],0)</f>
        <v>1092</v>
      </c>
      <c r="J166" s="248">
        <f>IF(Table2[[#This Row],[TYPE]]="Received",Table2[[#This Row],[AMOUNT (₹)]],0)</f>
        <v>0</v>
      </c>
      <c r="K166" s="248" t="s">
        <v>780</v>
      </c>
      <c r="L166" s="259">
        <f ca="1">IF(D166="","",COUNTIF($D$9:INDIRECT("D"&amp;ROW()),D166))</f>
        <v>9</v>
      </c>
    </row>
    <row r="167" spans="3:12" hidden="1" outlineLevel="1" x14ac:dyDescent="0.2">
      <c r="C167" s="252">
        <v>46011</v>
      </c>
      <c r="D167" s="248" t="s">
        <v>95</v>
      </c>
      <c r="E167" s="248">
        <f t="shared" si="4"/>
        <v>2025</v>
      </c>
      <c r="F167" s="257" t="s">
        <v>171</v>
      </c>
      <c r="G167" s="248" t="str">
        <f t="shared" si="5"/>
        <v>Cashflow</v>
      </c>
      <c r="H167" s="258">
        <v>5000</v>
      </c>
      <c r="I167" s="248">
        <f>IF(Table2[[#This Row],[TYPE]]="Given",Table2[[#This Row],[AMOUNT (₹)]],0)</f>
        <v>5000</v>
      </c>
      <c r="J167" s="248">
        <f>IF(Table2[[#This Row],[TYPE]]="Received",Table2[[#This Row],[AMOUNT (₹)]],0)</f>
        <v>0</v>
      </c>
      <c r="K167" s="248" t="s">
        <v>769</v>
      </c>
      <c r="L167" s="259">
        <f ca="1">IF(D167="","",COUNTIF($D$9:INDIRECT("D"&amp;ROW()),D167))</f>
        <v>19</v>
      </c>
    </row>
    <row r="168" spans="3:12" hidden="1" outlineLevel="1" x14ac:dyDescent="0.2">
      <c r="C168" s="252">
        <v>46011</v>
      </c>
      <c r="D168" s="248" t="s">
        <v>95</v>
      </c>
      <c r="E168" s="248">
        <f t="shared" si="4"/>
        <v>2025</v>
      </c>
      <c r="F168" s="257" t="s">
        <v>171</v>
      </c>
      <c r="G168" s="248" t="str">
        <f t="shared" si="5"/>
        <v>Cashflow</v>
      </c>
      <c r="H168" s="258">
        <v>5000</v>
      </c>
      <c r="I168" s="248">
        <f>IF(Table2[[#This Row],[TYPE]]="Given",Table2[[#This Row],[AMOUNT (₹)]],0)</f>
        <v>5000</v>
      </c>
      <c r="J168" s="248">
        <f>IF(Table2[[#This Row],[TYPE]]="Received",Table2[[#This Row],[AMOUNT (₹)]],0)</f>
        <v>0</v>
      </c>
      <c r="K168" s="248" t="s">
        <v>769</v>
      </c>
      <c r="L168" s="259">
        <f ca="1">IF(D168="","",COUNTIF($D$9:INDIRECT("D"&amp;ROW()),D168))</f>
        <v>20</v>
      </c>
    </row>
    <row r="169" spans="3:12" hidden="1" outlineLevel="1" x14ac:dyDescent="0.2">
      <c r="C169" s="252">
        <v>46015</v>
      </c>
      <c r="D169" s="248" t="s">
        <v>85</v>
      </c>
      <c r="E169" s="248">
        <f t="shared" si="4"/>
        <v>2025</v>
      </c>
      <c r="F169" s="257" t="s">
        <v>172</v>
      </c>
      <c r="G169" s="248" t="str">
        <f t="shared" si="5"/>
        <v>Cashflow</v>
      </c>
      <c r="H169" s="258">
        <v>50000</v>
      </c>
      <c r="I169" s="248">
        <f>IF(Table2[[#This Row],[TYPE]]="Given",Table2[[#This Row],[AMOUNT (₹)]],0)</f>
        <v>0</v>
      </c>
      <c r="J169" s="248">
        <f>IF(Table2[[#This Row],[TYPE]]="Received",Table2[[#This Row],[AMOUNT (₹)]],0)</f>
        <v>50000</v>
      </c>
      <c r="K169" s="248" t="s">
        <v>787</v>
      </c>
      <c r="L169" s="259">
        <f ca="1">IF(D169="","",COUNTIF($D$9:INDIRECT("D"&amp;ROW()),D169))</f>
        <v>7</v>
      </c>
    </row>
    <row r="170" spans="3:12" hidden="1" outlineLevel="1" x14ac:dyDescent="0.2">
      <c r="C170" s="252">
        <v>46015</v>
      </c>
      <c r="D170" s="248" t="s">
        <v>85</v>
      </c>
      <c r="E170" s="248">
        <f t="shared" si="4"/>
        <v>2025</v>
      </c>
      <c r="F170" s="257" t="s">
        <v>172</v>
      </c>
      <c r="G170" s="248" t="str">
        <f t="shared" si="5"/>
        <v>Cashflow</v>
      </c>
      <c r="H170" s="258">
        <v>100000</v>
      </c>
      <c r="I170" s="248">
        <f>IF(Table2[[#This Row],[TYPE]]="Given",Table2[[#This Row],[AMOUNT (₹)]],0)</f>
        <v>0</v>
      </c>
      <c r="J170" s="248">
        <f>IF(Table2[[#This Row],[TYPE]]="Received",Table2[[#This Row],[AMOUNT (₹)]],0)</f>
        <v>100000</v>
      </c>
      <c r="K170" s="248" t="s">
        <v>788</v>
      </c>
      <c r="L170" s="259">
        <f ca="1">IF(D170="","",COUNTIF($D$9:INDIRECT("D"&amp;ROW()),D170))</f>
        <v>8</v>
      </c>
    </row>
    <row r="171" spans="3:12" hidden="1" outlineLevel="1" x14ac:dyDescent="0.2">
      <c r="C171" s="252">
        <v>46015</v>
      </c>
      <c r="D171" s="248" t="s">
        <v>85</v>
      </c>
      <c r="E171" s="248">
        <f t="shared" si="4"/>
        <v>2025</v>
      </c>
      <c r="F171" s="257" t="s">
        <v>171</v>
      </c>
      <c r="G171" s="248" t="str">
        <f t="shared" si="5"/>
        <v>Cashflow</v>
      </c>
      <c r="H171" s="258">
        <v>100000</v>
      </c>
      <c r="I171" s="248">
        <f>IF(Table2[[#This Row],[TYPE]]="Given",Table2[[#This Row],[AMOUNT (₹)]],0)</f>
        <v>100000</v>
      </c>
      <c r="J171" s="248">
        <f>IF(Table2[[#This Row],[TYPE]]="Received",Table2[[#This Row],[AMOUNT (₹)]],0)</f>
        <v>0</v>
      </c>
      <c r="K171" s="248" t="s">
        <v>789</v>
      </c>
      <c r="L171" s="259">
        <f ca="1">IF(D171="","",COUNTIF($D$9:INDIRECT("D"&amp;ROW()),D171))</f>
        <v>9</v>
      </c>
    </row>
    <row r="172" spans="3:12" hidden="1" outlineLevel="1" x14ac:dyDescent="0.2">
      <c r="C172" s="252">
        <v>46015</v>
      </c>
      <c r="D172" s="248" t="s">
        <v>101</v>
      </c>
      <c r="E172" s="248">
        <f t="shared" si="4"/>
        <v>2025</v>
      </c>
      <c r="F172" s="253" t="s">
        <v>172</v>
      </c>
      <c r="G172" s="248" t="str">
        <f t="shared" si="5"/>
        <v>Cashflow</v>
      </c>
      <c r="H172" s="248">
        <v>13500</v>
      </c>
      <c r="I172" s="248">
        <f>IF(Table2[[#This Row],[TYPE]]="Given",Table2[[#This Row],[AMOUNT (₹)]],0)</f>
        <v>0</v>
      </c>
      <c r="J172" s="248">
        <f>IF(Table2[[#This Row],[TYPE]]="Received",Table2[[#This Row],[AMOUNT (₹)]],0)</f>
        <v>13500</v>
      </c>
      <c r="K172" s="248" t="s">
        <v>618</v>
      </c>
      <c r="L172" s="259">
        <f ca="1">IF(D172="","",COUNTIF($D$9:INDIRECT("D"&amp;ROW()),D172))</f>
        <v>10</v>
      </c>
    </row>
    <row r="173" spans="3:12" hidden="1" outlineLevel="1" x14ac:dyDescent="0.2">
      <c r="C173" s="252">
        <v>46015</v>
      </c>
      <c r="D173" s="248" t="s">
        <v>101</v>
      </c>
      <c r="E173" s="248">
        <f t="shared" si="4"/>
        <v>2025</v>
      </c>
      <c r="F173" s="253" t="s">
        <v>171</v>
      </c>
      <c r="G173" s="248" t="str">
        <f t="shared" si="5"/>
        <v>Cashflow</v>
      </c>
      <c r="H173" s="248">
        <v>2000</v>
      </c>
      <c r="I173" s="248">
        <f>IF(Table2[[#This Row],[TYPE]]="Given",Table2[[#This Row],[AMOUNT (₹)]],0)</f>
        <v>2000</v>
      </c>
      <c r="J173" s="248">
        <f>IF(Table2[[#This Row],[TYPE]]="Received",Table2[[#This Row],[AMOUNT (₹)]],0)</f>
        <v>0</v>
      </c>
      <c r="K173" s="248" t="s">
        <v>716</v>
      </c>
      <c r="L173" s="259">
        <f ca="1">IF(D173="","",COUNTIF($D$9:INDIRECT("D"&amp;ROW()),D173))</f>
        <v>11</v>
      </c>
    </row>
    <row r="174" spans="3:12" hidden="1" outlineLevel="1" x14ac:dyDescent="0.2">
      <c r="C174" s="252">
        <v>46016</v>
      </c>
      <c r="D174" s="248" t="s">
        <v>101</v>
      </c>
      <c r="E174" s="248">
        <f t="shared" si="4"/>
        <v>2025</v>
      </c>
      <c r="F174" s="253" t="s">
        <v>171</v>
      </c>
      <c r="G174" s="248" t="str">
        <f t="shared" si="5"/>
        <v>Cashflow</v>
      </c>
      <c r="H174" s="248">
        <v>9000</v>
      </c>
      <c r="I174" s="248">
        <f>IF(Table2[[#This Row],[TYPE]]="Given",Table2[[#This Row],[AMOUNT (₹)]],0)</f>
        <v>9000</v>
      </c>
      <c r="J174" s="248">
        <f>IF(Table2[[#This Row],[TYPE]]="Received",Table2[[#This Row],[AMOUNT (₹)]],0)</f>
        <v>0</v>
      </c>
      <c r="K174" s="248" t="s">
        <v>716</v>
      </c>
      <c r="L174" s="259">
        <f ca="1">IF(D174="","",COUNTIF($D$9:INDIRECT("D"&amp;ROW()),D174))</f>
        <v>12</v>
      </c>
    </row>
    <row r="175" spans="3:12" hidden="1" outlineLevel="1" x14ac:dyDescent="0.2">
      <c r="C175" s="252">
        <v>46017</v>
      </c>
      <c r="D175" s="248" t="s">
        <v>95</v>
      </c>
      <c r="E175" s="248">
        <f t="shared" si="4"/>
        <v>2025</v>
      </c>
      <c r="F175" s="257" t="s">
        <v>171</v>
      </c>
      <c r="G175" s="248" t="str">
        <f t="shared" si="5"/>
        <v>Cashflow</v>
      </c>
      <c r="H175" s="258">
        <v>5000</v>
      </c>
      <c r="I175" s="248">
        <f>IF(Table2[[#This Row],[TYPE]]="Given",Table2[[#This Row],[AMOUNT (₹)]],0)</f>
        <v>5000</v>
      </c>
      <c r="J175" s="248">
        <f>IF(Table2[[#This Row],[TYPE]]="Received",Table2[[#This Row],[AMOUNT (₹)]],0)</f>
        <v>0</v>
      </c>
      <c r="K175" s="248" t="s">
        <v>769</v>
      </c>
      <c r="L175" s="259">
        <f ca="1">IF(D175="","",COUNTIF($D$9:INDIRECT("D"&amp;ROW()),D175))</f>
        <v>21</v>
      </c>
    </row>
    <row r="176" spans="3:12" hidden="1" outlineLevel="1" x14ac:dyDescent="0.2">
      <c r="C176" s="252">
        <v>46017</v>
      </c>
      <c r="D176" s="248" t="s">
        <v>101</v>
      </c>
      <c r="E176" s="248">
        <f t="shared" si="4"/>
        <v>2025</v>
      </c>
      <c r="F176" s="253" t="s">
        <v>172</v>
      </c>
      <c r="G176" s="248" t="str">
        <f t="shared" si="5"/>
        <v>Cashflow</v>
      </c>
      <c r="H176" s="248">
        <v>4290</v>
      </c>
      <c r="I176" s="248">
        <f>IF(Table2[[#This Row],[TYPE]]="Given",Table2[[#This Row],[AMOUNT (₹)]],0)</f>
        <v>0</v>
      </c>
      <c r="J176" s="248">
        <f>IF(Table2[[#This Row],[TYPE]]="Received",Table2[[#This Row],[AMOUNT (₹)]],0)</f>
        <v>4290</v>
      </c>
      <c r="K176" s="248" t="s">
        <v>790</v>
      </c>
      <c r="L176" s="259">
        <f ca="1">IF(D176="","",COUNTIF($D$9:INDIRECT("D"&amp;ROW()),D176))</f>
        <v>13</v>
      </c>
    </row>
    <row r="177" spans="3:12" hidden="1" outlineLevel="1" x14ac:dyDescent="0.2">
      <c r="C177" s="252">
        <v>46017</v>
      </c>
      <c r="D177" s="248" t="s">
        <v>101</v>
      </c>
      <c r="E177" s="248">
        <f t="shared" si="4"/>
        <v>2025</v>
      </c>
      <c r="F177" s="257" t="s">
        <v>172</v>
      </c>
      <c r="G177" s="248" t="str">
        <f t="shared" si="5"/>
        <v>Cashflow</v>
      </c>
      <c r="H177" s="258">
        <v>4280</v>
      </c>
      <c r="I177" s="248">
        <f>IF(Table2[[#This Row],[TYPE]]="Given",Table2[[#This Row],[AMOUNT (₹)]],0)</f>
        <v>0</v>
      </c>
      <c r="J177" s="248">
        <f>IF(Table2[[#This Row],[TYPE]]="Received",Table2[[#This Row],[AMOUNT (₹)]],0)</f>
        <v>4280</v>
      </c>
      <c r="K177" s="248" t="s">
        <v>791</v>
      </c>
      <c r="L177" s="259">
        <f ca="1">IF(D177="","",COUNTIF($D$9:INDIRECT("D"&amp;ROW()),D177))</f>
        <v>14</v>
      </c>
    </row>
    <row r="178" spans="3:12" hidden="1" outlineLevel="1" x14ac:dyDescent="0.2">
      <c r="C178" s="252">
        <v>46019</v>
      </c>
      <c r="D178" s="248" t="s">
        <v>100</v>
      </c>
      <c r="E178" s="248">
        <f t="shared" si="4"/>
        <v>2025</v>
      </c>
      <c r="F178" s="253" t="s">
        <v>171</v>
      </c>
      <c r="G178" s="248" t="str">
        <f t="shared" si="5"/>
        <v>Cashflow</v>
      </c>
      <c r="H178" s="248">
        <v>2000</v>
      </c>
      <c r="I178" s="248">
        <f>IF(Table2[[#This Row],[TYPE]]="Given",Table2[[#This Row],[AMOUNT (₹)]],0)</f>
        <v>2000</v>
      </c>
      <c r="J178" s="248">
        <f>IF(Table2[[#This Row],[TYPE]]="Received",Table2[[#This Row],[AMOUNT (₹)]],0)</f>
        <v>0</v>
      </c>
      <c r="K178" s="248" t="s">
        <v>792</v>
      </c>
      <c r="L178" s="259">
        <f ca="1">IF(D178="","",COUNTIF($D$9:INDIRECT("D"&amp;ROW()),D178))</f>
        <v>8</v>
      </c>
    </row>
    <row r="179" spans="3:12" hidden="1" outlineLevel="1" x14ac:dyDescent="0.2">
      <c r="C179" s="252">
        <v>46022</v>
      </c>
      <c r="D179" s="248" t="s">
        <v>95</v>
      </c>
      <c r="E179" s="248">
        <f t="shared" si="4"/>
        <v>2025</v>
      </c>
      <c r="F179" s="257" t="s">
        <v>171</v>
      </c>
      <c r="G179" s="248" t="str">
        <f t="shared" si="5"/>
        <v>Cashflow</v>
      </c>
      <c r="H179" s="258">
        <v>10000</v>
      </c>
      <c r="I179" s="248">
        <f>IF(Table2[[#This Row],[TYPE]]="Given",Table2[[#This Row],[AMOUNT (₹)]],0)</f>
        <v>10000</v>
      </c>
      <c r="J179" s="248">
        <f>IF(Table2[[#This Row],[TYPE]]="Received",Table2[[#This Row],[AMOUNT (₹)]],0)</f>
        <v>0</v>
      </c>
      <c r="K179" s="248" t="s">
        <v>769</v>
      </c>
      <c r="L179" s="259">
        <f ca="1">IF(D179="","",COUNTIF($D$9:INDIRECT("D"&amp;ROW()),D179))</f>
        <v>22</v>
      </c>
    </row>
    <row r="180" spans="3:12" hidden="1" outlineLevel="1" x14ac:dyDescent="0.2">
      <c r="C180" s="252">
        <v>46026</v>
      </c>
      <c r="D180" s="248" t="s">
        <v>95</v>
      </c>
      <c r="E180" s="248">
        <f t="shared" si="4"/>
        <v>2026</v>
      </c>
      <c r="F180" s="257" t="s">
        <v>171</v>
      </c>
      <c r="G180" s="248" t="str">
        <f t="shared" si="5"/>
        <v>Cashflow</v>
      </c>
      <c r="H180" s="258">
        <v>5000</v>
      </c>
      <c r="I180" s="248">
        <f>IF(Table2[[#This Row],[TYPE]]="Given",Table2[[#This Row],[AMOUNT (₹)]],0)</f>
        <v>5000</v>
      </c>
      <c r="J180" s="248">
        <f>IF(Table2[[#This Row],[TYPE]]="Received",Table2[[#This Row],[AMOUNT (₹)]],0)</f>
        <v>0</v>
      </c>
      <c r="K180" s="248" t="s">
        <v>769</v>
      </c>
      <c r="L180" s="259">
        <f ca="1">IF(D180="","",COUNTIF($D$9:INDIRECT("D"&amp;ROW()),D180))</f>
        <v>23</v>
      </c>
    </row>
    <row r="181" spans="3:12" hidden="1" outlineLevel="1" x14ac:dyDescent="0.2">
      <c r="C181" s="252">
        <v>46027</v>
      </c>
      <c r="D181" s="248" t="s">
        <v>74</v>
      </c>
      <c r="E181" s="248">
        <f t="shared" si="4"/>
        <v>2026</v>
      </c>
      <c r="F181" s="257" t="s">
        <v>171</v>
      </c>
      <c r="G181" s="248" t="str">
        <f t="shared" si="5"/>
        <v>Cashflow</v>
      </c>
      <c r="H181" s="258">
        <v>4394</v>
      </c>
      <c r="I181" s="248">
        <f>IF(Table2[[#This Row],[TYPE]]="Given",Table2[[#This Row],[AMOUNT (₹)]],0)</f>
        <v>4394</v>
      </c>
      <c r="J181" s="248">
        <f>IF(Table2[[#This Row],[TYPE]]="Received",Table2[[#This Row],[AMOUNT (₹)]],0)</f>
        <v>0</v>
      </c>
      <c r="K181" s="248" t="s">
        <v>793</v>
      </c>
      <c r="L181" s="259">
        <f ca="1">IF(D181="","",COUNTIF($D$9:INDIRECT("D"&amp;ROW()),D181))</f>
        <v>3</v>
      </c>
    </row>
    <row r="182" spans="3:12" hidden="1" outlineLevel="1" x14ac:dyDescent="0.2">
      <c r="C182" s="252">
        <v>46027</v>
      </c>
      <c r="D182" s="248" t="s">
        <v>74</v>
      </c>
      <c r="E182" s="248">
        <f t="shared" si="4"/>
        <v>2026</v>
      </c>
      <c r="F182" s="257" t="s">
        <v>172</v>
      </c>
      <c r="G182" s="248" t="str">
        <f t="shared" si="5"/>
        <v>Cashflow</v>
      </c>
      <c r="H182" s="258">
        <v>7000</v>
      </c>
      <c r="I182" s="248">
        <f>IF(Table2[[#This Row],[TYPE]]="Given",Table2[[#This Row],[AMOUNT (₹)]],0)</f>
        <v>0</v>
      </c>
      <c r="J182" s="248">
        <f>IF(Table2[[#This Row],[TYPE]]="Received",Table2[[#This Row],[AMOUNT (₹)]],0)</f>
        <v>7000</v>
      </c>
      <c r="K182" s="248" t="s">
        <v>236</v>
      </c>
      <c r="L182" s="259">
        <f ca="1">IF(D182="","",COUNTIF($D$9:INDIRECT("D"&amp;ROW()),D182))</f>
        <v>4</v>
      </c>
    </row>
    <row r="183" spans="3:12" hidden="1" outlineLevel="1" x14ac:dyDescent="0.2">
      <c r="C183" s="252">
        <v>46027</v>
      </c>
      <c r="D183" s="248" t="s">
        <v>107</v>
      </c>
      <c r="E183" s="248">
        <f t="shared" si="4"/>
        <v>2026</v>
      </c>
      <c r="F183" s="257" t="s">
        <v>171</v>
      </c>
      <c r="G183" s="248" t="str">
        <f t="shared" si="5"/>
        <v>Cashflow</v>
      </c>
      <c r="H183" s="258">
        <v>4200</v>
      </c>
      <c r="I183" s="248">
        <f>IF(Table2[[#This Row],[TYPE]]="Given",Table2[[#This Row],[AMOUNT (₹)]],0)</f>
        <v>4200</v>
      </c>
      <c r="J183" s="248">
        <f>IF(Table2[[#This Row],[TYPE]]="Received",Table2[[#This Row],[AMOUNT (₹)]],0)</f>
        <v>0</v>
      </c>
      <c r="K183" s="248" t="s">
        <v>716</v>
      </c>
      <c r="L183" s="259">
        <f ca="1">IF(D183="","",COUNTIF($D$9:INDIRECT("D"&amp;ROW()),D183))</f>
        <v>12</v>
      </c>
    </row>
    <row r="184" spans="3:12" hidden="1" outlineLevel="1" x14ac:dyDescent="0.2">
      <c r="C184" s="252">
        <v>46028</v>
      </c>
      <c r="D184" s="248" t="s">
        <v>95</v>
      </c>
      <c r="E184" s="248">
        <f t="shared" si="4"/>
        <v>2026</v>
      </c>
      <c r="F184" s="257" t="s">
        <v>171</v>
      </c>
      <c r="G184" s="248" t="str">
        <f t="shared" si="5"/>
        <v>Cashflow</v>
      </c>
      <c r="H184" s="258">
        <v>5000</v>
      </c>
      <c r="I184" s="248">
        <f>IF(Table2[[#This Row],[TYPE]]="Given",Table2[[#This Row],[AMOUNT (₹)]],0)</f>
        <v>5000</v>
      </c>
      <c r="J184" s="248">
        <f>IF(Table2[[#This Row],[TYPE]]="Received",Table2[[#This Row],[AMOUNT (₹)]],0)</f>
        <v>0</v>
      </c>
      <c r="K184" s="248" t="s">
        <v>769</v>
      </c>
      <c r="L184" s="259">
        <f ca="1">IF(D184="","",COUNTIF($D$9:INDIRECT("D"&amp;ROW()),D184))</f>
        <v>24</v>
      </c>
    </row>
    <row r="185" spans="3:12" hidden="1" outlineLevel="1" x14ac:dyDescent="0.2">
      <c r="C185" s="252">
        <v>46029</v>
      </c>
      <c r="D185" s="248" t="s">
        <v>74</v>
      </c>
      <c r="E185" s="248">
        <f t="shared" si="4"/>
        <v>2026</v>
      </c>
      <c r="F185" s="257" t="s">
        <v>172</v>
      </c>
      <c r="G185" s="248" t="str">
        <f t="shared" si="5"/>
        <v>Cashflow</v>
      </c>
      <c r="H185" s="258">
        <v>9000</v>
      </c>
      <c r="I185" s="248">
        <f>IF(Table2[[#This Row],[TYPE]]="Given",Table2[[#This Row],[AMOUNT (₹)]],0)</f>
        <v>0</v>
      </c>
      <c r="J185" s="248">
        <f>IF(Table2[[#This Row],[TYPE]]="Received",Table2[[#This Row],[AMOUNT (₹)]],0)</f>
        <v>9000</v>
      </c>
      <c r="K185" s="248" t="s">
        <v>236</v>
      </c>
      <c r="L185" s="259">
        <f ca="1">IF(D185="","",COUNTIF($D$9:INDIRECT("D"&amp;ROW()),D185))</f>
        <v>5</v>
      </c>
    </row>
    <row r="186" spans="3:12" hidden="1" outlineLevel="1" x14ac:dyDescent="0.2">
      <c r="C186" s="252">
        <v>46029</v>
      </c>
      <c r="D186" s="248" t="s">
        <v>95</v>
      </c>
      <c r="E186" s="248">
        <f t="shared" si="4"/>
        <v>2026</v>
      </c>
      <c r="F186" s="257" t="s">
        <v>171</v>
      </c>
      <c r="G186" s="248" t="str">
        <f t="shared" si="5"/>
        <v>Cashflow</v>
      </c>
      <c r="H186" s="258">
        <v>5000</v>
      </c>
      <c r="I186" s="248">
        <f>IF(Table2[[#This Row],[TYPE]]="Given",Table2[[#This Row],[AMOUNT (₹)]],0)</f>
        <v>5000</v>
      </c>
      <c r="J186" s="248">
        <f>IF(Table2[[#This Row],[TYPE]]="Received",Table2[[#This Row],[AMOUNT (₹)]],0)</f>
        <v>0</v>
      </c>
      <c r="K186" s="248" t="s">
        <v>769</v>
      </c>
      <c r="L186" s="259">
        <f ca="1">IF(D186="","",COUNTIF($D$9:INDIRECT("D"&amp;ROW()),D186))</f>
        <v>25</v>
      </c>
    </row>
    <row r="187" spans="3:12" hidden="1" outlineLevel="1" x14ac:dyDescent="0.2">
      <c r="C187" s="252">
        <v>46030</v>
      </c>
      <c r="D187" s="248" t="s">
        <v>74</v>
      </c>
      <c r="E187" s="248">
        <f t="shared" si="4"/>
        <v>2026</v>
      </c>
      <c r="F187" s="257" t="s">
        <v>171</v>
      </c>
      <c r="G187" s="248" t="str">
        <f t="shared" si="5"/>
        <v>Cashflow</v>
      </c>
      <c r="H187" s="258">
        <v>2440.2800000000002</v>
      </c>
      <c r="I187" s="248">
        <f>IF(Table2[[#This Row],[TYPE]]="Given",Table2[[#This Row],[AMOUNT (₹)]],0)</f>
        <v>2440.2800000000002</v>
      </c>
      <c r="J187" s="248">
        <f>IF(Table2[[#This Row],[TYPE]]="Received",Table2[[#This Row],[AMOUNT (₹)]],0)</f>
        <v>0</v>
      </c>
      <c r="K187" s="248" t="s">
        <v>794</v>
      </c>
      <c r="L187" s="259">
        <f ca="1">IF(D187="","",COUNTIF($D$9:INDIRECT("D"&amp;ROW()),D187))</f>
        <v>6</v>
      </c>
    </row>
    <row r="188" spans="3:12" hidden="1" outlineLevel="1" x14ac:dyDescent="0.2">
      <c r="C188" s="252">
        <v>46030</v>
      </c>
      <c r="D188" s="248" t="s">
        <v>85</v>
      </c>
      <c r="E188" s="248">
        <f t="shared" si="4"/>
        <v>2026</v>
      </c>
      <c r="F188" s="257" t="s">
        <v>172</v>
      </c>
      <c r="G188" s="248" t="str">
        <f t="shared" si="5"/>
        <v>Cashflow</v>
      </c>
      <c r="H188" s="258">
        <v>20000</v>
      </c>
      <c r="I188" s="248">
        <f>IF(Table2[[#This Row],[TYPE]]="Given",Table2[[#This Row],[AMOUNT (₹)]],0)</f>
        <v>0</v>
      </c>
      <c r="J188" s="248">
        <f>IF(Table2[[#This Row],[TYPE]]="Received",Table2[[#This Row],[AMOUNT (₹)]],0)</f>
        <v>20000</v>
      </c>
      <c r="K188" s="248" t="s">
        <v>786</v>
      </c>
      <c r="L188" s="259">
        <f ca="1">IF(D188="","",COUNTIF($D$9:INDIRECT("D"&amp;ROW()),D188))</f>
        <v>10</v>
      </c>
    </row>
    <row r="189" spans="3:12" hidden="1" outlineLevel="1" x14ac:dyDescent="0.2">
      <c r="C189" s="252">
        <v>46030</v>
      </c>
      <c r="D189" s="248" t="s">
        <v>95</v>
      </c>
      <c r="E189" s="248">
        <f t="shared" si="4"/>
        <v>2026</v>
      </c>
      <c r="F189" s="257" t="s">
        <v>171</v>
      </c>
      <c r="G189" s="248" t="str">
        <f t="shared" si="5"/>
        <v>Cashflow</v>
      </c>
      <c r="H189" s="258">
        <v>10000</v>
      </c>
      <c r="I189" s="248">
        <f>IF(Table2[[#This Row],[TYPE]]="Given",Table2[[#This Row],[AMOUNT (₹)]],0)</f>
        <v>10000</v>
      </c>
      <c r="J189" s="248">
        <f>IF(Table2[[#This Row],[TYPE]]="Received",Table2[[#This Row],[AMOUNT (₹)]],0)</f>
        <v>0</v>
      </c>
      <c r="K189" s="248" t="s">
        <v>769</v>
      </c>
      <c r="L189" s="259">
        <f ca="1">IF(D189="","",COUNTIF($D$9:INDIRECT("D"&amp;ROW()),D189))</f>
        <v>26</v>
      </c>
    </row>
    <row r="190" spans="3:12" hidden="1" outlineLevel="1" x14ac:dyDescent="0.2">
      <c r="C190" s="252">
        <v>46030</v>
      </c>
      <c r="D190" s="248" t="s">
        <v>101</v>
      </c>
      <c r="E190" s="248">
        <f t="shared" si="4"/>
        <v>2026</v>
      </c>
      <c r="F190" s="257" t="s">
        <v>172</v>
      </c>
      <c r="G190" s="248" t="str">
        <f t="shared" si="5"/>
        <v>Cashflow</v>
      </c>
      <c r="H190" s="258">
        <v>4268</v>
      </c>
      <c r="I190" s="248">
        <f>IF(Table2[[#This Row],[TYPE]]="Given",Table2[[#This Row],[AMOUNT (₹)]],0)</f>
        <v>0</v>
      </c>
      <c r="J190" s="248">
        <f>IF(Table2[[#This Row],[TYPE]]="Received",Table2[[#This Row],[AMOUNT (₹)]],0)</f>
        <v>4268</v>
      </c>
      <c r="K190" s="248" t="s">
        <v>795</v>
      </c>
      <c r="L190" s="259">
        <f ca="1">IF(D190="","",COUNTIF($D$9:INDIRECT("D"&amp;ROW()),D190))</f>
        <v>15</v>
      </c>
    </row>
    <row r="191" spans="3:12" hidden="1" outlineLevel="1" x14ac:dyDescent="0.2">
      <c r="C191" s="252">
        <v>46030</v>
      </c>
      <c r="D191" s="248" t="s">
        <v>107</v>
      </c>
      <c r="E191" s="248">
        <f t="shared" si="4"/>
        <v>2026</v>
      </c>
      <c r="F191" s="257" t="s">
        <v>172</v>
      </c>
      <c r="G191" s="248" t="str">
        <f t="shared" si="5"/>
        <v>Cashflow</v>
      </c>
      <c r="H191" s="258">
        <v>3000</v>
      </c>
      <c r="I191" s="248">
        <f>IF(Table2[[#This Row],[TYPE]]="Given",Table2[[#This Row],[AMOUNT (₹)]],0)</f>
        <v>0</v>
      </c>
      <c r="J191" s="248">
        <f>IF(Table2[[#This Row],[TYPE]]="Received",Table2[[#This Row],[AMOUNT (₹)]],0)</f>
        <v>3000</v>
      </c>
      <c r="K191" s="248" t="s">
        <v>236</v>
      </c>
      <c r="L191" s="259">
        <f ca="1">IF(D191="","",COUNTIF($D$9:INDIRECT("D"&amp;ROW()),D191))</f>
        <v>13</v>
      </c>
    </row>
    <row r="192" spans="3:12" hidden="1" outlineLevel="1" x14ac:dyDescent="0.2">
      <c r="C192" s="252">
        <v>46031</v>
      </c>
      <c r="D192" s="248" t="s">
        <v>95</v>
      </c>
      <c r="E192" s="248">
        <f t="shared" si="4"/>
        <v>2026</v>
      </c>
      <c r="F192" s="257" t="s">
        <v>171</v>
      </c>
      <c r="G192" s="248" t="str">
        <f t="shared" si="5"/>
        <v>Cashflow</v>
      </c>
      <c r="H192" s="258">
        <v>10000</v>
      </c>
      <c r="I192" s="248">
        <f>IF(Table2[[#This Row],[TYPE]]="Given",Table2[[#This Row],[AMOUNT (₹)]],0)</f>
        <v>10000</v>
      </c>
      <c r="J192" s="248">
        <f>IF(Table2[[#This Row],[TYPE]]="Received",Table2[[#This Row],[AMOUNT (₹)]],0)</f>
        <v>0</v>
      </c>
      <c r="K192" s="248" t="s">
        <v>769</v>
      </c>
      <c r="L192" s="259">
        <f ca="1">IF(D192="","",COUNTIF($D$9:INDIRECT("D"&amp;ROW()),D192))</f>
        <v>27</v>
      </c>
    </row>
    <row r="193" spans="3:12" hidden="1" outlineLevel="1" x14ac:dyDescent="0.2">
      <c r="C193" s="252">
        <v>46032</v>
      </c>
      <c r="D193" s="248" t="s">
        <v>83</v>
      </c>
      <c r="E193" s="248">
        <f t="shared" si="4"/>
        <v>2026</v>
      </c>
      <c r="F193" s="257" t="s">
        <v>171</v>
      </c>
      <c r="G193" s="248" t="str">
        <f t="shared" si="5"/>
        <v>Cashflow</v>
      </c>
      <c r="H193" s="258">
        <v>6000</v>
      </c>
      <c r="I193" s="248">
        <f>IF(Table2[[#This Row],[TYPE]]="Given",Table2[[#This Row],[AMOUNT (₹)]],0)</f>
        <v>6000</v>
      </c>
      <c r="J193" s="248">
        <f>IF(Table2[[#This Row],[TYPE]]="Received",Table2[[#This Row],[AMOUNT (₹)]],0)</f>
        <v>0</v>
      </c>
      <c r="K193" s="248" t="s">
        <v>769</v>
      </c>
      <c r="L193" s="259">
        <f ca="1">IF(D193="","",COUNTIF($D$9:INDIRECT("D"&amp;ROW()),D193))</f>
        <v>2</v>
      </c>
    </row>
    <row r="194" spans="3:12" hidden="1" outlineLevel="1" x14ac:dyDescent="0.2">
      <c r="C194" s="252">
        <v>46032</v>
      </c>
      <c r="D194" s="248" t="s">
        <v>95</v>
      </c>
      <c r="E194" s="248">
        <f t="shared" si="4"/>
        <v>2026</v>
      </c>
      <c r="F194" s="257" t="s">
        <v>171</v>
      </c>
      <c r="G194" s="248" t="str">
        <f t="shared" si="5"/>
        <v>Cashflow</v>
      </c>
      <c r="H194" s="258">
        <v>5000</v>
      </c>
      <c r="I194" s="248">
        <f>IF(Table2[[#This Row],[TYPE]]="Given",Table2[[#This Row],[AMOUNT (₹)]],0)</f>
        <v>5000</v>
      </c>
      <c r="J194" s="248">
        <f>IF(Table2[[#This Row],[TYPE]]="Received",Table2[[#This Row],[AMOUNT (₹)]],0)</f>
        <v>0</v>
      </c>
      <c r="K194" s="248" t="s">
        <v>769</v>
      </c>
      <c r="L194" s="259">
        <f ca="1">IF(D194="","",COUNTIF($D$9:INDIRECT("D"&amp;ROW()),D194))</f>
        <v>28</v>
      </c>
    </row>
    <row r="195" spans="3:12" hidden="1" outlineLevel="1" x14ac:dyDescent="0.2">
      <c r="C195" s="252">
        <v>46032</v>
      </c>
      <c r="D195" s="248" t="s">
        <v>95</v>
      </c>
      <c r="E195" s="248">
        <f t="shared" si="4"/>
        <v>2026</v>
      </c>
      <c r="F195" s="257" t="s">
        <v>171</v>
      </c>
      <c r="G195" s="248" t="str">
        <f t="shared" si="5"/>
        <v>Cashflow</v>
      </c>
      <c r="H195" s="258">
        <v>5000</v>
      </c>
      <c r="I195" s="248">
        <f>IF(Table2[[#This Row],[TYPE]]="Given",Table2[[#This Row],[AMOUNT (₹)]],0)</f>
        <v>5000</v>
      </c>
      <c r="J195" s="248">
        <f>IF(Table2[[#This Row],[TYPE]]="Received",Table2[[#This Row],[AMOUNT (₹)]],0)</f>
        <v>0</v>
      </c>
      <c r="K195" s="248" t="s">
        <v>769</v>
      </c>
      <c r="L195" s="259">
        <f ca="1">IF(D195="","",COUNTIF($D$9:INDIRECT("D"&amp;ROW()),D195))</f>
        <v>29</v>
      </c>
    </row>
    <row r="196" spans="3:12" hidden="1" outlineLevel="1" x14ac:dyDescent="0.2">
      <c r="C196" s="252">
        <v>46036</v>
      </c>
      <c r="D196" s="248" t="s">
        <v>74</v>
      </c>
      <c r="E196" s="248">
        <f t="shared" si="4"/>
        <v>2026</v>
      </c>
      <c r="F196" s="257" t="s">
        <v>172</v>
      </c>
      <c r="G196" s="248" t="str">
        <f t="shared" si="5"/>
        <v>Cashflow</v>
      </c>
      <c r="H196" s="258">
        <v>6000</v>
      </c>
      <c r="I196" s="248">
        <f>IF(Table2[[#This Row],[TYPE]]="Given",Table2[[#This Row],[AMOUNT (₹)]],0)</f>
        <v>0</v>
      </c>
      <c r="J196" s="248">
        <f>IF(Table2[[#This Row],[TYPE]]="Received",Table2[[#This Row],[AMOUNT (₹)]],0)</f>
        <v>6000</v>
      </c>
      <c r="K196" s="248" t="s">
        <v>236</v>
      </c>
      <c r="L196" s="259">
        <f ca="1">IF(D196="","",COUNTIF($D$9:INDIRECT("D"&amp;ROW()),D196))</f>
        <v>7</v>
      </c>
    </row>
    <row r="197" spans="3:12" hidden="1" outlineLevel="1" x14ac:dyDescent="0.2">
      <c r="C197" s="252">
        <v>46036</v>
      </c>
      <c r="D197" s="248" t="s">
        <v>99</v>
      </c>
      <c r="E197" s="248">
        <f t="shared" si="4"/>
        <v>2026</v>
      </c>
      <c r="F197" s="257" t="s">
        <v>171</v>
      </c>
      <c r="G197" s="248" t="str">
        <f t="shared" si="5"/>
        <v>Cashflow</v>
      </c>
      <c r="H197" s="258">
        <v>2261</v>
      </c>
      <c r="I197" s="248">
        <f>IF(Table2[[#This Row],[TYPE]]="Given",Table2[[#This Row],[AMOUNT (₹)]],0)</f>
        <v>2261</v>
      </c>
      <c r="J197" s="248">
        <f>IF(Table2[[#This Row],[TYPE]]="Received",Table2[[#This Row],[AMOUNT (₹)]],0)</f>
        <v>0</v>
      </c>
      <c r="K197" s="248" t="s">
        <v>780</v>
      </c>
      <c r="L197" s="259">
        <f ca="1">IF(D197="","",COUNTIF($D$9:INDIRECT("D"&amp;ROW()),D197))</f>
        <v>10</v>
      </c>
    </row>
    <row r="198" spans="3:12" hidden="1" outlineLevel="1" x14ac:dyDescent="0.2">
      <c r="C198" s="252">
        <v>46038</v>
      </c>
      <c r="D198" s="248" t="s">
        <v>107</v>
      </c>
      <c r="E198" s="248">
        <f t="shared" si="4"/>
        <v>2026</v>
      </c>
      <c r="F198" s="257" t="s">
        <v>171</v>
      </c>
      <c r="G198" s="248" t="str">
        <f t="shared" si="5"/>
        <v>Cashflow</v>
      </c>
      <c r="H198" s="258">
        <v>100</v>
      </c>
      <c r="I198" s="248">
        <f>IF(Table2[[#This Row],[TYPE]]="Given",Table2[[#This Row],[AMOUNT (₹)]],0)</f>
        <v>100</v>
      </c>
      <c r="J198" s="248">
        <f>IF(Table2[[#This Row],[TYPE]]="Received",Table2[[#This Row],[AMOUNT (₹)]],0)</f>
        <v>0</v>
      </c>
      <c r="K198" s="248" t="s">
        <v>796</v>
      </c>
      <c r="L198" s="259">
        <f ca="1">IF(D198="","",COUNTIF($D$9:INDIRECT("D"&amp;ROW()),D198))</f>
        <v>14</v>
      </c>
    </row>
    <row r="199" spans="3:12" hidden="1" outlineLevel="1" x14ac:dyDescent="0.2">
      <c r="C199" s="252">
        <v>46039</v>
      </c>
      <c r="D199" s="248" t="s">
        <v>95</v>
      </c>
      <c r="E199" s="248">
        <f t="shared" si="4"/>
        <v>2026</v>
      </c>
      <c r="F199" s="257" t="s">
        <v>171</v>
      </c>
      <c r="G199" s="248" t="str">
        <f t="shared" si="5"/>
        <v>Cashflow</v>
      </c>
      <c r="H199" s="258">
        <v>7000</v>
      </c>
      <c r="I199" s="248">
        <f>IF(Table2[[#This Row],[TYPE]]="Given",Table2[[#This Row],[AMOUNT (₹)]],0)</f>
        <v>7000</v>
      </c>
      <c r="J199" s="248">
        <f>IF(Table2[[#This Row],[TYPE]]="Received",Table2[[#This Row],[AMOUNT (₹)]],0)</f>
        <v>0</v>
      </c>
      <c r="K199" s="248" t="s">
        <v>769</v>
      </c>
      <c r="L199" s="259">
        <f ca="1">IF(D199="","",COUNTIF($D$9:INDIRECT("D"&amp;ROW()),D199))</f>
        <v>30</v>
      </c>
    </row>
    <row r="200" spans="3:12" hidden="1" outlineLevel="1" x14ac:dyDescent="0.2">
      <c r="C200" s="252">
        <v>46040</v>
      </c>
      <c r="D200" s="248" t="s">
        <v>99</v>
      </c>
      <c r="E200" s="248">
        <f t="shared" si="4"/>
        <v>2026</v>
      </c>
      <c r="F200" s="257" t="s">
        <v>171</v>
      </c>
      <c r="G200" s="248" t="str">
        <f t="shared" si="5"/>
        <v>Cashflow</v>
      </c>
      <c r="H200" s="258">
        <v>2114</v>
      </c>
      <c r="I200" s="248">
        <f>IF(Table2[[#This Row],[TYPE]]="Given",Table2[[#This Row],[AMOUNT (₹)]],0)</f>
        <v>2114</v>
      </c>
      <c r="J200" s="248">
        <f>IF(Table2[[#This Row],[TYPE]]="Received",Table2[[#This Row],[AMOUNT (₹)]],0)</f>
        <v>0</v>
      </c>
      <c r="K200" s="248" t="s">
        <v>780</v>
      </c>
      <c r="L200" s="259">
        <f ca="1">IF(D200="","",COUNTIF($D$9:INDIRECT("D"&amp;ROW()),D200))</f>
        <v>11</v>
      </c>
    </row>
    <row r="201" spans="3:12" hidden="1" outlineLevel="1" x14ac:dyDescent="0.2">
      <c r="C201" s="252">
        <v>46041</v>
      </c>
      <c r="D201" s="248" t="s">
        <v>101</v>
      </c>
      <c r="E201" s="248">
        <f t="shared" ref="E201:E264" si="6">IFERROR(YEAR(C201),"")</f>
        <v>2026</v>
      </c>
      <c r="F201" s="257" t="s">
        <v>171</v>
      </c>
      <c r="G201" s="248" t="str">
        <f t="shared" ref="G201:G264" si="7">$F$6</f>
        <v>Cashflow</v>
      </c>
      <c r="H201" s="258">
        <v>4289.3999999999996</v>
      </c>
      <c r="I201" s="248">
        <f>IF(Table2[[#This Row],[TYPE]]="Given",Table2[[#This Row],[AMOUNT (₹)]],0)</f>
        <v>4289.3999999999996</v>
      </c>
      <c r="J201" s="248">
        <f>IF(Table2[[#This Row],[TYPE]]="Received",Table2[[#This Row],[AMOUNT (₹)]],0)</f>
        <v>0</v>
      </c>
      <c r="K201" s="248" t="s">
        <v>797</v>
      </c>
      <c r="L201" s="259">
        <f ca="1">IF(D201="","",COUNTIF($D$9:INDIRECT("D"&amp;ROW()),D201))</f>
        <v>16</v>
      </c>
    </row>
    <row r="202" spans="3:12" hidden="1" outlineLevel="1" x14ac:dyDescent="0.2">
      <c r="C202" s="252">
        <v>46051</v>
      </c>
      <c r="D202" s="248" t="s">
        <v>95</v>
      </c>
      <c r="E202" s="248">
        <f t="shared" si="6"/>
        <v>2026</v>
      </c>
      <c r="F202" s="257" t="s">
        <v>171</v>
      </c>
      <c r="G202" s="248" t="str">
        <f t="shared" si="7"/>
        <v>Cashflow</v>
      </c>
      <c r="H202" s="258">
        <v>5000</v>
      </c>
      <c r="I202" s="248">
        <f>IF(Table2[[#This Row],[TYPE]]="Given",Table2[[#This Row],[AMOUNT (₹)]],0)</f>
        <v>5000</v>
      </c>
      <c r="J202" s="248">
        <f>IF(Table2[[#This Row],[TYPE]]="Received",Table2[[#This Row],[AMOUNT (₹)]],0)</f>
        <v>0</v>
      </c>
      <c r="K202" s="248" t="s">
        <v>798</v>
      </c>
      <c r="L202" s="259">
        <f ca="1">IF(D202="","",COUNTIF($D$9:INDIRECT("D"&amp;ROW()),D202))</f>
        <v>31</v>
      </c>
    </row>
    <row r="203" spans="3:12" hidden="1" outlineLevel="1" x14ac:dyDescent="0.2">
      <c r="C203" s="252">
        <v>46052</v>
      </c>
      <c r="D203" s="248" t="s">
        <v>85</v>
      </c>
      <c r="E203" s="248">
        <f t="shared" si="6"/>
        <v>2026</v>
      </c>
      <c r="F203" s="257" t="s">
        <v>172</v>
      </c>
      <c r="G203" s="248" t="str">
        <f t="shared" si="7"/>
        <v>Cashflow</v>
      </c>
      <c r="H203" s="258">
        <v>100000</v>
      </c>
      <c r="I203" s="248">
        <f>IF(Table2[[#This Row],[TYPE]]="Given",Table2[[#This Row],[AMOUNT (₹)]],0)</f>
        <v>0</v>
      </c>
      <c r="J203" s="248">
        <f>IF(Table2[[#This Row],[TYPE]]="Received",Table2[[#This Row],[AMOUNT (₹)]],0)</f>
        <v>100000</v>
      </c>
      <c r="K203" s="248" t="s">
        <v>99</v>
      </c>
      <c r="L203" s="259">
        <f ca="1">IF(D203="","",COUNTIF($D$9:INDIRECT("D"&amp;ROW()),D203))</f>
        <v>11</v>
      </c>
    </row>
    <row r="204" spans="3:12" hidden="1" outlineLevel="1" x14ac:dyDescent="0.2">
      <c r="C204" s="252">
        <v>46052</v>
      </c>
      <c r="D204" s="248" t="s">
        <v>99</v>
      </c>
      <c r="E204" s="248">
        <f t="shared" si="6"/>
        <v>2026</v>
      </c>
      <c r="F204" s="257" t="s">
        <v>171</v>
      </c>
      <c r="G204" s="248" t="str">
        <f t="shared" si="7"/>
        <v>Cashflow</v>
      </c>
      <c r="H204" s="258">
        <v>100300</v>
      </c>
      <c r="I204" s="248">
        <f>IF(Table2[[#This Row],[TYPE]]="Given",Table2[[#This Row],[AMOUNT (₹)]],0)</f>
        <v>100300</v>
      </c>
      <c r="J204" s="248">
        <f>IF(Table2[[#This Row],[TYPE]]="Received",Table2[[#This Row],[AMOUNT (₹)]],0)</f>
        <v>0</v>
      </c>
      <c r="K204" s="248" t="s">
        <v>799</v>
      </c>
      <c r="L204" s="259">
        <f ca="1">IF(D204="","",COUNTIF($D$9:INDIRECT("D"&amp;ROW()),D204))</f>
        <v>12</v>
      </c>
    </row>
    <row r="205" spans="3:12" hidden="1" outlineLevel="1" x14ac:dyDescent="0.2">
      <c r="C205" s="252">
        <v>46053</v>
      </c>
      <c r="D205" s="248" t="s">
        <v>95</v>
      </c>
      <c r="E205" s="248">
        <f t="shared" si="6"/>
        <v>2026</v>
      </c>
      <c r="F205" s="257" t="s">
        <v>171</v>
      </c>
      <c r="G205" s="248" t="str">
        <f t="shared" si="7"/>
        <v>Cashflow</v>
      </c>
      <c r="H205" s="258">
        <v>2500</v>
      </c>
      <c r="I205" s="248">
        <f>IF(Table2[[#This Row],[TYPE]]="Given",Table2[[#This Row],[AMOUNT (₹)]],0)</f>
        <v>2500</v>
      </c>
      <c r="J205" s="248">
        <f>IF(Table2[[#This Row],[TYPE]]="Received",Table2[[#This Row],[AMOUNT (₹)]],0)</f>
        <v>0</v>
      </c>
      <c r="K205" s="248" t="s">
        <v>769</v>
      </c>
      <c r="L205" s="259">
        <f ca="1">IF(D205="","",COUNTIF($D$9:INDIRECT("D"&amp;ROW()),D205))</f>
        <v>32</v>
      </c>
    </row>
    <row r="206" spans="3:12" hidden="1" outlineLevel="1" x14ac:dyDescent="0.2">
      <c r="C206" s="252">
        <v>46055</v>
      </c>
      <c r="D206" s="248" t="s">
        <v>95</v>
      </c>
      <c r="E206" s="248">
        <f t="shared" si="6"/>
        <v>2026</v>
      </c>
      <c r="F206" s="257" t="s">
        <v>171</v>
      </c>
      <c r="G206" s="248" t="str">
        <f t="shared" si="7"/>
        <v>Cashflow</v>
      </c>
      <c r="H206" s="258">
        <v>2500</v>
      </c>
      <c r="I206" s="248">
        <f>IF(Table2[[#This Row],[TYPE]]="Given",Table2[[#This Row],[AMOUNT (₹)]],0)</f>
        <v>2500</v>
      </c>
      <c r="J206" s="248">
        <f>IF(Table2[[#This Row],[TYPE]]="Received",Table2[[#This Row],[AMOUNT (₹)]],0)</f>
        <v>0</v>
      </c>
      <c r="K206" s="248" t="s">
        <v>769</v>
      </c>
      <c r="L206" s="259">
        <f ca="1">IF(D206="","",COUNTIF($D$9:INDIRECT("D"&amp;ROW()),D206))</f>
        <v>33</v>
      </c>
    </row>
    <row r="207" spans="3:12" hidden="1" outlineLevel="1" x14ac:dyDescent="0.2">
      <c r="C207" s="252">
        <v>46056</v>
      </c>
      <c r="D207" s="248" t="s">
        <v>95</v>
      </c>
      <c r="E207" s="248">
        <f t="shared" si="6"/>
        <v>2026</v>
      </c>
      <c r="F207" s="257" t="s">
        <v>171</v>
      </c>
      <c r="G207" s="248" t="str">
        <f t="shared" si="7"/>
        <v>Cashflow</v>
      </c>
      <c r="H207" s="258">
        <v>5000</v>
      </c>
      <c r="I207" s="248">
        <f>IF(Table2[[#This Row],[TYPE]]="Given",Table2[[#This Row],[AMOUNT (₹)]],0)</f>
        <v>5000</v>
      </c>
      <c r="J207" s="248">
        <f>IF(Table2[[#This Row],[TYPE]]="Received",Table2[[#This Row],[AMOUNT (₹)]],0)</f>
        <v>0</v>
      </c>
      <c r="K207" s="248" t="s">
        <v>769</v>
      </c>
      <c r="L207" s="259">
        <f ca="1">IF(D207="","",COUNTIF($D$9:INDIRECT("D"&amp;ROW()),D207))</f>
        <v>34</v>
      </c>
    </row>
    <row r="208" spans="3:12" hidden="1" outlineLevel="1" x14ac:dyDescent="0.2">
      <c r="C208" s="252">
        <v>46058</v>
      </c>
      <c r="D208" s="248" t="s">
        <v>74</v>
      </c>
      <c r="E208" s="248">
        <f t="shared" si="6"/>
        <v>2026</v>
      </c>
      <c r="F208" s="257" t="s">
        <v>171</v>
      </c>
      <c r="G208" s="248" t="str">
        <f t="shared" si="7"/>
        <v>Cashflow</v>
      </c>
      <c r="H208" s="258">
        <v>4394</v>
      </c>
      <c r="I208" s="248">
        <f>IF(Table2[[#This Row],[TYPE]]="Given",Table2[[#This Row],[AMOUNT (₹)]],0)</f>
        <v>4394</v>
      </c>
      <c r="J208" s="248">
        <f>IF(Table2[[#This Row],[TYPE]]="Received",Table2[[#This Row],[AMOUNT (₹)]],0)</f>
        <v>0</v>
      </c>
      <c r="K208" s="248" t="s">
        <v>800</v>
      </c>
      <c r="L208" s="259">
        <f ca="1">IF(D208="","",COUNTIF($D$9:INDIRECT("D"&amp;ROW()),D208))</f>
        <v>8</v>
      </c>
    </row>
    <row r="209" spans="3:12" hidden="1" outlineLevel="1" x14ac:dyDescent="0.2">
      <c r="C209" s="252">
        <v>46058</v>
      </c>
      <c r="D209" s="248" t="s">
        <v>74</v>
      </c>
      <c r="E209" s="248">
        <f t="shared" si="6"/>
        <v>2026</v>
      </c>
      <c r="F209" s="257" t="s">
        <v>172</v>
      </c>
      <c r="G209" s="248" t="str">
        <f t="shared" si="7"/>
        <v>Cashflow</v>
      </c>
      <c r="H209" s="258">
        <v>10000</v>
      </c>
      <c r="I209" s="248">
        <f>IF(Table2[[#This Row],[TYPE]]="Given",Table2[[#This Row],[AMOUNT (₹)]],0)</f>
        <v>0</v>
      </c>
      <c r="J209" s="248">
        <f>IF(Table2[[#This Row],[TYPE]]="Received",Table2[[#This Row],[AMOUNT (₹)]],0)</f>
        <v>10000</v>
      </c>
      <c r="K209" s="248" t="s">
        <v>236</v>
      </c>
      <c r="L209" s="259">
        <f ca="1">IF(D209="","",COUNTIF($D$9:INDIRECT("D"&amp;ROW()),D209))</f>
        <v>9</v>
      </c>
    </row>
    <row r="210" spans="3:12" hidden="1" outlineLevel="1" x14ac:dyDescent="0.2">
      <c r="C210" s="252">
        <v>46058</v>
      </c>
      <c r="D210" s="248" t="s">
        <v>85</v>
      </c>
      <c r="E210" s="248">
        <f t="shared" si="6"/>
        <v>2026</v>
      </c>
      <c r="F210" s="257" t="s">
        <v>172</v>
      </c>
      <c r="G210" s="248" t="str">
        <f t="shared" si="7"/>
        <v>Cashflow</v>
      </c>
      <c r="H210" s="258">
        <v>50000</v>
      </c>
      <c r="I210" s="248">
        <f>IF(Table2[[#This Row],[TYPE]]="Given",Table2[[#This Row],[AMOUNT (₹)]],0)</f>
        <v>0</v>
      </c>
      <c r="J210" s="248">
        <f>IF(Table2[[#This Row],[TYPE]]="Received",Table2[[#This Row],[AMOUNT (₹)]],0)</f>
        <v>50000</v>
      </c>
      <c r="K210" s="248" t="s">
        <v>801</v>
      </c>
      <c r="L210" s="259">
        <f ca="1">IF(D210="","",COUNTIF($D$9:INDIRECT("D"&amp;ROW()),D210))</f>
        <v>12</v>
      </c>
    </row>
    <row r="211" spans="3:12" hidden="1" outlineLevel="1" x14ac:dyDescent="0.2">
      <c r="C211" s="252">
        <v>46059</v>
      </c>
      <c r="D211" s="248" t="s">
        <v>74</v>
      </c>
      <c r="E211" s="248">
        <f t="shared" si="6"/>
        <v>2026</v>
      </c>
      <c r="F211" s="257" t="s">
        <v>172</v>
      </c>
      <c r="G211" s="248" t="str">
        <f t="shared" si="7"/>
        <v>Cashflow</v>
      </c>
      <c r="H211" s="258">
        <v>6000</v>
      </c>
      <c r="I211" s="248">
        <f>IF(Table2[[#This Row],[TYPE]]="Given",Table2[[#This Row],[AMOUNT (₹)]],0)</f>
        <v>0</v>
      </c>
      <c r="J211" s="248">
        <f>IF(Table2[[#This Row],[TYPE]]="Received",Table2[[#This Row],[AMOUNT (₹)]],0)</f>
        <v>6000</v>
      </c>
      <c r="K211" s="248" t="s">
        <v>236</v>
      </c>
      <c r="L211" s="259">
        <f ca="1">IF(D211="","",COUNTIF($D$9:INDIRECT("D"&amp;ROW()),D211))</f>
        <v>10</v>
      </c>
    </row>
    <row r="212" spans="3:12" hidden="1" outlineLevel="1" x14ac:dyDescent="0.2">
      <c r="C212" s="252">
        <v>46060</v>
      </c>
      <c r="D212" s="248" t="s">
        <v>95</v>
      </c>
      <c r="E212" s="248">
        <f t="shared" si="6"/>
        <v>2026</v>
      </c>
      <c r="F212" s="257" t="s">
        <v>171</v>
      </c>
      <c r="G212" s="248" t="str">
        <f t="shared" si="7"/>
        <v>Cashflow</v>
      </c>
      <c r="H212" s="258">
        <v>4000</v>
      </c>
      <c r="I212" s="248">
        <f>IF(Table2[[#This Row],[TYPE]]="Given",Table2[[#This Row],[AMOUNT (₹)]],0)</f>
        <v>4000</v>
      </c>
      <c r="J212" s="248">
        <f>IF(Table2[[#This Row],[TYPE]]="Received",Table2[[#This Row],[AMOUNT (₹)]],0)</f>
        <v>0</v>
      </c>
      <c r="K212" s="248" t="s">
        <v>769</v>
      </c>
      <c r="L212" s="259">
        <f ca="1">IF(D212="","",COUNTIF($D$9:INDIRECT("D"&amp;ROW()),D212))</f>
        <v>35</v>
      </c>
    </row>
    <row r="213" spans="3:12" hidden="1" outlineLevel="1" x14ac:dyDescent="0.2">
      <c r="C213" s="252">
        <v>46061</v>
      </c>
      <c r="D213" s="248" t="s">
        <v>83</v>
      </c>
      <c r="E213" s="248">
        <f t="shared" si="6"/>
        <v>2026</v>
      </c>
      <c r="F213" s="257" t="s">
        <v>171</v>
      </c>
      <c r="G213" s="248" t="str">
        <f t="shared" si="7"/>
        <v>Cashflow</v>
      </c>
      <c r="H213" s="258">
        <v>8500</v>
      </c>
      <c r="I213" s="248">
        <f>IF(Table2[[#This Row],[TYPE]]="Given",Table2[[#This Row],[AMOUNT (₹)]],0)</f>
        <v>8500</v>
      </c>
      <c r="J213" s="248">
        <f>IF(Table2[[#This Row],[TYPE]]="Received",Table2[[#This Row],[AMOUNT (₹)]],0)</f>
        <v>0</v>
      </c>
      <c r="K213" s="248" t="s">
        <v>769</v>
      </c>
      <c r="L213" s="259">
        <f ca="1">IF(D213="","",COUNTIF($D$9:INDIRECT("D"&amp;ROW()),D213))</f>
        <v>3</v>
      </c>
    </row>
    <row r="214" spans="3:12" hidden="1" outlineLevel="1" x14ac:dyDescent="0.2">
      <c r="C214" s="252">
        <v>46062</v>
      </c>
      <c r="D214" s="248" t="s">
        <v>74</v>
      </c>
      <c r="E214" s="248">
        <f t="shared" si="6"/>
        <v>2026</v>
      </c>
      <c r="F214" s="257" t="s">
        <v>171</v>
      </c>
      <c r="G214" s="248" t="str">
        <f t="shared" si="7"/>
        <v>Cashflow</v>
      </c>
      <c r="H214" s="258">
        <v>2382.6799999999998</v>
      </c>
      <c r="I214" s="248">
        <f>IF(Table2[[#This Row],[TYPE]]="Given",Table2[[#This Row],[AMOUNT (₹)]],0)</f>
        <v>2382.6799999999998</v>
      </c>
      <c r="J214" s="248">
        <f>IF(Table2[[#This Row],[TYPE]]="Received",Table2[[#This Row],[AMOUNT (₹)]],0)</f>
        <v>0</v>
      </c>
      <c r="K214" s="248" t="s">
        <v>802</v>
      </c>
      <c r="L214" s="259">
        <f ca="1">IF(D214="","",COUNTIF($D$9:INDIRECT("D"&amp;ROW()),D214))</f>
        <v>11</v>
      </c>
    </row>
    <row r="215" spans="3:12" hidden="1" outlineLevel="1" x14ac:dyDescent="0.2">
      <c r="C215" s="252">
        <v>46062</v>
      </c>
      <c r="D215" s="248" t="s">
        <v>74</v>
      </c>
      <c r="E215" s="248">
        <f t="shared" si="6"/>
        <v>2026</v>
      </c>
      <c r="F215" s="257" t="s">
        <v>171</v>
      </c>
      <c r="G215" s="248" t="str">
        <f t="shared" si="7"/>
        <v>Cashflow</v>
      </c>
      <c r="H215" s="258">
        <v>3363.86</v>
      </c>
      <c r="I215" s="248">
        <f>IF(Table2[[#This Row],[TYPE]]="Given",Table2[[#This Row],[AMOUNT (₹)]],0)</f>
        <v>3363.86</v>
      </c>
      <c r="J215" s="248">
        <f>IF(Table2[[#This Row],[TYPE]]="Received",Table2[[#This Row],[AMOUNT (₹)]],0)</f>
        <v>0</v>
      </c>
      <c r="K215" s="248" t="s">
        <v>803</v>
      </c>
      <c r="L215" s="259">
        <f ca="1">IF(D215="","",COUNTIF($D$9:INDIRECT("D"&amp;ROW()),D215))</f>
        <v>12</v>
      </c>
    </row>
    <row r="216" spans="3:12" hidden="1" outlineLevel="1" x14ac:dyDescent="0.2">
      <c r="C216" s="252">
        <v>46062</v>
      </c>
      <c r="D216" s="248" t="s">
        <v>83</v>
      </c>
      <c r="E216" s="248">
        <f t="shared" si="6"/>
        <v>2026</v>
      </c>
      <c r="F216" s="257" t="s">
        <v>172</v>
      </c>
      <c r="G216" s="248" t="str">
        <f t="shared" si="7"/>
        <v>Cashflow</v>
      </c>
      <c r="H216" s="258">
        <v>5000</v>
      </c>
      <c r="I216" s="248">
        <f>IF(Table2[[#This Row],[TYPE]]="Given",Table2[[#This Row],[AMOUNT (₹)]],0)</f>
        <v>0</v>
      </c>
      <c r="J216" s="248">
        <f>IF(Table2[[#This Row],[TYPE]]="Received",Table2[[#This Row],[AMOUNT (₹)]],0)</f>
        <v>5000</v>
      </c>
      <c r="K216" s="248" t="s">
        <v>618</v>
      </c>
      <c r="L216" s="259">
        <f ca="1">IF(D216="","",COUNTIF($D$9:INDIRECT("D"&amp;ROW()),D216))</f>
        <v>4</v>
      </c>
    </row>
    <row r="217" spans="3:12" hidden="1" outlineLevel="1" x14ac:dyDescent="0.2">
      <c r="C217" s="252">
        <v>46065</v>
      </c>
      <c r="D217" s="248" t="s">
        <v>74</v>
      </c>
      <c r="E217" s="248">
        <f t="shared" si="6"/>
        <v>2026</v>
      </c>
      <c r="F217" s="257" t="s">
        <v>172</v>
      </c>
      <c r="G217" s="248" t="str">
        <f t="shared" si="7"/>
        <v>Cashflow</v>
      </c>
      <c r="H217" s="258">
        <v>4000</v>
      </c>
      <c r="I217" s="248">
        <f>IF(Table2[[#This Row],[TYPE]]="Given",Table2[[#This Row],[AMOUNT (₹)]],0)</f>
        <v>0</v>
      </c>
      <c r="J217" s="248">
        <f>IF(Table2[[#This Row],[TYPE]]="Received",Table2[[#This Row],[AMOUNT (₹)]],0)</f>
        <v>4000</v>
      </c>
      <c r="K217" s="248" t="s">
        <v>236</v>
      </c>
      <c r="L217" s="259">
        <f ca="1">IF(D217="","",COUNTIF($D$9:INDIRECT("D"&amp;ROW()),D217))</f>
        <v>13</v>
      </c>
    </row>
    <row r="218" spans="3:12" hidden="1" outlineLevel="1" x14ac:dyDescent="0.2">
      <c r="C218" s="252">
        <v>46065</v>
      </c>
      <c r="D218" s="248" t="s">
        <v>93</v>
      </c>
      <c r="E218" s="248">
        <f t="shared" si="6"/>
        <v>2026</v>
      </c>
      <c r="F218" s="257" t="s">
        <v>172</v>
      </c>
      <c r="G218" s="248" t="str">
        <f t="shared" si="7"/>
        <v>Cashflow</v>
      </c>
      <c r="H218" s="258">
        <v>3000</v>
      </c>
      <c r="I218" s="248">
        <f>IF(Table2[[#This Row],[TYPE]]="Given",Table2[[#This Row],[AMOUNT (₹)]],0)</f>
        <v>0</v>
      </c>
      <c r="J218" s="248">
        <f>IF(Table2[[#This Row],[TYPE]]="Received",Table2[[#This Row],[AMOUNT (₹)]],0)</f>
        <v>3000</v>
      </c>
      <c r="K218" s="248" t="s">
        <v>618</v>
      </c>
      <c r="L218" s="259">
        <f ca="1">IF(D218="","",COUNTIF($D$9:INDIRECT("D"&amp;ROW()),D218))</f>
        <v>7</v>
      </c>
    </row>
    <row r="219" spans="3:12" hidden="1" outlineLevel="1" x14ac:dyDescent="0.2">
      <c r="C219" s="252">
        <v>46065</v>
      </c>
      <c r="D219" s="248" t="s">
        <v>93</v>
      </c>
      <c r="E219" s="248">
        <f t="shared" si="6"/>
        <v>2026</v>
      </c>
      <c r="F219" s="257" t="s">
        <v>172</v>
      </c>
      <c r="G219" s="248" t="str">
        <f t="shared" si="7"/>
        <v>Cashflow</v>
      </c>
      <c r="H219" s="258">
        <v>18100</v>
      </c>
      <c r="I219" s="248">
        <f>IF(Table2[[#This Row],[TYPE]]="Given",Table2[[#This Row],[AMOUNT (₹)]],0)</f>
        <v>0</v>
      </c>
      <c r="J219" s="248">
        <f>IF(Table2[[#This Row],[TYPE]]="Received",Table2[[#This Row],[AMOUNT (₹)]],0)</f>
        <v>18100</v>
      </c>
      <c r="K219" s="248" t="s">
        <v>714</v>
      </c>
      <c r="L219" s="292">
        <f ca="1">IF(D219="","",COUNTIF($D$9:INDIRECT("D"&amp;ROW()),D219))</f>
        <v>8</v>
      </c>
    </row>
    <row r="220" spans="3:12" hidden="1" outlineLevel="1" x14ac:dyDescent="0.2">
      <c r="C220" s="252">
        <v>46066</v>
      </c>
      <c r="D220" s="248" t="s">
        <v>101</v>
      </c>
      <c r="E220" s="248">
        <f t="shared" si="6"/>
        <v>2026</v>
      </c>
      <c r="F220" s="257" t="s">
        <v>172</v>
      </c>
      <c r="G220" s="248" t="str">
        <f t="shared" si="7"/>
        <v>Cashflow</v>
      </c>
      <c r="H220" s="258">
        <v>4257</v>
      </c>
      <c r="I220" s="248">
        <f>IF(Table2[[#This Row],[TYPE]]="Given",Table2[[#This Row],[AMOUNT (₹)]],0)</f>
        <v>0</v>
      </c>
      <c r="J220" s="248">
        <f>IF(Table2[[#This Row],[TYPE]]="Received",Table2[[#This Row],[AMOUNT (₹)]],0)</f>
        <v>4257</v>
      </c>
      <c r="K220" s="248" t="s">
        <v>804</v>
      </c>
      <c r="L220" s="259">
        <f ca="1">IF(D220="","",COUNTIF($D$9:INDIRECT("D"&amp;ROW()),D220))</f>
        <v>17</v>
      </c>
    </row>
    <row r="221" spans="3:12" hidden="1" outlineLevel="1" x14ac:dyDescent="0.2">
      <c r="C221" s="252">
        <v>46071</v>
      </c>
      <c r="D221" s="248" t="s">
        <v>97</v>
      </c>
      <c r="E221" s="248">
        <f t="shared" si="6"/>
        <v>2026</v>
      </c>
      <c r="F221" s="257" t="s">
        <v>172</v>
      </c>
      <c r="G221" s="248" t="str">
        <f t="shared" si="7"/>
        <v>Cashflow</v>
      </c>
      <c r="H221" s="258">
        <v>17000</v>
      </c>
      <c r="I221" s="248">
        <f>IF(Table2[[#This Row],[TYPE]]="Given",Table2[[#This Row],[AMOUNT (₹)]],0)</f>
        <v>0</v>
      </c>
      <c r="J221" s="248">
        <f>IF(Table2[[#This Row],[TYPE]]="Received",Table2[[#This Row],[AMOUNT (₹)]],0)</f>
        <v>17000</v>
      </c>
      <c r="K221" s="248" t="s">
        <v>618</v>
      </c>
      <c r="L221" s="259">
        <f ca="1">IF(D221="","",COUNTIF($D$9:INDIRECT("D"&amp;ROW()),D221))</f>
        <v>4</v>
      </c>
    </row>
    <row r="222" spans="3:12" hidden="1" outlineLevel="1" x14ac:dyDescent="0.2">
      <c r="C222" s="252">
        <v>46071</v>
      </c>
      <c r="D222" s="248" t="s">
        <v>97</v>
      </c>
      <c r="E222" s="248">
        <f t="shared" si="6"/>
        <v>2026</v>
      </c>
      <c r="F222" s="257" t="s">
        <v>172</v>
      </c>
      <c r="G222" s="248" t="str">
        <f t="shared" si="7"/>
        <v>Cashflow</v>
      </c>
      <c r="H222" s="258">
        <v>550</v>
      </c>
      <c r="I222" s="248">
        <f>IF(Table2[[#This Row],[TYPE]]="Given",Table2[[#This Row],[AMOUNT (₹)]],0)</f>
        <v>0</v>
      </c>
      <c r="J222" s="248">
        <f>IF(Table2[[#This Row],[TYPE]]="Received",Table2[[#This Row],[AMOUNT (₹)]],0)</f>
        <v>550</v>
      </c>
      <c r="K222" s="248" t="s">
        <v>714</v>
      </c>
      <c r="L222" s="292">
        <f ca="1">IF(D222="","",COUNTIF($D$9:INDIRECT("D"&amp;ROW()),D222))</f>
        <v>5</v>
      </c>
    </row>
    <row r="223" spans="3:12" hidden="1" outlineLevel="1" x14ac:dyDescent="0.2">
      <c r="C223" s="252">
        <v>46072</v>
      </c>
      <c r="D223" s="248" t="s">
        <v>85</v>
      </c>
      <c r="E223" s="248">
        <f t="shared" si="6"/>
        <v>2026</v>
      </c>
      <c r="F223" s="257" t="s">
        <v>172</v>
      </c>
      <c r="G223" s="248" t="str">
        <f t="shared" si="7"/>
        <v>Cashflow</v>
      </c>
      <c r="H223" s="258">
        <v>100000</v>
      </c>
      <c r="I223" s="248">
        <f>IF(Table2[[#This Row],[TYPE]]="Given",Table2[[#This Row],[AMOUNT (₹)]],0)</f>
        <v>0</v>
      </c>
      <c r="J223" s="248">
        <f>IF(Table2[[#This Row],[TYPE]]="Received",Table2[[#This Row],[AMOUNT (₹)]],0)</f>
        <v>100000</v>
      </c>
      <c r="K223" s="248" t="s">
        <v>716</v>
      </c>
      <c r="L223" s="259">
        <f ca="1">IF(D223="","",COUNTIF($D$9:INDIRECT("D"&amp;ROW()),D223))</f>
        <v>13</v>
      </c>
    </row>
    <row r="224" spans="3:12" hidden="1" outlineLevel="1" x14ac:dyDescent="0.2">
      <c r="C224" s="252">
        <v>46072</v>
      </c>
      <c r="D224" s="248" t="s">
        <v>100</v>
      </c>
      <c r="E224" s="248">
        <f t="shared" si="6"/>
        <v>2026</v>
      </c>
      <c r="F224" s="253" t="s">
        <v>171</v>
      </c>
      <c r="G224" s="248" t="str">
        <f t="shared" si="7"/>
        <v>Cashflow</v>
      </c>
      <c r="H224" s="248">
        <v>864</v>
      </c>
      <c r="I224" s="248">
        <f>IF(Table2[[#This Row],[TYPE]]="Given",Table2[[#This Row],[AMOUNT (₹)]],0)</f>
        <v>864</v>
      </c>
      <c r="J224" s="248">
        <f>IF(Table2[[#This Row],[TYPE]]="Received",Table2[[#This Row],[AMOUNT (₹)]],0)</f>
        <v>0</v>
      </c>
      <c r="K224" s="248" t="s">
        <v>582</v>
      </c>
      <c r="L224" s="259">
        <f ca="1">IF(D224="","",COUNTIF($D$9:INDIRECT("D"&amp;ROW()),D224))</f>
        <v>9</v>
      </c>
    </row>
    <row r="225" spans="3:12" hidden="1" outlineLevel="1" x14ac:dyDescent="0.2">
      <c r="C225" s="252">
        <v>46072</v>
      </c>
      <c r="D225" s="248" t="s">
        <v>101</v>
      </c>
      <c r="E225" s="248">
        <f t="shared" si="6"/>
        <v>2026</v>
      </c>
      <c r="F225" s="257" t="s">
        <v>171</v>
      </c>
      <c r="G225" s="248" t="str">
        <f t="shared" si="7"/>
        <v>Cashflow</v>
      </c>
      <c r="H225" s="258">
        <v>4278.79</v>
      </c>
      <c r="I225" s="248">
        <f>IF(Table2[[#This Row],[TYPE]]="Given",Table2[[#This Row],[AMOUNT (₹)]],0)</f>
        <v>4278.79</v>
      </c>
      <c r="J225" s="248">
        <f>IF(Table2[[#This Row],[TYPE]]="Received",Table2[[#This Row],[AMOUNT (₹)]],0)</f>
        <v>0</v>
      </c>
      <c r="K225" s="248" t="s">
        <v>805</v>
      </c>
      <c r="L225" s="259">
        <f ca="1">IF(D225="","",COUNTIF($D$9:INDIRECT("D"&amp;ROW()),D225))</f>
        <v>18</v>
      </c>
    </row>
    <row r="226" spans="3:12" hidden="1" outlineLevel="1" x14ac:dyDescent="0.2">
      <c r="C226" s="252">
        <v>46075</v>
      </c>
      <c r="D226" s="248" t="s">
        <v>108</v>
      </c>
      <c r="E226" s="248">
        <f t="shared" si="6"/>
        <v>2026</v>
      </c>
      <c r="F226" s="257" t="s">
        <v>171</v>
      </c>
      <c r="G226" s="248" t="str">
        <f t="shared" si="7"/>
        <v>Cashflow</v>
      </c>
      <c r="H226" s="258">
        <v>1546.8</v>
      </c>
      <c r="I226" s="248">
        <f>IF(Table2[[#This Row],[TYPE]]="Given",Table2[[#This Row],[AMOUNT (₹)]],0)</f>
        <v>1546.8</v>
      </c>
      <c r="J226" s="248">
        <f>IF(Table2[[#This Row],[TYPE]]="Received",Table2[[#This Row],[AMOUNT (₹)]],0)</f>
        <v>0</v>
      </c>
      <c r="K226" s="248" t="s">
        <v>806</v>
      </c>
      <c r="L226" s="259">
        <f ca="1">IF(D226="","",COUNTIF($D$9:INDIRECT("D"&amp;ROW()),D226))</f>
        <v>1</v>
      </c>
    </row>
    <row r="227" spans="3:12" hidden="1" outlineLevel="1" x14ac:dyDescent="0.2">
      <c r="C227" s="252">
        <v>46078</v>
      </c>
      <c r="D227" s="248" t="s">
        <v>85</v>
      </c>
      <c r="E227" s="248">
        <f t="shared" si="6"/>
        <v>2026</v>
      </c>
      <c r="F227" s="257" t="s">
        <v>172</v>
      </c>
      <c r="G227" s="248" t="str">
        <f t="shared" si="7"/>
        <v>Cashflow</v>
      </c>
      <c r="H227" s="258">
        <v>50000</v>
      </c>
      <c r="I227" s="248">
        <f>IF(Table2[[#This Row],[TYPE]]="Given",Table2[[#This Row],[AMOUNT (₹)]],0)</f>
        <v>0</v>
      </c>
      <c r="J227" s="248">
        <f>IF(Table2[[#This Row],[TYPE]]="Received",Table2[[#This Row],[AMOUNT (₹)]],0)</f>
        <v>50000</v>
      </c>
      <c r="K227" s="248" t="s">
        <v>787</v>
      </c>
      <c r="L227" s="259">
        <f ca="1">IF(D227="","",COUNTIF($D$9:INDIRECT("D"&amp;ROW()),D227))</f>
        <v>14</v>
      </c>
    </row>
    <row r="228" spans="3:12" hidden="1" outlineLevel="1" x14ac:dyDescent="0.2">
      <c r="C228" s="252">
        <v>46078</v>
      </c>
      <c r="D228" s="248" t="s">
        <v>95</v>
      </c>
      <c r="E228" s="248">
        <f t="shared" si="6"/>
        <v>2026</v>
      </c>
      <c r="F228" s="257" t="s">
        <v>171</v>
      </c>
      <c r="G228" s="248" t="str">
        <f t="shared" si="7"/>
        <v>Cashflow</v>
      </c>
      <c r="H228" s="258">
        <v>10000</v>
      </c>
      <c r="I228" s="248">
        <f>IF(Table2[[#This Row],[TYPE]]="Given",Table2[[#This Row],[AMOUNT (₹)]],0)</f>
        <v>10000</v>
      </c>
      <c r="J228" s="248">
        <f>IF(Table2[[#This Row],[TYPE]]="Received",Table2[[#This Row],[AMOUNT (₹)]],0)</f>
        <v>0</v>
      </c>
      <c r="K228" s="248" t="s">
        <v>769</v>
      </c>
      <c r="L228" s="259">
        <f ca="1">IF(D228="","",COUNTIF($D$9:INDIRECT("D"&amp;ROW()),D228))</f>
        <v>36</v>
      </c>
    </row>
    <row r="229" spans="3:12" hidden="1" outlineLevel="1" x14ac:dyDescent="0.2">
      <c r="C229" s="252">
        <v>46078</v>
      </c>
      <c r="D229" s="248" t="s">
        <v>99</v>
      </c>
      <c r="E229" s="248">
        <f t="shared" si="6"/>
        <v>2026</v>
      </c>
      <c r="F229" s="257" t="s">
        <v>171</v>
      </c>
      <c r="G229" s="248" t="str">
        <f t="shared" si="7"/>
        <v>Cashflow</v>
      </c>
      <c r="H229" s="258">
        <v>50000</v>
      </c>
      <c r="I229" s="248">
        <f>IF(Table2[[#This Row],[TYPE]]="Given",Table2[[#This Row],[AMOUNT (₹)]],0)</f>
        <v>50000</v>
      </c>
      <c r="J229" s="248">
        <f>IF(Table2[[#This Row],[TYPE]]="Received",Table2[[#This Row],[AMOUNT (₹)]],0)</f>
        <v>0</v>
      </c>
      <c r="K229" s="248" t="s">
        <v>799</v>
      </c>
      <c r="L229" s="259">
        <f ca="1">IF(D229="","",COUNTIF($D$9:INDIRECT("D"&amp;ROW()),D229))</f>
        <v>13</v>
      </c>
    </row>
    <row r="230" spans="3:12" hidden="1" outlineLevel="1" x14ac:dyDescent="0.2">
      <c r="C230" s="252">
        <v>46079</v>
      </c>
      <c r="D230" s="248" t="s">
        <v>83</v>
      </c>
      <c r="E230" s="248">
        <f t="shared" si="6"/>
        <v>2026</v>
      </c>
      <c r="F230" s="257" t="s">
        <v>171</v>
      </c>
      <c r="G230" s="248" t="str">
        <f t="shared" si="7"/>
        <v>Cashflow</v>
      </c>
      <c r="H230" s="258">
        <v>3000</v>
      </c>
      <c r="I230" s="248">
        <f>IF(Table2[[#This Row],[TYPE]]="Given",Table2[[#This Row],[AMOUNT (₹)]],0)</f>
        <v>3000</v>
      </c>
      <c r="J230" s="248">
        <f>IF(Table2[[#This Row],[TYPE]]="Received",Table2[[#This Row],[AMOUNT (₹)]],0)</f>
        <v>0</v>
      </c>
      <c r="K230" s="248" t="s">
        <v>769</v>
      </c>
      <c r="L230" s="259">
        <f ca="1">IF(D230="","",COUNTIF($D$9:INDIRECT("D"&amp;ROW()),D230))</f>
        <v>5</v>
      </c>
    </row>
    <row r="231" spans="3:12" hidden="1" outlineLevel="1" x14ac:dyDescent="0.2">
      <c r="C231" s="252">
        <v>46080</v>
      </c>
      <c r="D231" s="248" t="s">
        <v>83</v>
      </c>
      <c r="E231" s="248">
        <f t="shared" si="6"/>
        <v>2026</v>
      </c>
      <c r="F231" s="257" t="s">
        <v>171</v>
      </c>
      <c r="G231" s="248" t="str">
        <f t="shared" si="7"/>
        <v>Cashflow</v>
      </c>
      <c r="H231" s="258">
        <v>1833.6</v>
      </c>
      <c r="I231" s="248">
        <f>IF(Table2[[#This Row],[TYPE]]="Given",Table2[[#This Row],[AMOUNT (₹)]],0)</f>
        <v>1833.6</v>
      </c>
      <c r="J231" s="248">
        <f>IF(Table2[[#This Row],[TYPE]]="Received",Table2[[#This Row],[AMOUNT (₹)]],0)</f>
        <v>0</v>
      </c>
      <c r="K231" s="248" t="s">
        <v>807</v>
      </c>
      <c r="L231" s="259">
        <f ca="1">IF(D231="","",COUNTIF($D$9:INDIRECT("D"&amp;ROW()),D231))</f>
        <v>6</v>
      </c>
    </row>
    <row r="232" spans="3:12" hidden="1" outlineLevel="1" x14ac:dyDescent="0.2">
      <c r="C232" s="252">
        <v>46086</v>
      </c>
      <c r="D232" s="248" t="s">
        <v>74</v>
      </c>
      <c r="E232" s="248">
        <f t="shared" si="6"/>
        <v>2026</v>
      </c>
      <c r="F232" s="257" t="s">
        <v>171</v>
      </c>
      <c r="G232" s="248" t="str">
        <f t="shared" si="7"/>
        <v>Cashflow</v>
      </c>
      <c r="H232" s="258">
        <v>4394</v>
      </c>
      <c r="I232" s="248">
        <f>IF(Table2[[#This Row],[TYPE]]="Given",Table2[[#This Row],[AMOUNT (₹)]],0)</f>
        <v>4394</v>
      </c>
      <c r="J232" s="248">
        <f>IF(Table2[[#This Row],[TYPE]]="Received",Table2[[#This Row],[AMOUNT (₹)]],0)</f>
        <v>0</v>
      </c>
      <c r="K232" s="248" t="s">
        <v>808</v>
      </c>
      <c r="L232" s="259">
        <f ca="1">IF(D232="","",COUNTIF($D$9:INDIRECT("D"&amp;ROW()),D232))</f>
        <v>14</v>
      </c>
    </row>
    <row r="233" spans="3:12" hidden="1" outlineLevel="1" x14ac:dyDescent="0.2">
      <c r="C233" s="252">
        <v>46086</v>
      </c>
      <c r="D233" s="248" t="s">
        <v>74</v>
      </c>
      <c r="E233" s="248">
        <f t="shared" si="6"/>
        <v>2026</v>
      </c>
      <c r="F233" s="257" t="s">
        <v>172</v>
      </c>
      <c r="G233" s="248" t="str">
        <f t="shared" si="7"/>
        <v>Cashflow</v>
      </c>
      <c r="H233" s="258">
        <v>10000</v>
      </c>
      <c r="I233" s="248">
        <f>IF(Table2[[#This Row],[TYPE]]="Given",Table2[[#This Row],[AMOUNT (₹)]],0)</f>
        <v>0</v>
      </c>
      <c r="J233" s="248">
        <f>IF(Table2[[#This Row],[TYPE]]="Received",Table2[[#This Row],[AMOUNT (₹)]],0)</f>
        <v>10000</v>
      </c>
      <c r="K233" s="248" t="s">
        <v>236</v>
      </c>
      <c r="L233" s="259">
        <f ca="1">IF(D233="","",COUNTIF($D$9:INDIRECT("D"&amp;ROW()),D233))</f>
        <v>15</v>
      </c>
    </row>
    <row r="234" spans="3:12" hidden="1" outlineLevel="1" x14ac:dyDescent="0.2">
      <c r="C234" s="252">
        <v>46086</v>
      </c>
      <c r="D234" s="248" t="s">
        <v>100</v>
      </c>
      <c r="E234" s="248">
        <f t="shared" si="6"/>
        <v>2026</v>
      </c>
      <c r="F234" s="253" t="s">
        <v>171</v>
      </c>
      <c r="G234" s="248" t="str">
        <f t="shared" si="7"/>
        <v>Cashflow</v>
      </c>
      <c r="H234" s="248">
        <v>15734</v>
      </c>
      <c r="I234" s="248">
        <f>IF(Table2[[#This Row],[TYPE]]="Given",Table2[[#This Row],[AMOUNT (₹)]],0)</f>
        <v>15734</v>
      </c>
      <c r="J234" s="248">
        <f>IF(Table2[[#This Row],[TYPE]]="Received",Table2[[#This Row],[AMOUNT (₹)]],0)</f>
        <v>0</v>
      </c>
      <c r="K234" s="248" t="s">
        <v>782</v>
      </c>
      <c r="L234" s="259">
        <f ca="1">IF(D234="","",COUNTIF($D$9:INDIRECT("D"&amp;ROW()),D234))</f>
        <v>10</v>
      </c>
    </row>
    <row r="235" spans="3:12" hidden="1" outlineLevel="1" x14ac:dyDescent="0.2">
      <c r="C235" s="252">
        <v>46086</v>
      </c>
      <c r="D235" s="248" t="s">
        <v>100</v>
      </c>
      <c r="E235" s="248">
        <f t="shared" si="6"/>
        <v>2026</v>
      </c>
      <c r="F235" s="257" t="s">
        <v>171</v>
      </c>
      <c r="G235" s="248" t="str">
        <f t="shared" si="7"/>
        <v>Cashflow</v>
      </c>
      <c r="H235" s="258">
        <v>0</v>
      </c>
      <c r="I235" s="248">
        <f>IF(Table2[[#This Row],[TYPE]]="Given",Table2[[#This Row],[AMOUNT (₹)]],0)</f>
        <v>0</v>
      </c>
      <c r="J235" s="248">
        <f>IF(Table2[[#This Row],[TYPE]]="Received",Table2[[#This Row],[AMOUNT (₹)]],0)</f>
        <v>0</v>
      </c>
      <c r="K235" s="248" t="s">
        <v>809</v>
      </c>
      <c r="L235" s="292">
        <f ca="1">IF(D235="","",COUNTIF($D$9:INDIRECT("D"&amp;ROW()),D235))</f>
        <v>11</v>
      </c>
    </row>
    <row r="236" spans="3:12" hidden="1" outlineLevel="1" x14ac:dyDescent="0.2">
      <c r="C236" s="252">
        <v>46090</v>
      </c>
      <c r="D236" s="248" t="s">
        <v>110</v>
      </c>
      <c r="E236" s="248">
        <f t="shared" si="6"/>
        <v>2026</v>
      </c>
      <c r="F236" s="257" t="s">
        <v>171</v>
      </c>
      <c r="G236" s="248" t="str">
        <f t="shared" si="7"/>
        <v>Cashflow</v>
      </c>
      <c r="H236" s="258">
        <v>5393.6</v>
      </c>
      <c r="I236" s="248">
        <f>IF(Table2[[#This Row],[TYPE]]="Given",Table2[[#This Row],[AMOUNT (₹)]],0)</f>
        <v>5393.6</v>
      </c>
      <c r="J236" s="248">
        <f>IF(Table2[[#This Row],[TYPE]]="Received",Table2[[#This Row],[AMOUNT (₹)]],0)</f>
        <v>0</v>
      </c>
      <c r="K236" s="248" t="s">
        <v>810</v>
      </c>
      <c r="L236" s="259">
        <f ca="1">IF(D236="","",COUNTIF($D$9:INDIRECT("D"&amp;ROW()),D236))</f>
        <v>6</v>
      </c>
    </row>
    <row r="237" spans="3:12" hidden="1" outlineLevel="1" x14ac:dyDescent="0.2">
      <c r="C237" s="252">
        <v>46091</v>
      </c>
      <c r="D237" s="248" t="s">
        <v>74</v>
      </c>
      <c r="E237" s="248">
        <f t="shared" si="6"/>
        <v>2026</v>
      </c>
      <c r="F237" s="257" t="s">
        <v>171</v>
      </c>
      <c r="G237" s="248" t="str">
        <f t="shared" si="7"/>
        <v>Cashflow</v>
      </c>
      <c r="H237" s="258">
        <v>2377.62</v>
      </c>
      <c r="I237" s="248">
        <f>IF(Table2[[#This Row],[TYPE]]="Given",Table2[[#This Row],[AMOUNT (₹)]],0)</f>
        <v>2377.62</v>
      </c>
      <c r="J237" s="248">
        <f>IF(Table2[[#This Row],[TYPE]]="Received",Table2[[#This Row],[AMOUNT (₹)]],0)</f>
        <v>0</v>
      </c>
      <c r="K237" s="248" t="s">
        <v>811</v>
      </c>
      <c r="L237" s="259">
        <f ca="1">IF(D237="","",COUNTIF($D$9:INDIRECT("D"&amp;ROW()),D237))</f>
        <v>16</v>
      </c>
    </row>
    <row r="238" spans="3:12" hidden="1" outlineLevel="1" x14ac:dyDescent="0.2">
      <c r="C238" s="252">
        <v>46091</v>
      </c>
      <c r="D238" s="248" t="s">
        <v>74</v>
      </c>
      <c r="E238" s="248">
        <f t="shared" si="6"/>
        <v>2026</v>
      </c>
      <c r="F238" s="257" t="s">
        <v>171</v>
      </c>
      <c r="G238" s="248" t="str">
        <f t="shared" si="7"/>
        <v>Cashflow</v>
      </c>
      <c r="H238" s="258">
        <v>3339.62</v>
      </c>
      <c r="I238" s="248">
        <f>IF(Table2[[#This Row],[TYPE]]="Given",Table2[[#This Row],[AMOUNT (₹)]],0)</f>
        <v>3339.62</v>
      </c>
      <c r="J238" s="248">
        <f>IF(Table2[[#This Row],[TYPE]]="Received",Table2[[#This Row],[AMOUNT (₹)]],0)</f>
        <v>0</v>
      </c>
      <c r="K238" s="248" t="s">
        <v>812</v>
      </c>
      <c r="L238" s="259">
        <f ca="1">IF(D238="","",COUNTIF($D$9:INDIRECT("D"&amp;ROW()),D238))</f>
        <v>17</v>
      </c>
    </row>
    <row r="239" spans="3:12" hidden="1" outlineLevel="1" x14ac:dyDescent="0.2">
      <c r="C239" s="252">
        <v>46092</v>
      </c>
      <c r="D239" s="248" t="s">
        <v>83</v>
      </c>
      <c r="E239" s="248">
        <f t="shared" si="6"/>
        <v>2026</v>
      </c>
      <c r="F239" s="257" t="s">
        <v>171</v>
      </c>
      <c r="G239" s="248" t="str">
        <f t="shared" si="7"/>
        <v>Cashflow</v>
      </c>
      <c r="H239" s="258">
        <v>1138.5999999999999</v>
      </c>
      <c r="I239" s="248">
        <f>IF(Table2[[#This Row],[TYPE]]="Given",Table2[[#This Row],[AMOUNT (₹)]],0)</f>
        <v>1138.5999999999999</v>
      </c>
      <c r="J239" s="248">
        <f>IF(Table2[[#This Row],[TYPE]]="Received",Table2[[#This Row],[AMOUNT (₹)]],0)</f>
        <v>0</v>
      </c>
      <c r="K239" s="248" t="s">
        <v>813</v>
      </c>
      <c r="L239" s="259">
        <f ca="1">IF(D239="","",COUNTIF($D$9:INDIRECT("D"&amp;ROW()),D239))</f>
        <v>7</v>
      </c>
    </row>
    <row r="240" spans="3:12" hidden="1" outlineLevel="1" x14ac:dyDescent="0.2">
      <c r="C240" s="252">
        <v>46093</v>
      </c>
      <c r="D240" s="248" t="s">
        <v>95</v>
      </c>
      <c r="E240" s="248">
        <f t="shared" si="6"/>
        <v>2026</v>
      </c>
      <c r="F240" s="257" t="s">
        <v>171</v>
      </c>
      <c r="G240" s="248" t="str">
        <f t="shared" si="7"/>
        <v>Cashflow</v>
      </c>
      <c r="H240" s="258">
        <v>5000</v>
      </c>
      <c r="I240" s="248">
        <f>IF(Table2[[#This Row],[TYPE]]="Given",Table2[[#This Row],[AMOUNT (₹)]],0)</f>
        <v>5000</v>
      </c>
      <c r="J240" s="248">
        <f>IF(Table2[[#This Row],[TYPE]]="Received",Table2[[#This Row],[AMOUNT (₹)]],0)</f>
        <v>0</v>
      </c>
      <c r="K240" s="248" t="s">
        <v>769</v>
      </c>
      <c r="L240" s="259">
        <f ca="1">IF(D240="","",COUNTIF($D$9:INDIRECT("D"&amp;ROW()),D240))</f>
        <v>37</v>
      </c>
    </row>
    <row r="241" spans="3:12" hidden="1" outlineLevel="1" x14ac:dyDescent="0.2">
      <c r="C241" s="252">
        <v>46093</v>
      </c>
      <c r="D241" s="248" t="s">
        <v>101</v>
      </c>
      <c r="E241" s="248">
        <f t="shared" si="6"/>
        <v>2026</v>
      </c>
      <c r="F241" s="257" t="s">
        <v>171</v>
      </c>
      <c r="G241" s="248" t="str">
        <f t="shared" si="7"/>
        <v>Cashflow</v>
      </c>
      <c r="H241" s="258">
        <v>2000</v>
      </c>
      <c r="I241" s="248">
        <f>IF(Table2[[#This Row],[TYPE]]="Given",Table2[[#This Row],[AMOUNT (₹)]],0)</f>
        <v>2000</v>
      </c>
      <c r="J241" s="248">
        <f>IF(Table2[[#This Row],[TYPE]]="Received",Table2[[#This Row],[AMOUNT (₹)]],0)</f>
        <v>0</v>
      </c>
      <c r="K241" s="248" t="s">
        <v>716</v>
      </c>
      <c r="L241" s="259">
        <f ca="1">IF(D241="","",COUNTIF($D$9:INDIRECT("D"&amp;ROW()),D241))</f>
        <v>19</v>
      </c>
    </row>
    <row r="242" spans="3:12" hidden="1" outlineLevel="1" x14ac:dyDescent="0.2">
      <c r="C242" s="252">
        <v>46096</v>
      </c>
      <c r="D242" s="248" t="s">
        <v>74</v>
      </c>
      <c r="E242" s="248">
        <f t="shared" si="6"/>
        <v>2026</v>
      </c>
      <c r="F242" s="257" t="s">
        <v>172</v>
      </c>
      <c r="G242" s="248" t="str">
        <f t="shared" si="7"/>
        <v>Cashflow</v>
      </c>
      <c r="H242" s="258">
        <v>5000</v>
      </c>
      <c r="I242" s="248">
        <f>IF(Table2[[#This Row],[TYPE]]="Given",Table2[[#This Row],[AMOUNT (₹)]],0)</f>
        <v>0</v>
      </c>
      <c r="J242" s="248">
        <f>IF(Table2[[#This Row],[TYPE]]="Received",Table2[[#This Row],[AMOUNT (₹)]],0)</f>
        <v>5000</v>
      </c>
      <c r="K242" s="248" t="s">
        <v>236</v>
      </c>
      <c r="L242" s="259">
        <f ca="1">IF(D242="","",COUNTIF($D$9:INDIRECT("D"&amp;ROW()),D242))</f>
        <v>18</v>
      </c>
    </row>
    <row r="243" spans="3:12" hidden="1" outlineLevel="1" x14ac:dyDescent="0.2">
      <c r="C243" s="252">
        <v>46097</v>
      </c>
      <c r="D243" s="248" t="s">
        <v>101</v>
      </c>
      <c r="E243" s="248">
        <f t="shared" si="6"/>
        <v>2026</v>
      </c>
      <c r="F243" s="257" t="s">
        <v>172</v>
      </c>
      <c r="G243" s="248" t="str">
        <f t="shared" si="7"/>
        <v>Cashflow</v>
      </c>
      <c r="H243" s="258">
        <v>2000</v>
      </c>
      <c r="I243" s="248">
        <f>IF(Table2[[#This Row],[TYPE]]="Given",Table2[[#This Row],[AMOUNT (₹)]],0)</f>
        <v>0</v>
      </c>
      <c r="J243" s="248">
        <f>IF(Table2[[#This Row],[TYPE]]="Received",Table2[[#This Row],[AMOUNT (₹)]],0)</f>
        <v>2000</v>
      </c>
      <c r="K243" s="248" t="s">
        <v>618</v>
      </c>
      <c r="L243" s="259">
        <f ca="1">IF(D243="","",COUNTIF($D$9:INDIRECT("D"&amp;ROW()),D243))</f>
        <v>20</v>
      </c>
    </row>
    <row r="244" spans="3:12" hidden="1" outlineLevel="1" x14ac:dyDescent="0.2">
      <c r="C244" s="252">
        <v>46098</v>
      </c>
      <c r="D244" s="248" t="s">
        <v>110</v>
      </c>
      <c r="E244" s="248">
        <f t="shared" si="6"/>
        <v>2026</v>
      </c>
      <c r="F244" s="257" t="s">
        <v>171</v>
      </c>
      <c r="G244" s="248" t="str">
        <f t="shared" si="7"/>
        <v>Cashflow</v>
      </c>
      <c r="H244" s="258">
        <v>6893.6</v>
      </c>
      <c r="I244" s="248">
        <f>IF(Table2[[#This Row],[TYPE]]="Given",Table2[[#This Row],[AMOUNT (₹)]],0)</f>
        <v>6893.6</v>
      </c>
      <c r="J244" s="248">
        <f>IF(Table2[[#This Row],[TYPE]]="Received",Table2[[#This Row],[AMOUNT (₹)]],0)</f>
        <v>0</v>
      </c>
      <c r="K244" s="248" t="s">
        <v>814</v>
      </c>
      <c r="L244" s="259">
        <f ca="1">IF(D244="","",COUNTIF($D$9:INDIRECT("D"&amp;ROW()),D244))</f>
        <v>7</v>
      </c>
    </row>
    <row r="245" spans="3:12" hidden="1" outlineLevel="1" x14ac:dyDescent="0.2">
      <c r="C245" s="252">
        <v>46098</v>
      </c>
      <c r="D245" s="248" t="s">
        <v>110</v>
      </c>
      <c r="E245" s="248">
        <f t="shared" si="6"/>
        <v>2026</v>
      </c>
      <c r="F245" s="257" t="s">
        <v>172</v>
      </c>
      <c r="G245" s="248" t="str">
        <f t="shared" si="7"/>
        <v>Cashflow</v>
      </c>
      <c r="H245" s="258">
        <v>2111</v>
      </c>
      <c r="I245" s="248">
        <f>IF(Table2[[#This Row],[TYPE]]="Given",Table2[[#This Row],[AMOUNT (₹)]],0)</f>
        <v>0</v>
      </c>
      <c r="J245" s="248">
        <f>IF(Table2[[#This Row],[TYPE]]="Received",Table2[[#This Row],[AMOUNT (₹)]],0)</f>
        <v>2111</v>
      </c>
      <c r="K245" s="248" t="s">
        <v>714</v>
      </c>
      <c r="L245" s="292">
        <f ca="1">IF(D245="","",COUNTIF($D$9:INDIRECT("D"&amp;ROW()),D245))</f>
        <v>8</v>
      </c>
    </row>
    <row r="246" spans="3:12" hidden="1" outlineLevel="1" x14ac:dyDescent="0.2">
      <c r="C246" s="252">
        <v>46099</v>
      </c>
      <c r="D246" s="248" t="s">
        <v>101</v>
      </c>
      <c r="E246" s="248">
        <f t="shared" si="6"/>
        <v>2026</v>
      </c>
      <c r="F246" s="257" t="s">
        <v>171</v>
      </c>
      <c r="G246" s="248" t="str">
        <f t="shared" si="7"/>
        <v>Cashflow</v>
      </c>
      <c r="H246" s="258">
        <v>4268.0200000000004</v>
      </c>
      <c r="I246" s="248">
        <f>IF(Table2[[#This Row],[TYPE]]="Given",Table2[[#This Row],[AMOUNT (₹)]],0)</f>
        <v>4268.0200000000004</v>
      </c>
      <c r="J246" s="248">
        <f>IF(Table2[[#This Row],[TYPE]]="Received",Table2[[#This Row],[AMOUNT (₹)]],0)</f>
        <v>0</v>
      </c>
      <c r="K246" s="248" t="s">
        <v>795</v>
      </c>
      <c r="L246" s="259">
        <f ca="1">IF(D246="","",COUNTIF($D$9:INDIRECT("D"&amp;ROW()),D246))</f>
        <v>21</v>
      </c>
    </row>
    <row r="247" spans="3:12" hidden="1" outlineLevel="1" x14ac:dyDescent="0.2">
      <c r="C247" s="252">
        <v>46109</v>
      </c>
      <c r="D247" s="248" t="s">
        <v>87</v>
      </c>
      <c r="E247" s="248">
        <f t="shared" si="6"/>
        <v>2026</v>
      </c>
      <c r="F247" s="257" t="s">
        <v>171</v>
      </c>
      <c r="G247" s="248" t="str">
        <f t="shared" si="7"/>
        <v>Cashflow</v>
      </c>
      <c r="H247" s="258">
        <v>2000</v>
      </c>
      <c r="I247" s="248">
        <f>IF(Table2[[#This Row],[TYPE]]="Given",Table2[[#This Row],[AMOUNT (₹)]],0)</f>
        <v>2000</v>
      </c>
      <c r="J247" s="248">
        <f>IF(Table2[[#This Row],[TYPE]]="Received",Table2[[#This Row],[AMOUNT (₹)]],0)</f>
        <v>0</v>
      </c>
      <c r="K247" s="248" t="s">
        <v>815</v>
      </c>
      <c r="L247" s="259">
        <f ca="1">IF(D247="","",COUNTIF($D$9:INDIRECT("D"&amp;ROW()),D247))</f>
        <v>52</v>
      </c>
    </row>
    <row r="248" spans="3:12" hidden="1" outlineLevel="1" x14ac:dyDescent="0.2">
      <c r="C248" s="252">
        <v>46113</v>
      </c>
      <c r="D248" s="248" t="s">
        <v>85</v>
      </c>
      <c r="E248" s="248">
        <f t="shared" si="6"/>
        <v>2026</v>
      </c>
      <c r="F248" s="257" t="s">
        <v>172</v>
      </c>
      <c r="G248" s="248" t="str">
        <f t="shared" si="7"/>
        <v>Cashflow</v>
      </c>
      <c r="H248" s="258">
        <v>28150</v>
      </c>
      <c r="I248" s="248">
        <f>IF(Table2[[#This Row],[TYPE]]="Given",Table2[[#This Row],[AMOUNT (₹)]],0)</f>
        <v>0</v>
      </c>
      <c r="J248" s="248">
        <f>IF(Table2[[#This Row],[TYPE]]="Received",Table2[[#This Row],[AMOUNT (₹)]],0)</f>
        <v>28150</v>
      </c>
      <c r="K248" s="248" t="s">
        <v>63</v>
      </c>
      <c r="L248" s="259">
        <f ca="1">IF(D248="","",COUNTIF($D$9:INDIRECT("D"&amp;ROW()),D248))</f>
        <v>15</v>
      </c>
    </row>
    <row r="249" spans="3:12" hidden="1" outlineLevel="1" x14ac:dyDescent="0.2">
      <c r="C249" s="252">
        <v>46113</v>
      </c>
      <c r="D249" s="248" t="s">
        <v>85</v>
      </c>
      <c r="E249" s="248">
        <f t="shared" si="6"/>
        <v>2026</v>
      </c>
      <c r="F249" s="257" t="s">
        <v>172</v>
      </c>
      <c r="G249" s="248" t="str">
        <f t="shared" si="7"/>
        <v>Cashflow</v>
      </c>
      <c r="H249" s="258">
        <v>12000</v>
      </c>
      <c r="I249" s="248">
        <f>IF(Table2[[#This Row],[TYPE]]="Given",Table2[[#This Row],[AMOUNT (₹)]],0)</f>
        <v>0</v>
      </c>
      <c r="J249" s="248">
        <f>IF(Table2[[#This Row],[TYPE]]="Received",Table2[[#This Row],[AMOUNT (₹)]],0)</f>
        <v>12000</v>
      </c>
      <c r="K249" s="248" t="s">
        <v>816</v>
      </c>
      <c r="L249" s="259">
        <f ca="1">IF(D249="","",COUNTIF($D$9:INDIRECT("D"&amp;ROW()),D249))</f>
        <v>16</v>
      </c>
    </row>
    <row r="250" spans="3:12" hidden="1" outlineLevel="1" x14ac:dyDescent="0.2">
      <c r="C250" s="252">
        <v>46114</v>
      </c>
      <c r="D250" s="248" t="s">
        <v>77</v>
      </c>
      <c r="E250" s="248">
        <f t="shared" si="6"/>
        <v>2026</v>
      </c>
      <c r="F250" s="257" t="s">
        <v>171</v>
      </c>
      <c r="G250" s="248" t="str">
        <f t="shared" si="7"/>
        <v>Cashflow</v>
      </c>
      <c r="H250" s="258">
        <v>70000</v>
      </c>
      <c r="I250" s="248">
        <f>IF(Table2[[#This Row],[TYPE]]="Given",Table2[[#This Row],[AMOUNT (₹)]],0)</f>
        <v>70000</v>
      </c>
      <c r="J250" s="248">
        <f>IF(Table2[[#This Row],[TYPE]]="Received",Table2[[#This Row],[AMOUNT (₹)]],0)</f>
        <v>0</v>
      </c>
      <c r="K250" s="248" t="s">
        <v>333</v>
      </c>
      <c r="L250" s="259">
        <f ca="1">IF(D250="","",COUNTIF($D$9:INDIRECT("D"&amp;ROW()),D250))</f>
        <v>1</v>
      </c>
    </row>
    <row r="251" spans="3:12" hidden="1" outlineLevel="1" x14ac:dyDescent="0.2">
      <c r="C251" s="252">
        <v>46114</v>
      </c>
      <c r="D251" s="248" t="s">
        <v>83</v>
      </c>
      <c r="E251" s="248">
        <f t="shared" si="6"/>
        <v>2026</v>
      </c>
      <c r="F251" s="257" t="s">
        <v>171</v>
      </c>
      <c r="G251" s="248" t="str">
        <f t="shared" si="7"/>
        <v>Cashflow</v>
      </c>
      <c r="H251" s="258">
        <v>20000</v>
      </c>
      <c r="I251" s="248">
        <f>IF(Table2[[#This Row],[TYPE]]="Given",Table2[[#This Row],[AMOUNT (₹)]],0)</f>
        <v>20000</v>
      </c>
      <c r="J251" s="248">
        <f>IF(Table2[[#This Row],[TYPE]]="Received",Table2[[#This Row],[AMOUNT (₹)]],0)</f>
        <v>0</v>
      </c>
      <c r="K251" s="248" t="s">
        <v>769</v>
      </c>
      <c r="L251" s="259">
        <f ca="1">IF(D251="","",COUNTIF($D$9:INDIRECT("D"&amp;ROW()),D251))</f>
        <v>8</v>
      </c>
    </row>
    <row r="252" spans="3:12" hidden="1" outlineLevel="1" x14ac:dyDescent="0.2">
      <c r="C252" s="252">
        <v>46117</v>
      </c>
      <c r="D252" s="248" t="s">
        <v>74</v>
      </c>
      <c r="E252" s="248">
        <f t="shared" si="6"/>
        <v>2026</v>
      </c>
      <c r="F252" s="257" t="s">
        <v>171</v>
      </c>
      <c r="G252" s="248" t="str">
        <f t="shared" si="7"/>
        <v>Cashflow</v>
      </c>
      <c r="H252" s="258">
        <v>4394</v>
      </c>
      <c r="I252" s="248">
        <f>IF(Table2[[#This Row],[TYPE]]="Given",Table2[[#This Row],[AMOUNT (₹)]],0)</f>
        <v>4394</v>
      </c>
      <c r="J252" s="248">
        <f>IF(Table2[[#This Row],[TYPE]]="Received",Table2[[#This Row],[AMOUNT (₹)]],0)</f>
        <v>0</v>
      </c>
      <c r="K252" s="248" t="s">
        <v>817</v>
      </c>
      <c r="L252" s="259">
        <f ca="1">IF(D252="","",COUNTIF($D$9:INDIRECT("D"&amp;ROW()),D252))</f>
        <v>19</v>
      </c>
    </row>
    <row r="253" spans="3:12" hidden="1" outlineLevel="1" x14ac:dyDescent="0.2">
      <c r="C253" s="252">
        <v>46117</v>
      </c>
      <c r="D253" s="248" t="s">
        <v>74</v>
      </c>
      <c r="E253" s="248">
        <f t="shared" si="6"/>
        <v>2026</v>
      </c>
      <c r="F253" s="257" t="s">
        <v>171</v>
      </c>
      <c r="G253" s="248" t="str">
        <f t="shared" si="7"/>
        <v>Cashflow</v>
      </c>
      <c r="H253" s="258">
        <v>3332.08</v>
      </c>
      <c r="I253" s="248">
        <f>IF(Table2[[#This Row],[TYPE]]="Given",Table2[[#This Row],[AMOUNT (₹)]],0)</f>
        <v>3332.08</v>
      </c>
      <c r="J253" s="248">
        <f>IF(Table2[[#This Row],[TYPE]]="Received",Table2[[#This Row],[AMOUNT (₹)]],0)</f>
        <v>0</v>
      </c>
      <c r="K253" s="248" t="s">
        <v>818</v>
      </c>
      <c r="L253" s="259">
        <f ca="1">IF(D253="","",COUNTIF($D$9:INDIRECT("D"&amp;ROW()),D253))</f>
        <v>20</v>
      </c>
    </row>
    <row r="254" spans="3:12" hidden="1" outlineLevel="1" x14ac:dyDescent="0.2">
      <c r="C254" s="252">
        <v>46117</v>
      </c>
      <c r="D254" s="248" t="s">
        <v>74</v>
      </c>
      <c r="E254" s="248">
        <f t="shared" si="6"/>
        <v>2026</v>
      </c>
      <c r="F254" s="257" t="s">
        <v>171</v>
      </c>
      <c r="G254" s="248" t="str">
        <f t="shared" si="7"/>
        <v>Cashflow</v>
      </c>
      <c r="H254" s="258">
        <v>2372.48</v>
      </c>
      <c r="I254" s="248">
        <f>IF(Table2[[#This Row],[TYPE]]="Given",Table2[[#This Row],[AMOUNT (₹)]],0)</f>
        <v>2372.48</v>
      </c>
      <c r="J254" s="248">
        <f>IF(Table2[[#This Row],[TYPE]]="Received",Table2[[#This Row],[AMOUNT (₹)]],0)</f>
        <v>0</v>
      </c>
      <c r="K254" s="248" t="s">
        <v>819</v>
      </c>
      <c r="L254" s="259">
        <f ca="1">IF(D254="","",COUNTIF($D$9:INDIRECT("D"&amp;ROW()),D254))</f>
        <v>21</v>
      </c>
    </row>
    <row r="255" spans="3:12" hidden="1" outlineLevel="1" x14ac:dyDescent="0.2">
      <c r="C255" s="252">
        <v>46117</v>
      </c>
      <c r="D255" s="248" t="s">
        <v>74</v>
      </c>
      <c r="E255" s="248">
        <f t="shared" si="6"/>
        <v>2026</v>
      </c>
      <c r="F255" s="257" t="s">
        <v>171</v>
      </c>
      <c r="G255" s="248" t="str">
        <f t="shared" si="7"/>
        <v>Cashflow</v>
      </c>
      <c r="H255" s="258">
        <v>4771.24</v>
      </c>
      <c r="I255" s="248">
        <f>IF(Table2[[#This Row],[TYPE]]="Given",Table2[[#This Row],[AMOUNT (₹)]],0)</f>
        <v>4771.24</v>
      </c>
      <c r="J255" s="248">
        <f>IF(Table2[[#This Row],[TYPE]]="Received",Table2[[#This Row],[AMOUNT (₹)]],0)</f>
        <v>0</v>
      </c>
      <c r="K255" s="248" t="s">
        <v>820</v>
      </c>
      <c r="L255" s="259">
        <f ca="1">IF(D255="","",COUNTIF($D$9:INDIRECT("D"&amp;ROW()),D255))</f>
        <v>22</v>
      </c>
    </row>
    <row r="256" spans="3:12" hidden="1" outlineLevel="1" x14ac:dyDescent="0.2">
      <c r="C256" s="252">
        <v>46117</v>
      </c>
      <c r="D256" s="248" t="s">
        <v>74</v>
      </c>
      <c r="E256" s="248">
        <f t="shared" si="6"/>
        <v>2026</v>
      </c>
      <c r="F256" s="257" t="s">
        <v>171</v>
      </c>
      <c r="G256" s="248" t="str">
        <f t="shared" si="7"/>
        <v>Cashflow</v>
      </c>
      <c r="H256" s="258">
        <v>8315</v>
      </c>
      <c r="I256" s="248">
        <f>IF(Table2[[#This Row],[TYPE]]="Given",Table2[[#This Row],[AMOUNT (₹)]],0)</f>
        <v>8315</v>
      </c>
      <c r="J256" s="248">
        <f>IF(Table2[[#This Row],[TYPE]]="Received",Table2[[#This Row],[AMOUNT (₹)]],0)</f>
        <v>0</v>
      </c>
      <c r="K256" s="248" t="s">
        <v>821</v>
      </c>
      <c r="L256" s="259">
        <f ca="1">IF(D256="","",COUNTIF($D$9:INDIRECT("D"&amp;ROW()),D256))</f>
        <v>23</v>
      </c>
    </row>
    <row r="257" spans="3:12" hidden="1" outlineLevel="1" x14ac:dyDescent="0.2">
      <c r="C257" s="252">
        <v>46118</v>
      </c>
      <c r="D257" s="248" t="s">
        <v>74</v>
      </c>
      <c r="E257" s="248">
        <f t="shared" si="6"/>
        <v>2026</v>
      </c>
      <c r="F257" s="257" t="s">
        <v>172</v>
      </c>
      <c r="G257" s="248" t="str">
        <f t="shared" si="7"/>
        <v>Cashflow</v>
      </c>
      <c r="H257" s="258">
        <v>15000</v>
      </c>
      <c r="I257" s="248">
        <f>IF(Table2[[#This Row],[TYPE]]="Given",Table2[[#This Row],[AMOUNT (₹)]],0)</f>
        <v>0</v>
      </c>
      <c r="J257" s="248">
        <f>IF(Table2[[#This Row],[TYPE]]="Received",Table2[[#This Row],[AMOUNT (₹)]],0)</f>
        <v>15000</v>
      </c>
      <c r="K257" s="248" t="s">
        <v>236</v>
      </c>
      <c r="L257" s="259">
        <f ca="1">IF(D257="","",COUNTIF($D$9:INDIRECT("D"&amp;ROW()),D257))</f>
        <v>24</v>
      </c>
    </row>
    <row r="258" spans="3:12" hidden="1" outlineLevel="1" x14ac:dyDescent="0.2">
      <c r="C258" s="252">
        <v>46118</v>
      </c>
      <c r="D258" s="248" t="s">
        <v>74</v>
      </c>
      <c r="E258" s="248">
        <f t="shared" si="6"/>
        <v>2026</v>
      </c>
      <c r="F258" s="257" t="s">
        <v>172</v>
      </c>
      <c r="G258" s="248" t="str">
        <f t="shared" si="7"/>
        <v>Cashflow</v>
      </c>
      <c r="H258" s="258">
        <v>3000</v>
      </c>
      <c r="I258" s="248">
        <f>IF(Table2[[#This Row],[TYPE]]="Given",Table2[[#This Row],[AMOUNT (₹)]],0)</f>
        <v>0</v>
      </c>
      <c r="J258" s="248">
        <f>IF(Table2[[#This Row],[TYPE]]="Received",Table2[[#This Row],[AMOUNT (₹)]],0)</f>
        <v>3000</v>
      </c>
      <c r="K258" s="248" t="s">
        <v>236</v>
      </c>
      <c r="L258" s="259">
        <f ca="1">IF(D258="","",COUNTIF($D$9:INDIRECT("D"&amp;ROW()),D258))</f>
        <v>25</v>
      </c>
    </row>
    <row r="259" spans="3:12" hidden="1" outlineLevel="1" x14ac:dyDescent="0.2">
      <c r="C259" s="252">
        <v>46123</v>
      </c>
      <c r="D259" s="248" t="s">
        <v>85</v>
      </c>
      <c r="E259" s="248">
        <f t="shared" si="6"/>
        <v>2026</v>
      </c>
      <c r="F259" s="257" t="s">
        <v>172</v>
      </c>
      <c r="G259" s="248" t="str">
        <f t="shared" si="7"/>
        <v>Cashflow</v>
      </c>
      <c r="H259" s="258">
        <v>50000</v>
      </c>
      <c r="I259" s="248">
        <f>IF(Table2[[#This Row],[TYPE]]="Given",Table2[[#This Row],[AMOUNT (₹)]],0)</f>
        <v>0</v>
      </c>
      <c r="J259" s="248">
        <f>IF(Table2[[#This Row],[TYPE]]="Received",Table2[[#This Row],[AMOUNT (₹)]],0)</f>
        <v>50000</v>
      </c>
      <c r="K259" s="248" t="s">
        <v>716</v>
      </c>
      <c r="L259" s="259">
        <f ca="1">IF(D259="","",COUNTIF($D$9:INDIRECT("D"&amp;ROW()),D259))</f>
        <v>17</v>
      </c>
    </row>
    <row r="260" spans="3:12" hidden="1" outlineLevel="1" x14ac:dyDescent="0.2">
      <c r="C260" s="252">
        <v>46130</v>
      </c>
      <c r="D260" s="248" t="s">
        <v>77</v>
      </c>
      <c r="E260" s="248">
        <f t="shared" si="6"/>
        <v>2026</v>
      </c>
      <c r="F260" s="257" t="s">
        <v>171</v>
      </c>
      <c r="G260" s="248" t="str">
        <f t="shared" si="7"/>
        <v>Cashflow</v>
      </c>
      <c r="H260" s="258">
        <v>24000</v>
      </c>
      <c r="I260" s="248">
        <f>IF(Table2[[#This Row],[TYPE]]="Given",Table2[[#This Row],[AMOUNT (₹)]],0)</f>
        <v>24000</v>
      </c>
      <c r="J260" s="248">
        <f>IF(Table2[[#This Row],[TYPE]]="Received",Table2[[#This Row],[AMOUNT (₹)]],0)</f>
        <v>0</v>
      </c>
      <c r="K260" s="248" t="s">
        <v>63</v>
      </c>
      <c r="L260" s="259">
        <f ca="1">IF(D260="","",COUNTIF($D$9:INDIRECT("D"&amp;ROW()),D260))</f>
        <v>2</v>
      </c>
    </row>
    <row r="261" spans="3:12" hidden="1" outlineLevel="1" x14ac:dyDescent="0.2">
      <c r="C261" s="252">
        <v>46131</v>
      </c>
      <c r="D261" s="248" t="s">
        <v>101</v>
      </c>
      <c r="E261" s="248">
        <f t="shared" si="6"/>
        <v>2026</v>
      </c>
      <c r="F261" s="257" t="s">
        <v>171</v>
      </c>
      <c r="G261" s="248" t="str">
        <f t="shared" si="7"/>
        <v>Cashflow</v>
      </c>
      <c r="H261" s="258">
        <v>4095</v>
      </c>
      <c r="I261" s="248">
        <f>IF(Table2[[#This Row],[TYPE]]="Given",Table2[[#This Row],[AMOUNT (₹)]],0)</f>
        <v>4095</v>
      </c>
      <c r="J261" s="248">
        <f>IF(Table2[[#This Row],[TYPE]]="Received",Table2[[#This Row],[AMOUNT (₹)]],0)</f>
        <v>0</v>
      </c>
      <c r="K261" s="248" t="s">
        <v>822</v>
      </c>
      <c r="L261" s="259">
        <f ca="1">IF(D261="","",COUNTIF($D$9:INDIRECT("D"&amp;ROW()),D261))</f>
        <v>22</v>
      </c>
    </row>
    <row r="262" spans="3:12" hidden="1" outlineLevel="1" x14ac:dyDescent="0.2">
      <c r="C262" s="252">
        <v>46131</v>
      </c>
      <c r="D262" s="248" t="s">
        <v>101</v>
      </c>
      <c r="E262" s="248">
        <f t="shared" si="6"/>
        <v>2026</v>
      </c>
      <c r="F262" s="257" t="s">
        <v>171</v>
      </c>
      <c r="G262" s="248" t="str">
        <f t="shared" si="7"/>
        <v>Cashflow</v>
      </c>
      <c r="H262" s="258">
        <v>4257.08</v>
      </c>
      <c r="I262" s="248">
        <f>IF(Table2[[#This Row],[TYPE]]="Given",Table2[[#This Row],[AMOUNT (₹)]],0)</f>
        <v>4257.08</v>
      </c>
      <c r="J262" s="248">
        <f>IF(Table2[[#This Row],[TYPE]]="Received",Table2[[#This Row],[AMOUNT (₹)]],0)</f>
        <v>0</v>
      </c>
      <c r="K262" s="248" t="s">
        <v>804</v>
      </c>
      <c r="L262" s="259">
        <f ca="1">IF(D262="","",COUNTIF($D$9:INDIRECT("D"&amp;ROW()),D262))</f>
        <v>23</v>
      </c>
    </row>
    <row r="263" spans="3:12" hidden="1" outlineLevel="1" x14ac:dyDescent="0.2">
      <c r="C263" s="252">
        <v>46134</v>
      </c>
      <c r="D263" s="248" t="s">
        <v>87</v>
      </c>
      <c r="E263" s="248">
        <f t="shared" si="6"/>
        <v>2026</v>
      </c>
      <c r="F263" s="257" t="s">
        <v>171</v>
      </c>
      <c r="G263" s="248" t="str">
        <f t="shared" si="7"/>
        <v>Cashflow</v>
      </c>
      <c r="H263" s="258">
        <v>1833.6</v>
      </c>
      <c r="I263" s="248">
        <f>IF(Table2[[#This Row],[TYPE]]="Given",Table2[[#This Row],[AMOUNT (₹)]],0)</f>
        <v>1833.6</v>
      </c>
      <c r="J263" s="248">
        <f>IF(Table2[[#This Row],[TYPE]]="Received",Table2[[#This Row],[AMOUNT (₹)]],0)</f>
        <v>0</v>
      </c>
      <c r="K263" s="248" t="s">
        <v>823</v>
      </c>
      <c r="L263" s="259">
        <f ca="1">IF(D263="","",COUNTIF($D$9:INDIRECT("D"&amp;ROW()),D263))</f>
        <v>53</v>
      </c>
    </row>
    <row r="264" spans="3:12" hidden="1" outlineLevel="1" x14ac:dyDescent="0.2">
      <c r="C264" s="252">
        <v>46135</v>
      </c>
      <c r="D264" s="248" t="s">
        <v>77</v>
      </c>
      <c r="E264" s="248">
        <f t="shared" si="6"/>
        <v>2026</v>
      </c>
      <c r="F264" s="257" t="s">
        <v>172</v>
      </c>
      <c r="G264" s="248" t="str">
        <f t="shared" si="7"/>
        <v>Cashflow</v>
      </c>
      <c r="H264" s="258">
        <v>9000</v>
      </c>
      <c r="I264" s="248">
        <f>IF(Table2[[#This Row],[TYPE]]="Given",Table2[[#This Row],[AMOUNT (₹)]],0)</f>
        <v>0</v>
      </c>
      <c r="J264" s="248">
        <f>IF(Table2[[#This Row],[TYPE]]="Received",Table2[[#This Row],[AMOUNT (₹)]],0)</f>
        <v>9000</v>
      </c>
      <c r="K264" s="248" t="s">
        <v>618</v>
      </c>
      <c r="L264" s="259">
        <f ca="1">IF(D264="","",COUNTIF($D$9:INDIRECT("D"&amp;ROW()),D264))</f>
        <v>3</v>
      </c>
    </row>
    <row r="265" spans="3:12" hidden="1" outlineLevel="1" x14ac:dyDescent="0.2">
      <c r="C265" s="252">
        <v>46136</v>
      </c>
      <c r="D265" s="248" t="s">
        <v>74</v>
      </c>
      <c r="E265" s="248">
        <f t="shared" ref="E265:E305" si="8">IFERROR(YEAR(C265),"")</f>
        <v>2026</v>
      </c>
      <c r="F265" s="257" t="s">
        <v>172</v>
      </c>
      <c r="G265" s="248" t="str">
        <f t="shared" ref="G265:G305" si="9">$F$6</f>
        <v>Cashflow</v>
      </c>
      <c r="H265" s="258">
        <v>5000</v>
      </c>
      <c r="I265" s="248">
        <f>IF(Table2[[#This Row],[TYPE]]="Given",Table2[[#This Row],[AMOUNT (₹)]],0)</f>
        <v>0</v>
      </c>
      <c r="J265" s="248">
        <f>IF(Table2[[#This Row],[TYPE]]="Received",Table2[[#This Row],[AMOUNT (₹)]],0)</f>
        <v>5000</v>
      </c>
      <c r="K265" s="248" t="s">
        <v>236</v>
      </c>
      <c r="L265" s="259">
        <f ca="1">IF(D265="","",COUNTIF($D$9:INDIRECT("D"&amp;ROW()),D265))</f>
        <v>26</v>
      </c>
    </row>
    <row r="266" spans="3:12" hidden="1" outlineLevel="1" x14ac:dyDescent="0.2">
      <c r="C266" s="252">
        <v>46137</v>
      </c>
      <c r="D266" s="248" t="s">
        <v>77</v>
      </c>
      <c r="E266" s="248">
        <f t="shared" si="8"/>
        <v>2026</v>
      </c>
      <c r="F266" s="257" t="s">
        <v>172</v>
      </c>
      <c r="G266" s="248" t="str">
        <f t="shared" si="9"/>
        <v>Cashflow</v>
      </c>
      <c r="H266" s="258">
        <v>20000</v>
      </c>
      <c r="I266" s="248">
        <f>IF(Table2[[#This Row],[TYPE]]="Given",Table2[[#This Row],[AMOUNT (₹)]],0)</f>
        <v>0</v>
      </c>
      <c r="J266" s="248">
        <f>IF(Table2[[#This Row],[TYPE]]="Received",Table2[[#This Row],[AMOUNT (₹)]],0)</f>
        <v>20000</v>
      </c>
      <c r="K266" s="248" t="s">
        <v>618</v>
      </c>
      <c r="L266" s="259">
        <f ca="1">IF(D266="","",COUNTIF($D$9:INDIRECT("D"&amp;ROW()),D266))</f>
        <v>4</v>
      </c>
    </row>
    <row r="267" spans="3:12" hidden="1" outlineLevel="1" x14ac:dyDescent="0.2">
      <c r="C267" s="252">
        <v>46139</v>
      </c>
      <c r="D267" s="248" t="s">
        <v>81</v>
      </c>
      <c r="E267" s="248">
        <f t="shared" si="8"/>
        <v>2026</v>
      </c>
      <c r="F267" s="257" t="s">
        <v>171</v>
      </c>
      <c r="G267" s="248" t="str">
        <f t="shared" si="9"/>
        <v>Cashflow</v>
      </c>
      <c r="H267" s="258">
        <v>50000</v>
      </c>
      <c r="I267" s="248">
        <f>IF(Table2[[#This Row],[TYPE]]="Given",Table2[[#This Row],[AMOUNT (₹)]],0)</f>
        <v>50000</v>
      </c>
      <c r="J267" s="248">
        <f>IF(Table2[[#This Row],[TYPE]]="Received",Table2[[#This Row],[AMOUNT (₹)]],0)</f>
        <v>0</v>
      </c>
      <c r="K267" s="248" t="s">
        <v>824</v>
      </c>
      <c r="L267" s="259">
        <f ca="1">IF(D267="","",COUNTIF($D$9:INDIRECT("D"&amp;ROW()),D267))</f>
        <v>1</v>
      </c>
    </row>
    <row r="268" spans="3:12" hidden="1" outlineLevel="1" x14ac:dyDescent="0.2">
      <c r="C268" s="252">
        <v>46139</v>
      </c>
      <c r="D268" s="248" t="s">
        <v>81</v>
      </c>
      <c r="E268" s="248">
        <f t="shared" si="8"/>
        <v>2026</v>
      </c>
      <c r="F268" s="257" t="s">
        <v>171</v>
      </c>
      <c r="G268" s="248" t="str">
        <f t="shared" si="9"/>
        <v>Cashflow</v>
      </c>
      <c r="H268" s="258">
        <v>7700</v>
      </c>
      <c r="I268" s="248">
        <f>IF(Table2[[#This Row],[TYPE]]="Given",Table2[[#This Row],[AMOUNT (₹)]],0)</f>
        <v>7700</v>
      </c>
      <c r="J268" s="248">
        <f>IF(Table2[[#This Row],[TYPE]]="Received",Table2[[#This Row],[AMOUNT (₹)]],0)</f>
        <v>0</v>
      </c>
      <c r="K268" s="248" t="s">
        <v>825</v>
      </c>
      <c r="L268" s="259">
        <f ca="1">IF(D268="","",COUNTIF($D$9:INDIRECT("D"&amp;ROW()),D268))</f>
        <v>2</v>
      </c>
    </row>
    <row r="269" spans="3:12" hidden="1" outlineLevel="1" x14ac:dyDescent="0.2">
      <c r="C269" s="252">
        <v>46139</v>
      </c>
      <c r="D269" s="248" t="s">
        <v>81</v>
      </c>
      <c r="E269" s="248">
        <f t="shared" si="8"/>
        <v>2026</v>
      </c>
      <c r="F269" s="257" t="s">
        <v>171</v>
      </c>
      <c r="G269" s="248" t="str">
        <f t="shared" si="9"/>
        <v>Cashflow</v>
      </c>
      <c r="H269" s="258">
        <v>5000</v>
      </c>
      <c r="I269" s="248">
        <f>IF(Table2[[#This Row],[TYPE]]="Given",Table2[[#This Row],[AMOUNT (₹)]],0)</f>
        <v>5000</v>
      </c>
      <c r="J269" s="248">
        <f>IF(Table2[[#This Row],[TYPE]]="Received",Table2[[#This Row],[AMOUNT (₹)]],0)</f>
        <v>0</v>
      </c>
      <c r="K269" s="248" t="s">
        <v>826</v>
      </c>
      <c r="L269" s="259">
        <f ca="1">IF(D269="","",COUNTIF($D$9:INDIRECT("D"&amp;ROW()),D269))</f>
        <v>3</v>
      </c>
    </row>
    <row r="270" spans="3:12" hidden="1" outlineLevel="1" x14ac:dyDescent="0.2">
      <c r="C270" s="252">
        <v>46139</v>
      </c>
      <c r="D270" s="248" t="s">
        <v>81</v>
      </c>
      <c r="E270" s="248">
        <f t="shared" si="8"/>
        <v>2026</v>
      </c>
      <c r="F270" s="257" t="s">
        <v>171</v>
      </c>
      <c r="G270" s="248" t="str">
        <f t="shared" si="9"/>
        <v>Cashflow</v>
      </c>
      <c r="H270" s="258">
        <v>932</v>
      </c>
      <c r="I270" s="248">
        <f>IF(Table2[[#This Row],[TYPE]]="Given",Table2[[#This Row],[AMOUNT (₹)]],0)</f>
        <v>932</v>
      </c>
      <c r="J270" s="248">
        <f>IF(Table2[[#This Row],[TYPE]]="Received",Table2[[#This Row],[AMOUNT (₹)]],0)</f>
        <v>0</v>
      </c>
      <c r="K270" s="248" t="s">
        <v>827</v>
      </c>
      <c r="L270" s="259">
        <f ca="1">IF(D270="","",COUNTIF($D$9:INDIRECT("D"&amp;ROW()),D270))</f>
        <v>4</v>
      </c>
    </row>
    <row r="271" spans="3:12" hidden="1" outlineLevel="1" x14ac:dyDescent="0.2">
      <c r="C271" s="252">
        <v>46139</v>
      </c>
      <c r="D271" s="248" t="s">
        <v>85</v>
      </c>
      <c r="E271" s="248">
        <f t="shared" si="8"/>
        <v>2026</v>
      </c>
      <c r="F271" s="257" t="s">
        <v>172</v>
      </c>
      <c r="G271" s="248" t="str">
        <f t="shared" si="9"/>
        <v>Cashflow</v>
      </c>
      <c r="H271" s="258">
        <v>100000</v>
      </c>
      <c r="I271" s="248">
        <f>IF(Table2[[#This Row],[TYPE]]="Given",Table2[[#This Row],[AMOUNT (₹)]],0)</f>
        <v>0</v>
      </c>
      <c r="J271" s="248">
        <f>IF(Table2[[#This Row],[TYPE]]="Received",Table2[[#This Row],[AMOUNT (₹)]],0)</f>
        <v>100000</v>
      </c>
      <c r="K271" s="248" t="s">
        <v>787</v>
      </c>
      <c r="L271" s="259">
        <f ca="1">IF(D271="","",COUNTIF($D$9:INDIRECT("D"&amp;ROW()),D271))</f>
        <v>18</v>
      </c>
    </row>
    <row r="272" spans="3:12" hidden="1" outlineLevel="1" x14ac:dyDescent="0.2">
      <c r="C272" s="252">
        <v>46140</v>
      </c>
      <c r="D272" s="248" t="s">
        <v>74</v>
      </c>
      <c r="E272" s="248">
        <f t="shared" si="8"/>
        <v>2026</v>
      </c>
      <c r="F272" s="257" t="s">
        <v>171</v>
      </c>
      <c r="G272" s="248" t="str">
        <f t="shared" si="9"/>
        <v>Cashflow</v>
      </c>
      <c r="H272" s="258">
        <v>5000</v>
      </c>
      <c r="I272" s="248">
        <f>IF(Table2[[#This Row],[TYPE]]="Given",Table2[[#This Row],[AMOUNT (₹)]],0)</f>
        <v>5000</v>
      </c>
      <c r="J272" s="248">
        <f>IF(Table2[[#This Row],[TYPE]]="Received",Table2[[#This Row],[AMOUNT (₹)]],0)</f>
        <v>0</v>
      </c>
      <c r="K272" s="248" t="s">
        <v>618</v>
      </c>
      <c r="L272" s="259">
        <f ca="1">IF(D272="","",COUNTIF($D$9:INDIRECT("D"&amp;ROW()),D272))</f>
        <v>27</v>
      </c>
    </row>
    <row r="273" spans="3:12" hidden="1" outlineLevel="1" x14ac:dyDescent="0.2">
      <c r="C273" s="252">
        <v>46142</v>
      </c>
      <c r="D273" s="248" t="s">
        <v>81</v>
      </c>
      <c r="E273" s="248">
        <f t="shared" si="8"/>
        <v>2026</v>
      </c>
      <c r="F273" s="257" t="s">
        <v>171</v>
      </c>
      <c r="G273" s="248" t="str">
        <f t="shared" si="9"/>
        <v>Cashflow</v>
      </c>
      <c r="H273" s="258">
        <v>25902</v>
      </c>
      <c r="I273" s="248">
        <f>IF(Table2[[#This Row],[TYPE]]="Given",Table2[[#This Row],[AMOUNT (₹)]],0)</f>
        <v>25902</v>
      </c>
      <c r="J273" s="248">
        <f>IF(Table2[[#This Row],[TYPE]]="Received",Table2[[#This Row],[AMOUNT (₹)]],0)</f>
        <v>0</v>
      </c>
      <c r="K273" s="248" t="s">
        <v>828</v>
      </c>
      <c r="L273" s="259">
        <f ca="1">IF(D273="","",COUNTIF($D$9:INDIRECT("D"&amp;ROW()),D273))</f>
        <v>5</v>
      </c>
    </row>
    <row r="274" spans="3:12" hidden="1" outlineLevel="1" x14ac:dyDescent="0.2">
      <c r="C274" s="252">
        <v>46146</v>
      </c>
      <c r="D274" s="248" t="s">
        <v>81</v>
      </c>
      <c r="E274" s="248">
        <f t="shared" si="8"/>
        <v>2026</v>
      </c>
      <c r="F274" s="257" t="s">
        <v>171</v>
      </c>
      <c r="G274" s="248" t="str">
        <f t="shared" si="9"/>
        <v>Cashflow</v>
      </c>
      <c r="H274" s="258">
        <v>24358</v>
      </c>
      <c r="I274" s="248">
        <f>IF(Table2[[#This Row],[TYPE]]="Given",Table2[[#This Row],[AMOUNT (₹)]],0)</f>
        <v>24358</v>
      </c>
      <c r="J274" s="248">
        <f>IF(Table2[[#This Row],[TYPE]]="Received",Table2[[#This Row],[AMOUNT (₹)]],0)</f>
        <v>0</v>
      </c>
      <c r="K274" s="248" t="s">
        <v>829</v>
      </c>
      <c r="L274" s="259">
        <f ca="1">IF(D274="","",COUNTIF($D$9:INDIRECT("D"&amp;ROW()),D274))</f>
        <v>6</v>
      </c>
    </row>
    <row r="275" spans="3:12" hidden="1" outlineLevel="1" x14ac:dyDescent="0.2">
      <c r="C275" s="252">
        <v>46146</v>
      </c>
      <c r="D275" s="248" t="s">
        <v>81</v>
      </c>
      <c r="E275" s="248">
        <f t="shared" si="8"/>
        <v>2026</v>
      </c>
      <c r="F275" s="257" t="s">
        <v>171</v>
      </c>
      <c r="G275" s="248" t="str">
        <f t="shared" si="9"/>
        <v>Cashflow</v>
      </c>
      <c r="H275" s="258">
        <v>28329</v>
      </c>
      <c r="I275" s="248">
        <f>IF(Table2[[#This Row],[TYPE]]="Given",Table2[[#This Row],[AMOUNT (₹)]],0)</f>
        <v>28329</v>
      </c>
      <c r="J275" s="248">
        <f>IF(Table2[[#This Row],[TYPE]]="Received",Table2[[#This Row],[AMOUNT (₹)]],0)</f>
        <v>0</v>
      </c>
      <c r="K275" s="248" t="s">
        <v>830</v>
      </c>
      <c r="L275" s="259">
        <f ca="1">IF(D275="","",COUNTIF($D$9:INDIRECT("D"&amp;ROW()),D275))</f>
        <v>7</v>
      </c>
    </row>
    <row r="276" spans="3:12" hidden="1" outlineLevel="1" x14ac:dyDescent="0.2">
      <c r="C276" s="252">
        <v>46147</v>
      </c>
      <c r="D276" s="248" t="s">
        <v>74</v>
      </c>
      <c r="E276" s="248">
        <f t="shared" si="8"/>
        <v>2026</v>
      </c>
      <c r="F276" s="257" t="s">
        <v>171</v>
      </c>
      <c r="G276" s="248" t="str">
        <f t="shared" si="9"/>
        <v>Cashflow</v>
      </c>
      <c r="H276" s="258">
        <v>4394</v>
      </c>
      <c r="I276" s="248">
        <f>IF(Table2[[#This Row],[TYPE]]="Given",Table2[[#This Row],[AMOUNT (₹)]],0)</f>
        <v>4394</v>
      </c>
      <c r="J276" s="248">
        <f>IF(Table2[[#This Row],[TYPE]]="Received",Table2[[#This Row],[AMOUNT (₹)]],0)</f>
        <v>0</v>
      </c>
      <c r="K276" s="248" t="s">
        <v>831</v>
      </c>
      <c r="L276" s="259">
        <f ca="1">IF(D276="","",COUNTIF($D$9:INDIRECT("D"&amp;ROW()),D276))</f>
        <v>28</v>
      </c>
    </row>
    <row r="277" spans="3:12" hidden="1" outlineLevel="1" x14ac:dyDescent="0.2">
      <c r="C277" s="252">
        <v>46148</v>
      </c>
      <c r="D277" s="248" t="s">
        <v>74</v>
      </c>
      <c r="E277" s="248">
        <f t="shared" si="8"/>
        <v>2026</v>
      </c>
      <c r="F277" s="257" t="s">
        <v>172</v>
      </c>
      <c r="G277" s="248" t="str">
        <f t="shared" si="9"/>
        <v>Cashflow</v>
      </c>
      <c r="H277" s="258">
        <v>59000</v>
      </c>
      <c r="I277" s="248">
        <f>IF(Table2[[#This Row],[TYPE]]="Given",Table2[[#This Row],[AMOUNT (₹)]],0)</f>
        <v>0</v>
      </c>
      <c r="J277" s="248">
        <f>IF(Table2[[#This Row],[TYPE]]="Received",Table2[[#This Row],[AMOUNT (₹)]],0)</f>
        <v>59000</v>
      </c>
      <c r="K277" s="248" t="s">
        <v>832</v>
      </c>
      <c r="L277" s="259">
        <f ca="1">IF(D277="","",COUNTIF($D$9:INDIRECT("D"&amp;ROW()),D277))</f>
        <v>29</v>
      </c>
    </row>
    <row r="278" spans="3:12" hidden="1" outlineLevel="1" x14ac:dyDescent="0.2">
      <c r="C278" s="252">
        <v>46148</v>
      </c>
      <c r="D278" s="248" t="s">
        <v>74</v>
      </c>
      <c r="E278" s="248">
        <f t="shared" si="8"/>
        <v>2026</v>
      </c>
      <c r="F278" s="257" t="s">
        <v>171</v>
      </c>
      <c r="G278" s="248" t="str">
        <f t="shared" si="9"/>
        <v>Cashflow</v>
      </c>
      <c r="H278" s="258">
        <v>4394</v>
      </c>
      <c r="I278" s="248">
        <f>IF(Table2[[#This Row],[TYPE]]="Given",Table2[[#This Row],[AMOUNT (₹)]],0)</f>
        <v>4394</v>
      </c>
      <c r="J278" s="248">
        <f>IF(Table2[[#This Row],[TYPE]]="Received",Table2[[#This Row],[AMOUNT (₹)]],0)</f>
        <v>0</v>
      </c>
      <c r="K278" s="248" t="s">
        <v>833</v>
      </c>
      <c r="L278" s="259">
        <f ca="1">IF(D278="","",COUNTIF($D$9:INDIRECT("D"&amp;ROW()),D278))</f>
        <v>30</v>
      </c>
    </row>
    <row r="279" spans="3:12" hidden="1" outlineLevel="1" x14ac:dyDescent="0.2">
      <c r="C279" s="252">
        <v>46148</v>
      </c>
      <c r="D279" s="248" t="s">
        <v>74</v>
      </c>
      <c r="E279" s="248">
        <f t="shared" si="8"/>
        <v>2026</v>
      </c>
      <c r="F279" s="257" t="s">
        <v>171</v>
      </c>
      <c r="G279" s="248" t="str">
        <f t="shared" si="9"/>
        <v>Cashflow</v>
      </c>
      <c r="H279" s="258">
        <v>4394</v>
      </c>
      <c r="I279" s="248">
        <f>IF(Table2[[#This Row],[TYPE]]="Given",Table2[[#This Row],[AMOUNT (₹)]],0)</f>
        <v>4394</v>
      </c>
      <c r="J279" s="248">
        <f>IF(Table2[[#This Row],[TYPE]]="Received",Table2[[#This Row],[AMOUNT (₹)]],0)</f>
        <v>0</v>
      </c>
      <c r="K279" s="248" t="s">
        <v>834</v>
      </c>
      <c r="L279" s="259">
        <f ca="1">IF(D279="","",COUNTIF($D$9:INDIRECT("D"&amp;ROW()),D279))</f>
        <v>31</v>
      </c>
    </row>
    <row r="280" spans="3:12" hidden="1" outlineLevel="1" x14ac:dyDescent="0.2">
      <c r="C280" s="252">
        <v>46148</v>
      </c>
      <c r="D280" s="248" t="s">
        <v>74</v>
      </c>
      <c r="E280" s="248">
        <f t="shared" si="8"/>
        <v>2026</v>
      </c>
      <c r="F280" s="257" t="s">
        <v>171</v>
      </c>
      <c r="G280" s="248" t="str">
        <f t="shared" si="9"/>
        <v>Cashflow</v>
      </c>
      <c r="H280" s="258">
        <v>4394</v>
      </c>
      <c r="I280" s="248">
        <f>IF(Table2[[#This Row],[TYPE]]="Given",Table2[[#This Row],[AMOUNT (₹)]],0)</f>
        <v>4394</v>
      </c>
      <c r="J280" s="248">
        <f>IF(Table2[[#This Row],[TYPE]]="Received",Table2[[#This Row],[AMOUNT (₹)]],0)</f>
        <v>0</v>
      </c>
      <c r="K280" s="248" t="s">
        <v>835</v>
      </c>
      <c r="L280" s="259">
        <f ca="1">IF(D280="","",COUNTIF($D$9:INDIRECT("D"&amp;ROW()),D280))</f>
        <v>32</v>
      </c>
    </row>
    <row r="281" spans="3:12" hidden="1" outlineLevel="1" x14ac:dyDescent="0.2">
      <c r="C281" s="252">
        <v>46148</v>
      </c>
      <c r="D281" s="248" t="s">
        <v>74</v>
      </c>
      <c r="E281" s="248">
        <f t="shared" si="8"/>
        <v>2026</v>
      </c>
      <c r="F281" s="257" t="s">
        <v>171</v>
      </c>
      <c r="G281" s="248" t="str">
        <f t="shared" si="9"/>
        <v>Cashflow</v>
      </c>
      <c r="H281" s="258">
        <v>4394</v>
      </c>
      <c r="I281" s="248">
        <f>IF(Table2[[#This Row],[TYPE]]="Given",Table2[[#This Row],[AMOUNT (₹)]],0)</f>
        <v>4394</v>
      </c>
      <c r="J281" s="248">
        <f>IF(Table2[[#This Row],[TYPE]]="Received",Table2[[#This Row],[AMOUNT (₹)]],0)</f>
        <v>0</v>
      </c>
      <c r="K281" s="248" t="s">
        <v>836</v>
      </c>
      <c r="L281" s="259">
        <f ca="1">IF(D281="","",COUNTIF($D$9:INDIRECT("D"&amp;ROW()),D281))</f>
        <v>33</v>
      </c>
    </row>
    <row r="282" spans="3:12" hidden="1" outlineLevel="1" x14ac:dyDescent="0.2">
      <c r="C282" s="252">
        <v>46148</v>
      </c>
      <c r="D282" s="248" t="s">
        <v>74</v>
      </c>
      <c r="E282" s="248">
        <f t="shared" si="8"/>
        <v>2026</v>
      </c>
      <c r="F282" s="257" t="s">
        <v>171</v>
      </c>
      <c r="G282" s="248" t="str">
        <f t="shared" si="9"/>
        <v>Cashflow</v>
      </c>
      <c r="H282" s="258">
        <v>2367.2800000000002</v>
      </c>
      <c r="I282" s="248">
        <f>IF(Table2[[#This Row],[TYPE]]="Given",Table2[[#This Row],[AMOUNT (₹)]],0)</f>
        <v>2367.2800000000002</v>
      </c>
      <c r="J282" s="248">
        <f>IF(Table2[[#This Row],[TYPE]]="Received",Table2[[#This Row],[AMOUNT (₹)]],0)</f>
        <v>0</v>
      </c>
      <c r="K282" s="248" t="s">
        <v>837</v>
      </c>
      <c r="L282" s="259">
        <f ca="1">IF(D282="","",COUNTIF($D$9:INDIRECT("D"&amp;ROW()),D282))</f>
        <v>34</v>
      </c>
    </row>
    <row r="283" spans="3:12" hidden="1" outlineLevel="1" x14ac:dyDescent="0.2">
      <c r="C283" s="252">
        <v>46148</v>
      </c>
      <c r="D283" s="248" t="s">
        <v>74</v>
      </c>
      <c r="E283" s="248">
        <f t="shared" si="8"/>
        <v>2026</v>
      </c>
      <c r="F283" s="257" t="s">
        <v>171</v>
      </c>
      <c r="G283" s="248" t="str">
        <f t="shared" si="9"/>
        <v>Cashflow</v>
      </c>
      <c r="H283" s="258">
        <v>4702.7299999999996</v>
      </c>
      <c r="I283" s="248">
        <f>IF(Table2[[#This Row],[TYPE]]="Given",Table2[[#This Row],[AMOUNT (₹)]],0)</f>
        <v>4702.7299999999996</v>
      </c>
      <c r="J283" s="248">
        <f>IF(Table2[[#This Row],[TYPE]]="Received",Table2[[#This Row],[AMOUNT (₹)]],0)</f>
        <v>0</v>
      </c>
      <c r="K283" s="248" t="s">
        <v>838</v>
      </c>
      <c r="L283" s="259">
        <f ca="1">IF(D283="","",COUNTIF($D$9:INDIRECT("D"&amp;ROW()),D283))</f>
        <v>35</v>
      </c>
    </row>
    <row r="284" spans="3:12" hidden="1" outlineLevel="1" x14ac:dyDescent="0.2">
      <c r="C284" s="252">
        <v>46149</v>
      </c>
      <c r="D284" s="248" t="s">
        <v>100</v>
      </c>
      <c r="E284" s="248">
        <f t="shared" si="8"/>
        <v>2026</v>
      </c>
      <c r="F284" s="253" t="s">
        <v>171</v>
      </c>
      <c r="G284" s="248" t="str">
        <f t="shared" si="9"/>
        <v>Cashflow</v>
      </c>
      <c r="H284" s="248">
        <v>2000</v>
      </c>
      <c r="I284" s="248">
        <f>IF(Table2[[#This Row],[TYPE]]="Given",Table2[[#This Row],[AMOUNT (₹)]],0)</f>
        <v>2000</v>
      </c>
      <c r="J284" s="248">
        <f>IF(Table2[[#This Row],[TYPE]]="Received",Table2[[#This Row],[AMOUNT (₹)]],0)</f>
        <v>0</v>
      </c>
      <c r="K284" s="248" t="s">
        <v>412</v>
      </c>
      <c r="L284" s="259">
        <f ca="1">IF(D284="","",COUNTIF($D$9:INDIRECT("D"&amp;ROW()),D284))</f>
        <v>12</v>
      </c>
    </row>
    <row r="285" spans="3:12" hidden="1" outlineLevel="1" x14ac:dyDescent="0.2">
      <c r="C285" s="252">
        <v>46155</v>
      </c>
      <c r="D285" s="248" t="s">
        <v>81</v>
      </c>
      <c r="E285" s="248">
        <f t="shared" si="8"/>
        <v>2026</v>
      </c>
      <c r="F285" s="257" t="s">
        <v>172</v>
      </c>
      <c r="G285" s="248" t="str">
        <f t="shared" si="9"/>
        <v>Cashflow</v>
      </c>
      <c r="H285" s="258">
        <v>78500</v>
      </c>
      <c r="I285" s="248">
        <f>IF(Table2[[#This Row],[TYPE]]="Given",Table2[[#This Row],[AMOUNT (₹)]],0)</f>
        <v>0</v>
      </c>
      <c r="J285" s="248">
        <f>IF(Table2[[#This Row],[TYPE]]="Received",Table2[[#This Row],[AMOUNT (₹)]],0)</f>
        <v>78500</v>
      </c>
      <c r="K285" s="248" t="s">
        <v>839</v>
      </c>
      <c r="L285" s="259">
        <f ca="1">IF(D285="","",COUNTIF($D$9:INDIRECT("D"&amp;ROW()),D285))</f>
        <v>8</v>
      </c>
    </row>
    <row r="286" spans="3:12" hidden="1" outlineLevel="1" x14ac:dyDescent="0.2">
      <c r="C286" s="252">
        <v>46156</v>
      </c>
      <c r="D286" s="248" t="s">
        <v>75</v>
      </c>
      <c r="E286" s="248">
        <f t="shared" si="8"/>
        <v>2026</v>
      </c>
      <c r="F286" s="257" t="s">
        <v>171</v>
      </c>
      <c r="G286" s="248" t="str">
        <f t="shared" si="9"/>
        <v>Cashflow</v>
      </c>
      <c r="H286" s="258">
        <v>20000</v>
      </c>
      <c r="I286" s="248">
        <f>IF(Table2[[#This Row],[TYPE]]="Given",Table2[[#This Row],[AMOUNT (₹)]],0)</f>
        <v>20000</v>
      </c>
      <c r="J286" s="248">
        <f>IF(Table2[[#This Row],[TYPE]]="Received",Table2[[#This Row],[AMOUNT (₹)]],0)</f>
        <v>0</v>
      </c>
      <c r="L286" s="259">
        <f ca="1">IF(D286="","",COUNTIF($D$9:INDIRECT("D"&amp;ROW()),D286))</f>
        <v>1</v>
      </c>
    </row>
    <row r="287" spans="3:12" hidden="1" outlineLevel="1" x14ac:dyDescent="0.2">
      <c r="C287" s="252">
        <v>46156</v>
      </c>
      <c r="D287" s="248" t="s">
        <v>95</v>
      </c>
      <c r="E287" s="248">
        <f t="shared" si="8"/>
        <v>2026</v>
      </c>
      <c r="F287" s="257" t="s">
        <v>172</v>
      </c>
      <c r="G287" s="248" t="str">
        <f t="shared" si="9"/>
        <v>Cashflow</v>
      </c>
      <c r="H287" s="258">
        <v>45000</v>
      </c>
      <c r="I287" s="248">
        <f>IF(Table2[[#This Row],[TYPE]]="Given",Table2[[#This Row],[AMOUNT (₹)]],0)</f>
        <v>0</v>
      </c>
      <c r="J287" s="248">
        <f>IF(Table2[[#This Row],[TYPE]]="Received",Table2[[#This Row],[AMOUNT (₹)]],0)</f>
        <v>45000</v>
      </c>
      <c r="K287" s="248" t="s">
        <v>714</v>
      </c>
      <c r="L287" s="259">
        <f ca="1">IF(D287="","",COUNTIF($D$9:INDIRECT("D"&amp;ROW()),D287))</f>
        <v>38</v>
      </c>
    </row>
    <row r="288" spans="3:12" hidden="1" outlineLevel="1" x14ac:dyDescent="0.2">
      <c r="C288" s="252">
        <v>46157</v>
      </c>
      <c r="D288" s="248" t="s">
        <v>81</v>
      </c>
      <c r="E288" s="248">
        <f t="shared" si="8"/>
        <v>2026</v>
      </c>
      <c r="F288" s="257" t="s">
        <v>172</v>
      </c>
      <c r="G288" s="248" t="str">
        <f t="shared" si="9"/>
        <v>Cashflow</v>
      </c>
      <c r="H288" s="258">
        <v>47250</v>
      </c>
      <c r="I288" s="248">
        <f>IF(Table2[[#This Row],[TYPE]]="Given",Table2[[#This Row],[AMOUNT (₹)]],0)</f>
        <v>0</v>
      </c>
      <c r="J288" s="248">
        <f>IF(Table2[[#This Row],[TYPE]]="Received",Table2[[#This Row],[AMOUNT (₹)]],0)</f>
        <v>47250</v>
      </c>
      <c r="K288" s="248" t="s">
        <v>840</v>
      </c>
      <c r="L288" s="259">
        <f ca="1">IF(D288="","",COUNTIF($D$9:INDIRECT("D"&amp;ROW()),D288))</f>
        <v>9</v>
      </c>
    </row>
    <row r="289" spans="3:12" hidden="1" outlineLevel="1" x14ac:dyDescent="0.2">
      <c r="C289" s="252">
        <v>46161</v>
      </c>
      <c r="D289" s="248" t="s">
        <v>74</v>
      </c>
      <c r="E289" s="248">
        <f t="shared" si="8"/>
        <v>2026</v>
      </c>
      <c r="F289" s="257" t="s">
        <v>171</v>
      </c>
      <c r="G289" s="248" t="str">
        <f t="shared" si="9"/>
        <v>Cashflow</v>
      </c>
      <c r="H289" s="258">
        <v>4111.04</v>
      </c>
      <c r="I289" s="248">
        <f>IF(Table2[[#This Row],[TYPE]]="Given",Table2[[#This Row],[AMOUNT (₹)]],0)</f>
        <v>4111.04</v>
      </c>
      <c r="J289" s="248">
        <f>IF(Table2[[#This Row],[TYPE]]="Received",Table2[[#This Row],[AMOUNT (₹)]],0)</f>
        <v>0</v>
      </c>
      <c r="K289" s="248" t="s">
        <v>841</v>
      </c>
      <c r="L289" s="259">
        <f ca="1">IF(D289="","",COUNTIF($D$9:INDIRECT("D"&amp;ROW()),D289))</f>
        <v>36</v>
      </c>
    </row>
    <row r="290" spans="3:12" hidden="1" outlineLevel="1" x14ac:dyDescent="0.2">
      <c r="C290" s="252">
        <v>46161</v>
      </c>
      <c r="D290" s="248" t="s">
        <v>83</v>
      </c>
      <c r="E290" s="248">
        <f t="shared" si="8"/>
        <v>2026</v>
      </c>
      <c r="F290" s="257" t="s">
        <v>171</v>
      </c>
      <c r="G290" s="248" t="str">
        <f t="shared" si="9"/>
        <v>Cashflow</v>
      </c>
      <c r="H290" s="258">
        <v>10000</v>
      </c>
      <c r="I290" s="248">
        <f>IF(Table2[[#This Row],[TYPE]]="Given",Table2[[#This Row],[AMOUNT (₹)]],0)</f>
        <v>10000</v>
      </c>
      <c r="J290" s="248">
        <f>IF(Table2[[#This Row],[TYPE]]="Received",Table2[[#This Row],[AMOUNT (₹)]],0)</f>
        <v>0</v>
      </c>
      <c r="K290" s="248" t="s">
        <v>842</v>
      </c>
      <c r="L290" s="259">
        <f ca="1">IF(D290="","",COUNTIF($D$9:INDIRECT("D"&amp;ROW()),D290))</f>
        <v>9</v>
      </c>
    </row>
    <row r="291" spans="3:12" hidden="1" outlineLevel="1" x14ac:dyDescent="0.2">
      <c r="C291" s="252">
        <v>46161</v>
      </c>
      <c r="D291" s="248" t="s">
        <v>101</v>
      </c>
      <c r="E291" s="248">
        <f t="shared" si="8"/>
        <v>2026</v>
      </c>
      <c r="F291" s="257" t="s">
        <v>171</v>
      </c>
      <c r="G291" s="248" t="str">
        <f t="shared" si="9"/>
        <v>Cashflow</v>
      </c>
      <c r="H291" s="258">
        <v>4245.99</v>
      </c>
      <c r="I291" s="248">
        <f>IF(Table2[[#This Row],[TYPE]]="Given",Table2[[#This Row],[AMOUNT (₹)]],0)</f>
        <v>4245.99</v>
      </c>
      <c r="J291" s="248">
        <f>IF(Table2[[#This Row],[TYPE]]="Received",Table2[[#This Row],[AMOUNT (₹)]],0)</f>
        <v>0</v>
      </c>
      <c r="K291" s="248" t="s">
        <v>843</v>
      </c>
      <c r="L291" s="259">
        <f ca="1">IF(D291="","",COUNTIF($D$9:INDIRECT("D"&amp;ROW()),D291))</f>
        <v>24</v>
      </c>
    </row>
    <row r="292" spans="3:12" collapsed="1" x14ac:dyDescent="0.2">
      <c r="C292" s="252">
        <v>46164</v>
      </c>
      <c r="D292" s="248" t="s">
        <v>100</v>
      </c>
      <c r="E292" s="248">
        <f t="shared" si="8"/>
        <v>2026</v>
      </c>
      <c r="F292" s="253" t="s">
        <v>171</v>
      </c>
      <c r="G292" s="248" t="str">
        <f t="shared" si="9"/>
        <v>Cashflow</v>
      </c>
      <c r="H292" s="248">
        <v>3000</v>
      </c>
      <c r="I292" s="248">
        <f>IF(Table2[[#This Row],[TYPE]]="Given",Table2[[#This Row],[AMOUNT (₹)]],0)</f>
        <v>3000</v>
      </c>
      <c r="J292" s="248">
        <f>IF(Table2[[#This Row],[TYPE]]="Received",Table2[[#This Row],[AMOUNT (₹)]],0)</f>
        <v>0</v>
      </c>
      <c r="K292" s="248" t="s">
        <v>412</v>
      </c>
      <c r="L292" s="259">
        <f ca="1">IF(D292="","",COUNTIF($D$9:INDIRECT("D"&amp;ROW()),D292))</f>
        <v>13</v>
      </c>
    </row>
    <row r="293" spans="3:12" x14ac:dyDescent="0.2">
      <c r="C293" s="252">
        <v>46165</v>
      </c>
      <c r="D293" s="248" t="s">
        <v>74</v>
      </c>
      <c r="E293" s="248">
        <f t="shared" si="8"/>
        <v>2026</v>
      </c>
      <c r="F293" s="257" t="s">
        <v>171</v>
      </c>
      <c r="G293" s="248" t="str">
        <f t="shared" si="9"/>
        <v>Cashflow</v>
      </c>
      <c r="H293" s="258">
        <v>2357.2800000000002</v>
      </c>
      <c r="I293" s="248">
        <f>IF(Table2[[#This Row],[TYPE]]="Given",Table2[[#This Row],[AMOUNT (₹)]],0)</f>
        <v>2357.2800000000002</v>
      </c>
      <c r="J293" s="248">
        <f>IF(Table2[[#This Row],[TYPE]]="Received",Table2[[#This Row],[AMOUNT (₹)]],0)</f>
        <v>0</v>
      </c>
      <c r="K293" s="248" t="s">
        <v>844</v>
      </c>
      <c r="L293" s="259">
        <f ca="1">IF(D293="","",COUNTIF($D$9:INDIRECT("D"&amp;ROW()),D293))</f>
        <v>37</v>
      </c>
    </row>
    <row r="294" spans="3:12" x14ac:dyDescent="0.2">
      <c r="C294" s="252">
        <v>46165</v>
      </c>
      <c r="D294" s="248" t="s">
        <v>74</v>
      </c>
      <c r="E294" s="248">
        <f t="shared" si="8"/>
        <v>2026</v>
      </c>
      <c r="F294" s="257" t="s">
        <v>171</v>
      </c>
      <c r="G294" s="248" t="str">
        <f t="shared" si="9"/>
        <v>Cashflow</v>
      </c>
      <c r="H294" s="258">
        <v>4695.82</v>
      </c>
      <c r="I294" s="248">
        <f>IF(Table2[[#This Row],[TYPE]]="Given",Table2[[#This Row],[AMOUNT (₹)]],0)</f>
        <v>4695.82</v>
      </c>
      <c r="J294" s="248">
        <f>IF(Table2[[#This Row],[TYPE]]="Received",Table2[[#This Row],[AMOUNT (₹)]],0)</f>
        <v>0</v>
      </c>
      <c r="K294" s="248" t="s">
        <v>845</v>
      </c>
      <c r="L294" s="259">
        <f ca="1">IF(D294="","",COUNTIF($D$9:INDIRECT("D"&amp;ROW()),D294))</f>
        <v>38</v>
      </c>
    </row>
    <row r="295" spans="3:12" x14ac:dyDescent="0.2">
      <c r="C295" s="252">
        <v>46167</v>
      </c>
      <c r="D295" s="248" t="s">
        <v>100</v>
      </c>
      <c r="E295" s="248">
        <f t="shared" si="8"/>
        <v>2026</v>
      </c>
      <c r="F295" s="253" t="s">
        <v>171</v>
      </c>
      <c r="G295" s="248" t="str">
        <f t="shared" si="9"/>
        <v>Cashflow</v>
      </c>
      <c r="H295" s="248">
        <v>2000</v>
      </c>
      <c r="I295" s="248">
        <f>IF(Table2[[#This Row],[TYPE]]="Given",Table2[[#This Row],[AMOUNT (₹)]],0)</f>
        <v>2000</v>
      </c>
      <c r="J295" s="248">
        <f>IF(Table2[[#This Row],[TYPE]]="Received",Table2[[#This Row],[AMOUNT (₹)]],0)</f>
        <v>0</v>
      </c>
      <c r="K295" s="248" t="s">
        <v>412</v>
      </c>
      <c r="L295" s="259">
        <f ca="1">IF(D295="","",COUNTIF($D$9:INDIRECT("D"&amp;ROW()),D295))</f>
        <v>14</v>
      </c>
    </row>
    <row r="296" spans="3:12" x14ac:dyDescent="0.2">
      <c r="C296" s="252">
        <v>46172</v>
      </c>
      <c r="D296" s="248" t="s">
        <v>74</v>
      </c>
      <c r="E296" s="248">
        <f t="shared" si="8"/>
        <v>2026</v>
      </c>
      <c r="F296" s="257" t="s">
        <v>171</v>
      </c>
      <c r="G296" s="248" t="str">
        <f t="shared" si="9"/>
        <v>Cashflow</v>
      </c>
      <c r="H296" s="258">
        <v>18728.689999999999</v>
      </c>
      <c r="I296" s="248">
        <f>IF(Table2[[#This Row],[TYPE]]="Given",Table2[[#This Row],[AMOUNT (₹)]],0)</f>
        <v>18728.689999999999</v>
      </c>
      <c r="J296" s="248">
        <f>IF(Table2[[#This Row],[TYPE]]="Received",Table2[[#This Row],[AMOUNT (₹)]],0)</f>
        <v>0</v>
      </c>
      <c r="K296" s="248" t="s">
        <v>841</v>
      </c>
      <c r="L296" s="259">
        <f ca="1">IF(D296="","",COUNTIF($D$9:INDIRECT("D"&amp;ROW()),D296))</f>
        <v>39</v>
      </c>
    </row>
    <row r="297" spans="3:12" x14ac:dyDescent="0.2">
      <c r="C297" s="252">
        <v>46177</v>
      </c>
      <c r="D297" s="248" t="s">
        <v>77</v>
      </c>
      <c r="E297" s="248">
        <f t="shared" si="8"/>
        <v>2026</v>
      </c>
      <c r="F297" s="257" t="s">
        <v>171</v>
      </c>
      <c r="G297" s="248" t="str">
        <f t="shared" si="9"/>
        <v>Cashflow</v>
      </c>
      <c r="H297" s="258">
        <v>40000</v>
      </c>
      <c r="I297" s="248">
        <f>IF(Table2[[#This Row],[TYPE]]="Given",Table2[[#This Row],[AMOUNT (₹)]],0)</f>
        <v>40000</v>
      </c>
      <c r="J297" s="248">
        <f>IF(Table2[[#This Row],[TYPE]]="Received",Table2[[#This Row],[AMOUNT (₹)]],0)</f>
        <v>0</v>
      </c>
      <c r="K297" s="248" t="s">
        <v>716</v>
      </c>
      <c r="L297" s="259">
        <f ca="1">IF(D297="","",COUNTIF($D$9:INDIRECT("D"&amp;ROW()),D297))</f>
        <v>5</v>
      </c>
    </row>
    <row r="298" spans="3:12" x14ac:dyDescent="0.2">
      <c r="C298" s="252">
        <v>46178</v>
      </c>
      <c r="D298" s="248" t="s">
        <v>74</v>
      </c>
      <c r="E298" s="248">
        <f t="shared" si="8"/>
        <v>2026</v>
      </c>
      <c r="F298" s="257" t="s">
        <v>171</v>
      </c>
      <c r="G298" s="248" t="str">
        <f t="shared" si="9"/>
        <v>Cashflow</v>
      </c>
      <c r="H298" s="258">
        <v>5338</v>
      </c>
      <c r="I298" s="248">
        <f>IF(Table2[[#This Row],[TYPE]]="Given",Table2[[#This Row],[AMOUNT (₹)]],0)</f>
        <v>5338</v>
      </c>
      <c r="J298" s="248">
        <f>IF(Table2[[#This Row],[TYPE]]="Received",Table2[[#This Row],[AMOUNT (₹)]],0)</f>
        <v>0</v>
      </c>
      <c r="K298" s="248" t="s">
        <v>846</v>
      </c>
      <c r="L298" s="259">
        <f ca="1">IF(D298="","",COUNTIF($D$9:INDIRECT("D"&amp;ROW()),D298))</f>
        <v>40</v>
      </c>
    </row>
    <row r="299" spans="3:12" x14ac:dyDescent="0.2">
      <c r="C299" s="252">
        <v>46178</v>
      </c>
      <c r="D299" s="248" t="s">
        <v>74</v>
      </c>
      <c r="E299" s="248">
        <f t="shared" si="8"/>
        <v>2026</v>
      </c>
      <c r="F299" s="257" t="s">
        <v>172</v>
      </c>
      <c r="G299" s="248" t="str">
        <f t="shared" si="9"/>
        <v>Cashflow</v>
      </c>
      <c r="H299" s="258">
        <v>5348</v>
      </c>
      <c r="I299" s="248">
        <f>IF(Table2[[#This Row],[TYPE]]="Given",Table2[[#This Row],[AMOUNT (₹)]],0)</f>
        <v>0</v>
      </c>
      <c r="J299" s="248">
        <f>IF(Table2[[#This Row],[TYPE]]="Received",Table2[[#This Row],[AMOUNT (₹)]],0)</f>
        <v>5348</v>
      </c>
      <c r="K299" s="248" t="s">
        <v>236</v>
      </c>
      <c r="L299" s="259">
        <f ca="1">IF(D299="","",COUNTIF($D$9:INDIRECT("D"&amp;ROW()),D299))</f>
        <v>41</v>
      </c>
    </row>
    <row r="300" spans="3:12" x14ac:dyDescent="0.2">
      <c r="C300" s="252">
        <v>46182</v>
      </c>
      <c r="D300" s="248" t="s">
        <v>83</v>
      </c>
      <c r="E300" s="248">
        <f t="shared" si="8"/>
        <v>2026</v>
      </c>
      <c r="F300" s="257" t="s">
        <v>171</v>
      </c>
      <c r="G300" s="248" t="str">
        <f t="shared" si="9"/>
        <v>Cashflow</v>
      </c>
      <c r="H300" s="258">
        <v>5000</v>
      </c>
      <c r="I300" s="248">
        <f>IF(Table2[[#This Row],[TYPE]]="Given",Table2[[#This Row],[AMOUNT (₹)]],0)</f>
        <v>5000</v>
      </c>
      <c r="J300" s="248">
        <f>IF(Table2[[#This Row],[TYPE]]="Received",Table2[[#This Row],[AMOUNT (₹)]],0)</f>
        <v>0</v>
      </c>
      <c r="K300" s="248" t="s">
        <v>769</v>
      </c>
      <c r="L300" s="259">
        <f ca="1">IF(D300="","",COUNTIF($D$9:INDIRECT("D"&amp;ROW()),D300))</f>
        <v>10</v>
      </c>
    </row>
    <row r="301" spans="3:12" x14ac:dyDescent="0.2">
      <c r="C301" s="252">
        <v>46191</v>
      </c>
      <c r="D301" s="248" t="s">
        <v>99</v>
      </c>
      <c r="E301" s="248">
        <f t="shared" si="8"/>
        <v>2026</v>
      </c>
      <c r="F301" s="257" t="s">
        <v>172</v>
      </c>
      <c r="G301" s="248" t="str">
        <f t="shared" si="9"/>
        <v>Cashflow</v>
      </c>
      <c r="H301" s="258">
        <v>50000</v>
      </c>
      <c r="I301" s="248">
        <f>IF(Table2[[#This Row],[TYPE]]="Given",Table2[[#This Row],[AMOUNT (₹)]],0)</f>
        <v>0</v>
      </c>
      <c r="J301" s="248">
        <f>IF(Table2[[#This Row],[TYPE]]="Received",Table2[[#This Row],[AMOUNT (₹)]],0)</f>
        <v>50000</v>
      </c>
      <c r="K301" s="248" t="s">
        <v>847</v>
      </c>
      <c r="L301" s="292">
        <f ca="1">IF(D301="","",COUNTIF($D$9:INDIRECT("D"&amp;ROW()),D301))</f>
        <v>14</v>
      </c>
    </row>
    <row r="302" spans="3:12" x14ac:dyDescent="0.2">
      <c r="C302" s="252">
        <v>46192</v>
      </c>
      <c r="D302" s="248" t="s">
        <v>83</v>
      </c>
      <c r="E302" s="248">
        <f t="shared" si="8"/>
        <v>2026</v>
      </c>
      <c r="F302" s="257" t="s">
        <v>171</v>
      </c>
      <c r="G302" s="248" t="str">
        <f t="shared" si="9"/>
        <v>Cashflow</v>
      </c>
      <c r="H302" s="258">
        <v>300</v>
      </c>
      <c r="I302" s="248">
        <f>IF(Table2[[#This Row],[TYPE]]="Given",Table2[[#This Row],[AMOUNT (₹)]],0)</f>
        <v>300</v>
      </c>
      <c r="J302" s="248">
        <f>IF(Table2[[#This Row],[TYPE]]="Received",Table2[[#This Row],[AMOUNT (₹)]],0)</f>
        <v>0</v>
      </c>
      <c r="K302" s="248" t="s">
        <v>848</v>
      </c>
      <c r="L302" s="292">
        <f ca="1">IF(D302="","",COUNTIF($D$9:INDIRECT("D"&amp;ROW()),D302))</f>
        <v>11</v>
      </c>
    </row>
    <row r="303" spans="3:12" x14ac:dyDescent="0.2">
      <c r="C303" s="252">
        <v>46195</v>
      </c>
      <c r="D303" s="248" t="s">
        <v>95</v>
      </c>
      <c r="E303" s="248">
        <f t="shared" si="8"/>
        <v>2026</v>
      </c>
      <c r="F303" s="257" t="s">
        <v>172</v>
      </c>
      <c r="G303" s="248" t="str">
        <f t="shared" si="9"/>
        <v>Cashflow</v>
      </c>
      <c r="H303" s="258">
        <v>226000</v>
      </c>
      <c r="I303" s="248">
        <f>IF(Table2[[#This Row],[TYPE]]="Given",Table2[[#This Row],[AMOUNT (₹)]],0)</f>
        <v>0</v>
      </c>
      <c r="J303" s="248">
        <f>IF(Table2[[#This Row],[TYPE]]="Received",Table2[[#This Row],[AMOUNT (₹)]],0)</f>
        <v>226000</v>
      </c>
      <c r="K303" s="248" t="s">
        <v>714</v>
      </c>
      <c r="L303" s="292">
        <f ca="1">IF(D303="","",COUNTIF($D$9:INDIRECT("D"&amp;ROW()),D303))</f>
        <v>39</v>
      </c>
    </row>
    <row r="304" spans="3:12" x14ac:dyDescent="0.2">
      <c r="C304" s="252">
        <v>46195</v>
      </c>
      <c r="D304" s="248" t="s">
        <v>85</v>
      </c>
      <c r="E304" s="248">
        <f t="shared" si="8"/>
        <v>2026</v>
      </c>
      <c r="F304" s="257" t="s">
        <v>171</v>
      </c>
      <c r="G304" s="248" t="str">
        <f t="shared" si="9"/>
        <v>Cashflow</v>
      </c>
      <c r="H304" s="258">
        <v>226000</v>
      </c>
      <c r="I304" s="248">
        <f>IF(Table2[[#This Row],[TYPE]]="Given",Table2[[#This Row],[AMOUNT (₹)]],0)</f>
        <v>226000</v>
      </c>
      <c r="J304" s="248">
        <f>IF(Table2[[#This Row],[TYPE]]="Received",Table2[[#This Row],[AMOUNT (₹)]],0)</f>
        <v>0</v>
      </c>
      <c r="K304" s="248" t="s">
        <v>714</v>
      </c>
      <c r="L304" s="292">
        <f ca="1">IF(D304="","",COUNTIF($D$9:INDIRECT("D"&amp;ROW()),D304))</f>
        <v>19</v>
      </c>
    </row>
    <row r="305" spans="3:12" x14ac:dyDescent="0.2">
      <c r="C305" s="252">
        <v>46195</v>
      </c>
      <c r="D305" s="248" t="s">
        <v>85</v>
      </c>
      <c r="E305" s="248">
        <f t="shared" si="8"/>
        <v>2026</v>
      </c>
      <c r="F305" s="257" t="s">
        <v>171</v>
      </c>
      <c r="G305" s="248" t="str">
        <f t="shared" si="9"/>
        <v>Cashflow</v>
      </c>
      <c r="H305" s="258">
        <v>17000</v>
      </c>
      <c r="I305" s="248">
        <f>IF(Table2[[#This Row],[TYPE]]="Given",Table2[[#This Row],[AMOUNT (₹)]],0)</f>
        <v>17000</v>
      </c>
      <c r="J305" s="248">
        <f>IF(Table2[[#This Row],[TYPE]]="Received",Table2[[#This Row],[AMOUNT (₹)]],0)</f>
        <v>0</v>
      </c>
      <c r="K305" s="248" t="s">
        <v>849</v>
      </c>
      <c r="L305" s="292">
        <f ca="1">IF(D305="","",COUNTIF($D$9:INDIRECT("D"&amp;ROW()),D305))</f>
        <v>20</v>
      </c>
    </row>
  </sheetData>
  <conditionalFormatting sqref="F9:H1048576">
    <cfRule type="expression" dxfId="41" priority="9">
      <formula>$F9="Received"</formula>
    </cfRule>
    <cfRule type="expression" dxfId="40" priority="10">
      <formula>$F9="Given"</formula>
    </cfRule>
  </conditionalFormatting>
  <conditionalFormatting sqref="F2:F5">
    <cfRule type="expression" dxfId="39" priority="1">
      <formula>$F2="Received"</formula>
    </cfRule>
    <cfRule type="expression" dxfId="38" priority="2">
      <formula>$F2="Given"</formula>
    </cfRule>
  </conditionalFormatting>
  <dataValidations count="3">
    <dataValidation type="list" allowBlank="1" sqref="F9:F305 F2:F5" xr:uid="{00000000-0002-0000-0700-000000000000}">
      <formula1>CashflowTypeList</formula1>
    </dataValidation>
    <dataValidation type="custom" allowBlank="1" showDropDown="1" showErrorMessage="1" sqref="C9:C305" xr:uid="{00000000-0002-0000-0700-000001000000}">
      <formula1>OR(NOT(ISERROR(DATEVALUE(C9))), AND(ISNUMBER(C9), LEFT(CELL("format", C9))="D"))</formula1>
    </dataValidation>
    <dataValidation type="list" allowBlank="1" sqref="D2:D5 D9:D305" xr:uid="{00000000-0002-0000-0700-000002000000}">
      <formula1>LenderList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Entry2" altText="Submit">
                <anchor moveWithCells="1" sizeWithCells="1">
                  <from>
                    <xdr:col>11</xdr:col>
                    <xdr:colOff>304800</xdr:colOff>
                    <xdr:row>1</xdr:row>
                    <xdr:rowOff>63500</xdr:rowOff>
                  </from>
                  <to>
                    <xdr:col>12</xdr:col>
                    <xdr:colOff>596900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EA77C47-5648-4680-8B8C-FD3FA40E9892}">
          <x14:formula1>
            <xm:f>Settings!$E$13:$E$46</xm:f>
          </x14:formula1>
          <xm:sqref>D9:D305 D2:D5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D18CF-1838-4741-B121-530B4DDD2EA9}">
  <sheetPr codeName="Sheet9">
    <tabColor theme="4" tint="0.59999389629810485"/>
  </sheetPr>
  <dimension ref="A1:AJ87"/>
  <sheetViews>
    <sheetView zoomScale="90" zoomScaleNormal="90" workbookViewId="0">
      <selection activeCell="P26" sqref="P26"/>
    </sheetView>
  </sheetViews>
  <sheetFormatPr baseColWidth="10" defaultColWidth="12.6640625" defaultRowHeight="12" x14ac:dyDescent="0.15"/>
  <cols>
    <col min="1" max="1" width="12.6640625" style="141"/>
    <col min="2" max="2" width="8.33203125" style="141" bestFit="1" customWidth="1"/>
    <col min="3" max="3" width="11.5" style="141" bestFit="1" customWidth="1"/>
    <col min="4" max="4" width="11.1640625" style="141" bestFit="1" customWidth="1"/>
    <col min="5" max="5" width="65.5" style="141" bestFit="1" customWidth="1"/>
    <col min="6" max="6" width="8.83203125" style="141" bestFit="1" customWidth="1"/>
    <col min="7" max="8" width="12.6640625" style="141"/>
    <col min="9" max="9" width="9.6640625" style="141" bestFit="1" customWidth="1"/>
    <col min="10" max="10" width="4.5" style="141" bestFit="1" customWidth="1"/>
    <col min="11" max="12" width="5.6640625" style="141" bestFit="1" customWidth="1"/>
    <col min="13" max="13" width="7.33203125" style="141" bestFit="1" customWidth="1"/>
    <col min="14" max="14" width="7" style="141" bestFit="1" customWidth="1"/>
    <col min="15" max="15" width="12.6640625" style="141"/>
    <col min="16" max="16" width="6.33203125" style="141" bestFit="1" customWidth="1"/>
    <col min="17" max="17" width="5" style="141" bestFit="1" customWidth="1"/>
    <col min="18" max="18" width="11.83203125" style="141" bestFit="1" customWidth="1"/>
    <col min="19" max="19" width="11.6640625" style="141" bestFit="1" customWidth="1"/>
    <col min="20" max="20" width="8.33203125" style="141" bestFit="1" customWidth="1"/>
    <col min="21" max="21" width="9.83203125" style="141" bestFit="1" customWidth="1"/>
    <col min="22" max="22" width="9.1640625" style="141" bestFit="1" customWidth="1"/>
    <col min="23" max="23" width="4.83203125" style="141" bestFit="1" customWidth="1"/>
    <col min="24" max="24" width="9.1640625" style="141" bestFit="1" customWidth="1"/>
    <col min="25" max="25" width="5.6640625" style="141" bestFit="1" customWidth="1"/>
    <col min="26" max="26" width="12.6640625" style="141" bestFit="1" customWidth="1"/>
    <col min="27" max="35" width="12.6640625" style="141"/>
    <col min="36" max="36" width="14.6640625" style="141" customWidth="1"/>
    <col min="37" max="16384" width="12.6640625" style="141"/>
  </cols>
  <sheetData>
    <row r="1" spans="1:36" ht="14" thickBot="1" x14ac:dyDescent="0.2">
      <c r="A1" s="152"/>
      <c r="B1" s="152"/>
      <c r="C1" s="152"/>
      <c r="D1" s="152"/>
      <c r="E1" s="152"/>
      <c r="F1" s="152"/>
      <c r="G1" s="152"/>
      <c r="H1" s="152"/>
      <c r="I1" s="152"/>
      <c r="J1" s="152"/>
      <c r="K1" s="152">
        <f>SUM(DRCC[EMI])</f>
        <v>451009</v>
      </c>
      <c r="L1" s="152">
        <f>SUM(DRCC[Paid])</f>
        <v>111993</v>
      </c>
      <c r="M1" s="152">
        <f>SUM(DRCC[Paid Amt])</f>
        <v>111993</v>
      </c>
      <c r="N1" s="152"/>
      <c r="O1" s="152"/>
      <c r="P1" s="152"/>
      <c r="Q1" s="152"/>
      <c r="R1" s="152"/>
      <c r="S1" s="152"/>
      <c r="T1" s="152"/>
      <c r="U1" s="152"/>
      <c r="V1" s="152"/>
      <c r="W1" s="152"/>
      <c r="AC1" s="350" t="s">
        <v>850</v>
      </c>
      <c r="AD1" s="350" t="s">
        <v>851</v>
      </c>
      <c r="AE1" s="350" t="s">
        <v>852</v>
      </c>
      <c r="AF1" s="350" t="s">
        <v>853</v>
      </c>
      <c r="AG1" s="351" t="s">
        <v>854</v>
      </c>
      <c r="AH1" s="351" t="s">
        <v>168</v>
      </c>
      <c r="AI1" s="350" t="s">
        <v>855</v>
      </c>
      <c r="AJ1" s="350" t="s">
        <v>856</v>
      </c>
    </row>
    <row r="2" spans="1:36" ht="15" thickTop="1" x14ac:dyDescent="0.2">
      <c r="A2" s="153"/>
      <c r="B2" s="142"/>
      <c r="C2" s="142" t="s">
        <v>857</v>
      </c>
      <c r="D2" s="142"/>
      <c r="E2" s="143">
        <f>SUM(D3:D36)</f>
        <v>82594</v>
      </c>
      <c r="F2" s="144"/>
      <c r="I2" s="140" t="s">
        <v>858</v>
      </c>
      <c r="J2" s="140" t="s">
        <v>96</v>
      </c>
      <c r="K2" s="140" t="s">
        <v>248</v>
      </c>
      <c r="L2" s="140" t="s">
        <v>251</v>
      </c>
      <c r="M2" s="140" t="s">
        <v>859</v>
      </c>
      <c r="N2" s="140" t="s">
        <v>860</v>
      </c>
      <c r="P2" s="154"/>
      <c r="Q2" s="154"/>
      <c r="R2" s="154"/>
      <c r="S2" s="154"/>
      <c r="T2" s="155"/>
      <c r="U2" s="154"/>
      <c r="V2" s="154"/>
      <c r="W2" s="154"/>
      <c r="X2" s="154"/>
      <c r="Y2" s="154"/>
      <c r="AC2" s="347">
        <v>44531</v>
      </c>
      <c r="AD2" s="352" t="s">
        <v>861</v>
      </c>
      <c r="AE2" s="128"/>
      <c r="AF2" s="128" t="s">
        <v>99</v>
      </c>
      <c r="AG2" s="353">
        <v>0</v>
      </c>
      <c r="AH2" s="354">
        <v>0</v>
      </c>
      <c r="AI2" s="355" t="s">
        <v>862</v>
      </c>
      <c r="AJ2" s="356">
        <f>SUM(AJ$3:AJ70)</f>
        <v>97468</v>
      </c>
    </row>
    <row r="3" spans="1:36" ht="14" x14ac:dyDescent="0.2">
      <c r="A3" s="156"/>
      <c r="B3" s="127"/>
      <c r="C3" s="145">
        <v>45710</v>
      </c>
      <c r="D3" s="146">
        <v>12000</v>
      </c>
      <c r="E3" s="127" t="s">
        <v>863</v>
      </c>
      <c r="F3" s="147"/>
      <c r="I3" s="157"/>
      <c r="J3" s="158"/>
      <c r="K3" s="140"/>
      <c r="L3" s="140"/>
      <c r="M3" s="140"/>
      <c r="N3" s="140"/>
      <c r="P3" s="159"/>
      <c r="Q3" s="160"/>
      <c r="R3" s="160"/>
      <c r="S3" s="160"/>
      <c r="T3" s="155" t="s">
        <v>864</v>
      </c>
      <c r="U3" s="161" t="s">
        <v>865</v>
      </c>
      <c r="V3" s="160" t="s">
        <v>866</v>
      </c>
      <c r="W3" s="500" t="s">
        <v>867</v>
      </c>
      <c r="X3" s="501"/>
      <c r="Y3" s="502"/>
      <c r="Z3" s="141" t="s">
        <v>868</v>
      </c>
      <c r="AC3" s="347">
        <v>44677</v>
      </c>
      <c r="AD3" s="128" t="s">
        <v>869</v>
      </c>
      <c r="AE3" s="128" t="s">
        <v>870</v>
      </c>
      <c r="AF3" s="128" t="s">
        <v>99</v>
      </c>
      <c r="AG3" s="353">
        <v>50000</v>
      </c>
      <c r="AH3" s="357">
        <f t="shared" ref="AH3:AH34" si="0">IF(AE3="Debit",-AG3,AG3)</f>
        <v>-50000</v>
      </c>
      <c r="AI3" s="353">
        <f>SUM(AH$3:AH3)</f>
        <v>-50000</v>
      </c>
      <c r="AJ3" s="353">
        <f t="shared" ref="AJ3:AJ34" si="1">IF(AF3="Papa",AH3,0)</f>
        <v>-50000</v>
      </c>
    </row>
    <row r="4" spans="1:36" ht="14" x14ac:dyDescent="0.2">
      <c r="A4" s="156"/>
      <c r="B4" s="127"/>
      <c r="C4" s="145">
        <v>45700</v>
      </c>
      <c r="D4" s="127">
        <v>590</v>
      </c>
      <c r="E4" s="127" t="s">
        <v>871</v>
      </c>
      <c r="F4" s="147"/>
      <c r="I4" s="162">
        <v>44743</v>
      </c>
      <c r="J4" s="140">
        <v>1</v>
      </c>
      <c r="K4" s="163">
        <v>5333</v>
      </c>
      <c r="L4" s="163">
        <v>5333</v>
      </c>
      <c r="M4" s="164">
        <v>26665</v>
      </c>
      <c r="N4" s="165">
        <v>44879</v>
      </c>
      <c r="P4" s="166" t="s">
        <v>215</v>
      </c>
      <c r="Q4" s="161" t="s">
        <v>872</v>
      </c>
      <c r="R4" s="161" t="s">
        <v>873</v>
      </c>
      <c r="S4" s="161" t="s">
        <v>874</v>
      </c>
      <c r="T4" s="155"/>
      <c r="U4" s="160"/>
      <c r="V4" s="161">
        <v>51500</v>
      </c>
      <c r="W4" s="167"/>
      <c r="X4" s="167"/>
      <c r="Y4" s="167"/>
      <c r="AC4" s="347">
        <v>44717</v>
      </c>
      <c r="AD4" s="128" t="s">
        <v>875</v>
      </c>
      <c r="AE4" s="128" t="s">
        <v>876</v>
      </c>
      <c r="AF4" s="128" t="s">
        <v>99</v>
      </c>
      <c r="AG4" s="353">
        <v>1000</v>
      </c>
      <c r="AH4" s="358">
        <f t="shared" si="0"/>
        <v>1000</v>
      </c>
      <c r="AI4" s="353">
        <f>SUM(AH$3:AH4)</f>
        <v>-49000</v>
      </c>
      <c r="AJ4" s="353">
        <f t="shared" si="1"/>
        <v>1000</v>
      </c>
    </row>
    <row r="5" spans="1:36" ht="14" x14ac:dyDescent="0.2">
      <c r="A5" s="156"/>
      <c r="B5" s="127"/>
      <c r="C5" s="145">
        <v>45703</v>
      </c>
      <c r="D5" s="127">
        <v>630</v>
      </c>
      <c r="E5" s="127" t="s">
        <v>877</v>
      </c>
      <c r="F5" s="147"/>
      <c r="I5" s="162">
        <v>44774</v>
      </c>
      <c r="J5" s="140">
        <v>2</v>
      </c>
      <c r="K5" s="163">
        <v>5333</v>
      </c>
      <c r="L5" s="163">
        <v>5333</v>
      </c>
      <c r="M5" s="164">
        <v>30600</v>
      </c>
      <c r="N5" s="165">
        <v>45211</v>
      </c>
      <c r="P5" s="166" t="s">
        <v>215</v>
      </c>
      <c r="Q5" s="161" t="s">
        <v>878</v>
      </c>
      <c r="R5" s="161" t="s">
        <v>879</v>
      </c>
      <c r="S5" s="161" t="s">
        <v>880</v>
      </c>
      <c r="T5" s="155">
        <v>45397</v>
      </c>
      <c r="U5" s="155">
        <v>45355</v>
      </c>
      <c r="V5" s="161">
        <v>51500</v>
      </c>
      <c r="W5" s="168">
        <v>51500</v>
      </c>
      <c r="X5" s="168">
        <v>35000</v>
      </c>
      <c r="Y5" s="168">
        <v>5000</v>
      </c>
      <c r="Z5" s="169">
        <v>404159127236</v>
      </c>
      <c r="AC5" s="347">
        <v>44723</v>
      </c>
      <c r="AD5" s="128" t="s">
        <v>881</v>
      </c>
      <c r="AE5" s="128" t="s">
        <v>870</v>
      </c>
      <c r="AF5" s="128" t="s">
        <v>99</v>
      </c>
      <c r="AG5" s="353">
        <v>60000</v>
      </c>
      <c r="AH5" s="357">
        <f t="shared" si="0"/>
        <v>-60000</v>
      </c>
      <c r="AI5" s="353">
        <f>SUM(AH$3:AH5)</f>
        <v>-109000</v>
      </c>
      <c r="AJ5" s="353">
        <f t="shared" si="1"/>
        <v>-60000</v>
      </c>
    </row>
    <row r="6" spans="1:36" ht="14" x14ac:dyDescent="0.2">
      <c r="A6" s="156"/>
      <c r="B6" s="127"/>
      <c r="C6" s="145">
        <v>45734</v>
      </c>
      <c r="D6" s="127">
        <v>2250</v>
      </c>
      <c r="E6" s="127" t="s">
        <v>882</v>
      </c>
      <c r="F6" s="147"/>
      <c r="I6" s="162">
        <v>44805</v>
      </c>
      <c r="J6" s="140">
        <v>3</v>
      </c>
      <c r="K6" s="163">
        <v>5333</v>
      </c>
      <c r="L6" s="163">
        <v>5333</v>
      </c>
      <c r="M6" s="164">
        <v>50000</v>
      </c>
      <c r="N6" s="170">
        <v>45821</v>
      </c>
      <c r="P6" s="166" t="s">
        <v>224</v>
      </c>
      <c r="Q6" s="161" t="s">
        <v>883</v>
      </c>
      <c r="R6" s="161" t="s">
        <v>884</v>
      </c>
      <c r="S6" s="161" t="s">
        <v>880</v>
      </c>
      <c r="T6" s="155">
        <v>45537</v>
      </c>
      <c r="U6" s="155">
        <v>45519</v>
      </c>
      <c r="V6" s="161">
        <v>54000</v>
      </c>
      <c r="W6" s="168">
        <v>54000</v>
      </c>
      <c r="X6" s="168">
        <v>5000</v>
      </c>
      <c r="Y6" s="167"/>
      <c r="Z6" s="171">
        <v>409025632822</v>
      </c>
      <c r="AC6" s="347">
        <v>44723</v>
      </c>
      <c r="AD6" s="128" t="s">
        <v>885</v>
      </c>
      <c r="AE6" s="128" t="s">
        <v>876</v>
      </c>
      <c r="AF6" s="128" t="s">
        <v>99</v>
      </c>
      <c r="AG6" s="353">
        <v>25000</v>
      </c>
      <c r="AH6" s="358">
        <f t="shared" si="0"/>
        <v>25000</v>
      </c>
      <c r="AI6" s="353">
        <f>SUM(AH$3:AH6)</f>
        <v>-84000</v>
      </c>
      <c r="AJ6" s="353">
        <f t="shared" si="1"/>
        <v>25000</v>
      </c>
    </row>
    <row r="7" spans="1:36" ht="14" x14ac:dyDescent="0.2">
      <c r="A7" s="156"/>
      <c r="B7" s="127"/>
      <c r="C7" s="145">
        <v>45697</v>
      </c>
      <c r="D7" s="127">
        <v>5500</v>
      </c>
      <c r="E7" s="127" t="s">
        <v>886</v>
      </c>
      <c r="F7" s="147"/>
      <c r="I7" s="162">
        <v>44835</v>
      </c>
      <c r="J7" s="140">
        <v>4</v>
      </c>
      <c r="K7" s="163">
        <v>5333</v>
      </c>
      <c r="L7" s="163">
        <v>5333</v>
      </c>
      <c r="M7" s="164">
        <v>4728</v>
      </c>
      <c r="N7" s="170">
        <v>45824</v>
      </c>
      <c r="P7" s="166" t="s">
        <v>224</v>
      </c>
      <c r="Q7" s="161" t="s">
        <v>887</v>
      </c>
      <c r="R7" s="161" t="s">
        <v>888</v>
      </c>
      <c r="S7" s="161" t="s">
        <v>880</v>
      </c>
      <c r="T7" s="155">
        <v>45800</v>
      </c>
      <c r="U7" s="155">
        <v>45703</v>
      </c>
      <c r="V7" s="161">
        <v>54000</v>
      </c>
      <c r="W7" s="168">
        <v>54000</v>
      </c>
      <c r="X7" s="168">
        <v>5000</v>
      </c>
      <c r="Y7" s="167"/>
      <c r="Z7" s="169">
        <v>505236602621</v>
      </c>
      <c r="AC7" s="347">
        <v>44725</v>
      </c>
      <c r="AD7" s="128" t="s">
        <v>889</v>
      </c>
      <c r="AE7" s="128" t="s">
        <v>876</v>
      </c>
      <c r="AF7" s="128" t="s">
        <v>99</v>
      </c>
      <c r="AG7" s="353">
        <v>5300</v>
      </c>
      <c r="AH7" s="358">
        <f t="shared" si="0"/>
        <v>5300</v>
      </c>
      <c r="AI7" s="353">
        <f>SUM(AH$3:AH7)</f>
        <v>-78700</v>
      </c>
      <c r="AJ7" s="353">
        <f t="shared" si="1"/>
        <v>5300</v>
      </c>
    </row>
    <row r="8" spans="1:36" ht="14" x14ac:dyDescent="0.2">
      <c r="A8" s="156"/>
      <c r="B8" s="127"/>
      <c r="C8" s="145">
        <v>45692</v>
      </c>
      <c r="D8" s="127">
        <v>5900</v>
      </c>
      <c r="E8" s="127" t="s">
        <v>890</v>
      </c>
      <c r="F8" s="147"/>
      <c r="I8" s="162">
        <v>44866</v>
      </c>
      <c r="J8" s="140">
        <v>5</v>
      </c>
      <c r="K8" s="163">
        <v>5333</v>
      </c>
      <c r="L8" s="163">
        <v>5333</v>
      </c>
      <c r="M8" s="140"/>
      <c r="N8" s="140"/>
      <c r="P8" s="166" t="s">
        <v>226</v>
      </c>
      <c r="Q8" s="161" t="s">
        <v>891</v>
      </c>
      <c r="R8" s="161" t="s">
        <v>892</v>
      </c>
      <c r="S8" s="161" t="s">
        <v>893</v>
      </c>
      <c r="T8" s="155">
        <v>46037</v>
      </c>
      <c r="U8" s="155">
        <v>45884</v>
      </c>
      <c r="V8" s="161">
        <v>56500</v>
      </c>
      <c r="W8" s="168">
        <v>56500</v>
      </c>
      <c r="X8" s="168">
        <v>5000</v>
      </c>
      <c r="Y8" s="167"/>
      <c r="Z8" s="169">
        <v>601156080507</v>
      </c>
      <c r="AC8" s="347">
        <v>44743</v>
      </c>
      <c r="AD8" s="128" t="s">
        <v>894</v>
      </c>
      <c r="AE8" s="128" t="s">
        <v>876</v>
      </c>
      <c r="AF8" s="128" t="s">
        <v>99</v>
      </c>
      <c r="AG8" s="353">
        <v>25800</v>
      </c>
      <c r="AH8" s="358">
        <f t="shared" si="0"/>
        <v>25800</v>
      </c>
      <c r="AI8" s="353">
        <f>SUM(AH$3:AH8)</f>
        <v>-52900</v>
      </c>
      <c r="AJ8" s="353">
        <f t="shared" si="1"/>
        <v>25800</v>
      </c>
    </row>
    <row r="9" spans="1:36" ht="14" x14ac:dyDescent="0.2">
      <c r="A9" s="156"/>
      <c r="B9" s="127"/>
      <c r="C9" s="145">
        <v>45692</v>
      </c>
      <c r="D9" s="127">
        <v>5200</v>
      </c>
      <c r="E9" s="127" t="s">
        <v>895</v>
      </c>
      <c r="F9" s="147"/>
      <c r="I9" s="162">
        <v>44896</v>
      </c>
      <c r="J9" s="140">
        <v>6</v>
      </c>
      <c r="K9" s="163">
        <v>5333</v>
      </c>
      <c r="L9" s="163">
        <v>5333</v>
      </c>
      <c r="M9" s="140"/>
      <c r="N9" s="140"/>
      <c r="P9" s="166" t="s">
        <v>226</v>
      </c>
      <c r="Q9" s="161" t="s">
        <v>896</v>
      </c>
      <c r="R9" s="161" t="s">
        <v>897</v>
      </c>
      <c r="S9" s="161" t="s">
        <v>874</v>
      </c>
      <c r="T9" s="155"/>
      <c r="U9" s="155">
        <v>46068</v>
      </c>
      <c r="V9" s="161">
        <v>56500</v>
      </c>
      <c r="W9" s="161"/>
      <c r="X9" s="161"/>
      <c r="Y9" s="160"/>
      <c r="AC9" s="347">
        <v>44747</v>
      </c>
      <c r="AD9" s="128" t="s">
        <v>81</v>
      </c>
      <c r="AE9" s="128" t="s">
        <v>870</v>
      </c>
      <c r="AF9" s="128" t="s">
        <v>99</v>
      </c>
      <c r="AG9" s="353">
        <v>20000</v>
      </c>
      <c r="AH9" s="357">
        <f t="shared" si="0"/>
        <v>-20000</v>
      </c>
      <c r="AI9" s="353">
        <f>SUM(AH$3:AH9)</f>
        <v>-72900</v>
      </c>
      <c r="AJ9" s="353">
        <f t="shared" si="1"/>
        <v>-20000</v>
      </c>
    </row>
    <row r="10" spans="1:36" ht="14" x14ac:dyDescent="0.2">
      <c r="A10" s="156"/>
      <c r="B10" s="127"/>
      <c r="C10" s="145">
        <v>45693</v>
      </c>
      <c r="D10" s="127">
        <v>1300</v>
      </c>
      <c r="E10" s="127" t="s">
        <v>898</v>
      </c>
      <c r="F10" s="147"/>
      <c r="I10" s="162">
        <v>44927</v>
      </c>
      <c r="J10" s="140">
        <v>7</v>
      </c>
      <c r="K10" s="163">
        <v>5333</v>
      </c>
      <c r="L10" s="163">
        <v>5333</v>
      </c>
      <c r="M10" s="140"/>
      <c r="N10" s="140"/>
      <c r="P10" s="166" t="s">
        <v>230</v>
      </c>
      <c r="Q10" s="161" t="s">
        <v>899</v>
      </c>
      <c r="R10" s="161" t="s">
        <v>900</v>
      </c>
      <c r="S10" s="160"/>
      <c r="T10" s="155"/>
      <c r="U10" s="160"/>
      <c r="V10" s="172">
        <f>SUM(V4:V9)</f>
        <v>324000</v>
      </c>
      <c r="W10" s="160"/>
      <c r="X10" s="160" t="s">
        <v>867</v>
      </c>
      <c r="Y10" s="172">
        <f>SUM(W5:Y9)</f>
        <v>271000</v>
      </c>
      <c r="AC10" s="347">
        <v>44754</v>
      </c>
      <c r="AD10" s="128" t="s">
        <v>901</v>
      </c>
      <c r="AE10" s="128" t="s">
        <v>870</v>
      </c>
      <c r="AF10" s="128" t="s">
        <v>99</v>
      </c>
      <c r="AG10" s="353">
        <v>20000</v>
      </c>
      <c r="AH10" s="357">
        <f t="shared" si="0"/>
        <v>-20000</v>
      </c>
      <c r="AI10" s="353">
        <f>SUM(AH$3:AH10)</f>
        <v>-92900</v>
      </c>
      <c r="AJ10" s="353">
        <f t="shared" si="1"/>
        <v>-20000</v>
      </c>
    </row>
    <row r="11" spans="1:36" ht="14" x14ac:dyDescent="0.2">
      <c r="A11" s="156"/>
      <c r="B11" s="127"/>
      <c r="C11" s="145">
        <v>45697</v>
      </c>
      <c r="D11" s="127">
        <v>2000</v>
      </c>
      <c r="E11" s="127" t="s">
        <v>902</v>
      </c>
      <c r="F11" s="147"/>
      <c r="I11" s="162">
        <v>44958</v>
      </c>
      <c r="J11" s="140">
        <v>8</v>
      </c>
      <c r="K11" s="163">
        <v>5333</v>
      </c>
      <c r="L11" s="163">
        <v>5333</v>
      </c>
      <c r="M11" s="140"/>
      <c r="N11" s="140"/>
      <c r="P11" s="166" t="s">
        <v>230</v>
      </c>
      <c r="Q11" s="161" t="s">
        <v>903</v>
      </c>
      <c r="R11" s="161" t="s">
        <v>904</v>
      </c>
      <c r="S11" s="160"/>
      <c r="T11" s="155"/>
      <c r="U11" s="160"/>
      <c r="V11" s="160"/>
      <c r="W11" s="160"/>
      <c r="X11" s="160" t="s">
        <v>263</v>
      </c>
      <c r="Y11" s="160">
        <f>V10-Y10</f>
        <v>53000</v>
      </c>
      <c r="AC11" s="347">
        <v>44764</v>
      </c>
      <c r="AD11" s="128" t="s">
        <v>905</v>
      </c>
      <c r="AE11" s="128" t="s">
        <v>876</v>
      </c>
      <c r="AF11" s="128" t="s">
        <v>99</v>
      </c>
      <c r="AG11" s="353">
        <v>340</v>
      </c>
      <c r="AH11" s="358">
        <f t="shared" si="0"/>
        <v>340</v>
      </c>
      <c r="AI11" s="353">
        <f>SUM(AH$3:AH11)</f>
        <v>-92560</v>
      </c>
      <c r="AJ11" s="353">
        <f t="shared" si="1"/>
        <v>340</v>
      </c>
    </row>
    <row r="12" spans="1:36" ht="14" x14ac:dyDescent="0.2">
      <c r="A12" s="156"/>
      <c r="B12" s="127"/>
      <c r="C12" s="145">
        <v>45680</v>
      </c>
      <c r="D12" s="127">
        <v>5500</v>
      </c>
      <c r="E12" s="127" t="s">
        <v>906</v>
      </c>
      <c r="F12" s="147"/>
      <c r="I12" s="162">
        <v>44986</v>
      </c>
      <c r="J12" s="140">
        <v>9</v>
      </c>
      <c r="K12" s="163">
        <v>5333</v>
      </c>
      <c r="L12" s="163">
        <v>5333</v>
      </c>
      <c r="M12" s="140"/>
      <c r="N12" s="140"/>
      <c r="AC12" s="347">
        <v>44774</v>
      </c>
      <c r="AD12" s="128" t="s">
        <v>907</v>
      </c>
      <c r="AE12" s="128" t="s">
        <v>876</v>
      </c>
      <c r="AF12" s="128" t="s">
        <v>99</v>
      </c>
      <c r="AG12" s="353">
        <v>75000</v>
      </c>
      <c r="AH12" s="358">
        <f t="shared" si="0"/>
        <v>75000</v>
      </c>
      <c r="AI12" s="353">
        <f>SUM(AH$3:AH12)</f>
        <v>-17560</v>
      </c>
      <c r="AJ12" s="353">
        <f t="shared" si="1"/>
        <v>75000</v>
      </c>
    </row>
    <row r="13" spans="1:36" ht="14" x14ac:dyDescent="0.2">
      <c r="A13" s="156"/>
      <c r="B13" s="127"/>
      <c r="C13" s="145">
        <v>45700</v>
      </c>
      <c r="D13" s="127">
        <v>650</v>
      </c>
      <c r="E13" s="127" t="s">
        <v>877</v>
      </c>
      <c r="F13" s="147"/>
      <c r="I13" s="162">
        <v>45017</v>
      </c>
      <c r="J13" s="140">
        <v>10</v>
      </c>
      <c r="K13" s="163">
        <v>5333</v>
      </c>
      <c r="L13" s="163">
        <v>5333</v>
      </c>
      <c r="M13" s="140"/>
      <c r="N13" s="140"/>
      <c r="AC13" s="347">
        <v>44775</v>
      </c>
      <c r="AD13" s="128" t="s">
        <v>908</v>
      </c>
      <c r="AE13" s="128" t="s">
        <v>876</v>
      </c>
      <c r="AF13" s="128" t="s">
        <v>99</v>
      </c>
      <c r="AG13" s="353">
        <v>18200</v>
      </c>
      <c r="AH13" s="358">
        <f t="shared" si="0"/>
        <v>18200</v>
      </c>
      <c r="AI13" s="353">
        <f>SUM(AH$3:AH13)</f>
        <v>640</v>
      </c>
      <c r="AJ13" s="353">
        <f t="shared" si="1"/>
        <v>18200</v>
      </c>
    </row>
    <row r="14" spans="1:36" ht="14" x14ac:dyDescent="0.2">
      <c r="A14" s="156"/>
      <c r="B14" s="127"/>
      <c r="C14" s="145">
        <v>45687</v>
      </c>
      <c r="D14" s="127">
        <v>1700</v>
      </c>
      <c r="E14" s="127" t="s">
        <v>909</v>
      </c>
      <c r="F14" s="147"/>
      <c r="I14" s="162">
        <v>45047</v>
      </c>
      <c r="J14" s="140">
        <v>11</v>
      </c>
      <c r="K14" s="163">
        <v>5333</v>
      </c>
      <c r="L14" s="163">
        <v>5333</v>
      </c>
      <c r="M14" s="140"/>
      <c r="N14" s="140"/>
      <c r="AC14" s="347">
        <v>44775</v>
      </c>
      <c r="AD14" s="128" t="s">
        <v>910</v>
      </c>
      <c r="AE14" s="128" t="s">
        <v>876</v>
      </c>
      <c r="AF14" s="128" t="s">
        <v>99</v>
      </c>
      <c r="AG14" s="353">
        <v>700</v>
      </c>
      <c r="AH14" s="358">
        <f t="shared" si="0"/>
        <v>700</v>
      </c>
      <c r="AI14" s="353">
        <f>SUM(AH$3:AH14)</f>
        <v>1340</v>
      </c>
      <c r="AJ14" s="353">
        <f t="shared" si="1"/>
        <v>700</v>
      </c>
    </row>
    <row r="15" spans="1:36" ht="14" x14ac:dyDescent="0.2">
      <c r="A15" s="156"/>
      <c r="B15" s="127"/>
      <c r="C15" s="145">
        <v>45687</v>
      </c>
      <c r="D15" s="127">
        <v>2700</v>
      </c>
      <c r="E15" s="127" t="s">
        <v>911</v>
      </c>
      <c r="F15" s="147" t="s">
        <v>912</v>
      </c>
      <c r="I15" s="162">
        <v>45078</v>
      </c>
      <c r="J15" s="140">
        <v>12</v>
      </c>
      <c r="K15" s="163">
        <v>5333</v>
      </c>
      <c r="L15" s="163">
        <v>5333</v>
      </c>
      <c r="M15" s="140"/>
      <c r="N15" s="140"/>
      <c r="AC15" s="347">
        <v>44782</v>
      </c>
      <c r="AD15" s="128" t="s">
        <v>907</v>
      </c>
      <c r="AE15" s="128" t="s">
        <v>876</v>
      </c>
      <c r="AF15" s="128" t="s">
        <v>99</v>
      </c>
      <c r="AG15" s="353">
        <v>75000</v>
      </c>
      <c r="AH15" s="358">
        <f t="shared" si="0"/>
        <v>75000</v>
      </c>
      <c r="AI15" s="353">
        <f>SUM(AH$3:AH15)</f>
        <v>76340</v>
      </c>
      <c r="AJ15" s="353">
        <f t="shared" si="1"/>
        <v>75000</v>
      </c>
    </row>
    <row r="16" spans="1:36" ht="14" x14ac:dyDescent="0.2">
      <c r="A16" s="156"/>
      <c r="B16" s="127"/>
      <c r="C16" s="145">
        <v>45690</v>
      </c>
      <c r="D16" s="127">
        <v>1050</v>
      </c>
      <c r="E16" s="127" t="s">
        <v>913</v>
      </c>
      <c r="F16" s="147"/>
      <c r="I16" s="162">
        <v>45108</v>
      </c>
      <c r="J16" s="140">
        <v>13</v>
      </c>
      <c r="K16" s="163">
        <v>5333</v>
      </c>
      <c r="L16" s="163">
        <v>5333</v>
      </c>
      <c r="M16" s="140"/>
      <c r="N16" s="140"/>
      <c r="AC16" s="347">
        <v>44788</v>
      </c>
      <c r="AD16" s="128" t="s">
        <v>914</v>
      </c>
      <c r="AE16" s="128" t="s">
        <v>876</v>
      </c>
      <c r="AF16" s="128" t="s">
        <v>99</v>
      </c>
      <c r="AG16" s="353">
        <v>500</v>
      </c>
      <c r="AH16" s="358">
        <f t="shared" si="0"/>
        <v>500</v>
      </c>
      <c r="AI16" s="353">
        <f>SUM(AH$3:AH16)</f>
        <v>76840</v>
      </c>
      <c r="AJ16" s="353">
        <f t="shared" si="1"/>
        <v>500</v>
      </c>
    </row>
    <row r="17" spans="1:36" ht="14" x14ac:dyDescent="0.2">
      <c r="A17" s="156"/>
      <c r="B17" s="127"/>
      <c r="C17" s="145">
        <v>45708</v>
      </c>
      <c r="D17" s="127">
        <v>2000</v>
      </c>
      <c r="E17" s="127" t="s">
        <v>915</v>
      </c>
      <c r="F17" s="147"/>
      <c r="I17" s="162">
        <v>45139</v>
      </c>
      <c r="J17" s="140">
        <v>14</v>
      </c>
      <c r="K17" s="163">
        <v>5333</v>
      </c>
      <c r="L17" s="163">
        <v>5333</v>
      </c>
      <c r="M17" s="140"/>
      <c r="N17" s="140"/>
      <c r="AC17" s="347">
        <v>44807</v>
      </c>
      <c r="AD17" s="128" t="s">
        <v>916</v>
      </c>
      <c r="AE17" s="128" t="s">
        <v>870</v>
      </c>
      <c r="AF17" s="128" t="s">
        <v>99</v>
      </c>
      <c r="AG17" s="353">
        <v>50000</v>
      </c>
      <c r="AH17" s="357">
        <f t="shared" si="0"/>
        <v>-50000</v>
      </c>
      <c r="AI17" s="353">
        <f>SUM(AH$3:AH17)</f>
        <v>26840</v>
      </c>
      <c r="AJ17" s="353">
        <f t="shared" si="1"/>
        <v>-50000</v>
      </c>
    </row>
    <row r="18" spans="1:36" ht="14" x14ac:dyDescent="0.2">
      <c r="A18" s="156"/>
      <c r="B18" s="127"/>
      <c r="C18" s="145">
        <v>45697</v>
      </c>
      <c r="D18" s="127">
        <v>3000</v>
      </c>
      <c r="E18" s="127" t="s">
        <v>917</v>
      </c>
      <c r="F18" s="147"/>
      <c r="I18" s="162">
        <v>45170</v>
      </c>
      <c r="J18" s="140">
        <v>15</v>
      </c>
      <c r="K18" s="163">
        <v>5333</v>
      </c>
      <c r="L18" s="163">
        <v>5333</v>
      </c>
      <c r="M18" s="140"/>
      <c r="N18" s="140"/>
      <c r="AC18" s="347">
        <v>44814</v>
      </c>
      <c r="AD18" s="359" t="s">
        <v>907</v>
      </c>
      <c r="AE18" s="128" t="s">
        <v>876</v>
      </c>
      <c r="AF18" s="128" t="s">
        <v>99</v>
      </c>
      <c r="AG18" s="353">
        <v>55000</v>
      </c>
      <c r="AH18" s="358">
        <f t="shared" si="0"/>
        <v>55000</v>
      </c>
      <c r="AI18" s="353">
        <f>SUM(AH$3:AH18)</f>
        <v>81840</v>
      </c>
      <c r="AJ18" s="353">
        <f t="shared" si="1"/>
        <v>55000</v>
      </c>
    </row>
    <row r="19" spans="1:36" ht="14" x14ac:dyDescent="0.2">
      <c r="A19" s="173"/>
      <c r="B19" s="127"/>
      <c r="C19" s="148">
        <v>45707</v>
      </c>
      <c r="D19" s="127">
        <v>-4000</v>
      </c>
      <c r="E19" s="127" t="s">
        <v>918</v>
      </c>
      <c r="F19" s="147"/>
      <c r="I19" s="162">
        <v>45200</v>
      </c>
      <c r="J19" s="140">
        <v>16</v>
      </c>
      <c r="K19" s="163">
        <v>5333</v>
      </c>
      <c r="L19" s="163">
        <v>5333</v>
      </c>
      <c r="M19" s="140"/>
      <c r="N19" s="140"/>
      <c r="AC19" s="347">
        <v>44833</v>
      </c>
      <c r="AD19" s="128" t="s">
        <v>919</v>
      </c>
      <c r="AE19" s="128" t="s">
        <v>876</v>
      </c>
      <c r="AF19" s="128" t="s">
        <v>99</v>
      </c>
      <c r="AG19" s="353">
        <v>40000</v>
      </c>
      <c r="AH19" s="358">
        <f t="shared" si="0"/>
        <v>40000</v>
      </c>
      <c r="AI19" s="353">
        <f>SUM(AH$3:AH19)</f>
        <v>121840</v>
      </c>
      <c r="AJ19" s="353">
        <f t="shared" si="1"/>
        <v>40000</v>
      </c>
    </row>
    <row r="20" spans="1:36" ht="14" x14ac:dyDescent="0.2">
      <c r="A20" s="173"/>
      <c r="B20" s="127"/>
      <c r="C20" s="145">
        <v>45711</v>
      </c>
      <c r="D20" s="127">
        <v>1100</v>
      </c>
      <c r="E20" s="127" t="s">
        <v>920</v>
      </c>
      <c r="F20" s="147"/>
      <c r="I20" s="162">
        <v>45231</v>
      </c>
      <c r="J20" s="140">
        <v>17</v>
      </c>
      <c r="K20" s="163">
        <v>5333</v>
      </c>
      <c r="L20" s="163">
        <v>5333</v>
      </c>
      <c r="M20" s="140"/>
      <c r="N20" s="140"/>
      <c r="AC20" s="347">
        <v>44835</v>
      </c>
      <c r="AD20" s="128" t="s">
        <v>921</v>
      </c>
      <c r="AE20" s="128" t="s">
        <v>870</v>
      </c>
      <c r="AF20" s="128" t="s">
        <v>99</v>
      </c>
      <c r="AG20" s="353">
        <v>10000</v>
      </c>
      <c r="AH20" s="357">
        <f t="shared" si="0"/>
        <v>-10000</v>
      </c>
      <c r="AI20" s="353">
        <f>SUM(AH$3:AH20)</f>
        <v>111840</v>
      </c>
      <c r="AJ20" s="353">
        <f t="shared" si="1"/>
        <v>-10000</v>
      </c>
    </row>
    <row r="21" spans="1:36" ht="14" x14ac:dyDescent="0.2">
      <c r="A21" s="173"/>
      <c r="B21" s="127"/>
      <c r="C21" s="148">
        <v>45697</v>
      </c>
      <c r="D21" s="127">
        <v>5500</v>
      </c>
      <c r="E21" s="127" t="s">
        <v>922</v>
      </c>
      <c r="F21" s="147"/>
      <c r="I21" s="162">
        <v>45261</v>
      </c>
      <c r="J21" s="140">
        <v>18</v>
      </c>
      <c r="K21" s="163">
        <v>5333</v>
      </c>
      <c r="L21" s="163">
        <v>5333</v>
      </c>
      <c r="M21" s="140"/>
      <c r="N21" s="140"/>
      <c r="AC21" s="347">
        <v>44842</v>
      </c>
      <c r="AD21" s="128" t="s">
        <v>923</v>
      </c>
      <c r="AE21" s="128" t="s">
        <v>876</v>
      </c>
      <c r="AF21" s="128" t="s">
        <v>99</v>
      </c>
      <c r="AG21" s="353">
        <v>1500</v>
      </c>
      <c r="AH21" s="358">
        <f t="shared" si="0"/>
        <v>1500</v>
      </c>
      <c r="AI21" s="353">
        <f>SUM(AH$3:AH21)</f>
        <v>113340</v>
      </c>
      <c r="AJ21" s="353">
        <f t="shared" si="1"/>
        <v>1500</v>
      </c>
    </row>
    <row r="22" spans="1:36" ht="14" x14ac:dyDescent="0.2">
      <c r="A22" s="173"/>
      <c r="B22" s="127"/>
      <c r="C22" s="148">
        <v>45749</v>
      </c>
      <c r="D22" s="127">
        <v>1124</v>
      </c>
      <c r="E22" s="127" t="s">
        <v>924</v>
      </c>
      <c r="F22" s="147"/>
      <c r="I22" s="162">
        <v>45292</v>
      </c>
      <c r="J22" s="140">
        <v>19</v>
      </c>
      <c r="K22" s="163">
        <v>5333</v>
      </c>
      <c r="L22" s="163">
        <v>5333</v>
      </c>
      <c r="M22" s="140"/>
      <c r="N22" s="140"/>
      <c r="AC22" s="347">
        <v>44853</v>
      </c>
      <c r="AD22" s="128" t="s">
        <v>925</v>
      </c>
      <c r="AE22" s="128" t="s">
        <v>876</v>
      </c>
      <c r="AF22" s="128" t="s">
        <v>99</v>
      </c>
      <c r="AG22" s="353">
        <v>5300</v>
      </c>
      <c r="AH22" s="358">
        <f t="shared" si="0"/>
        <v>5300</v>
      </c>
      <c r="AI22" s="353">
        <f>SUM(AH$3:AH22)</f>
        <v>118640</v>
      </c>
      <c r="AJ22" s="353">
        <f t="shared" si="1"/>
        <v>5300</v>
      </c>
    </row>
    <row r="23" spans="1:36" ht="14" x14ac:dyDescent="0.2">
      <c r="A23" s="173"/>
      <c r="B23" s="127"/>
      <c r="C23" s="148">
        <v>45749</v>
      </c>
      <c r="D23" s="127">
        <v>388</v>
      </c>
      <c r="E23" s="127" t="s">
        <v>926</v>
      </c>
      <c r="F23" s="147"/>
      <c r="I23" s="162">
        <v>45323</v>
      </c>
      <c r="J23" s="140">
        <v>20</v>
      </c>
      <c r="K23" s="163">
        <v>5333</v>
      </c>
      <c r="L23" s="163">
        <v>5333</v>
      </c>
      <c r="M23" s="140"/>
      <c r="N23" s="140"/>
      <c r="AC23" s="347">
        <v>44865</v>
      </c>
      <c r="AD23" s="128" t="s">
        <v>927</v>
      </c>
      <c r="AE23" s="128" t="s">
        <v>876</v>
      </c>
      <c r="AF23" s="128" t="s">
        <v>99</v>
      </c>
      <c r="AG23" s="353">
        <v>7000</v>
      </c>
      <c r="AH23" s="358">
        <f t="shared" si="0"/>
        <v>7000</v>
      </c>
      <c r="AI23" s="353">
        <f>SUM(AH$3:AH23)</f>
        <v>125640</v>
      </c>
      <c r="AJ23" s="353">
        <f t="shared" si="1"/>
        <v>7000</v>
      </c>
    </row>
    <row r="24" spans="1:36" ht="14" x14ac:dyDescent="0.2">
      <c r="A24" s="173"/>
      <c r="B24" s="127"/>
      <c r="C24" s="148">
        <v>45749</v>
      </c>
      <c r="D24" s="127">
        <v>2108</v>
      </c>
      <c r="E24" s="127" t="s">
        <v>928</v>
      </c>
      <c r="F24" s="147"/>
      <c r="I24" s="162">
        <v>45352</v>
      </c>
      <c r="J24" s="140">
        <v>21</v>
      </c>
      <c r="K24" s="163">
        <v>5333</v>
      </c>
      <c r="L24" s="163">
        <v>5333</v>
      </c>
      <c r="M24" s="140"/>
      <c r="N24" s="140"/>
      <c r="AC24" s="347">
        <v>44895</v>
      </c>
      <c r="AD24" s="128" t="s">
        <v>923</v>
      </c>
      <c r="AE24" s="128" t="s">
        <v>876</v>
      </c>
      <c r="AF24" s="128" t="s">
        <v>99</v>
      </c>
      <c r="AG24" s="353">
        <v>3000</v>
      </c>
      <c r="AH24" s="358">
        <f t="shared" si="0"/>
        <v>3000</v>
      </c>
      <c r="AI24" s="353">
        <f>SUM(AH$3:AH24)</f>
        <v>128640</v>
      </c>
      <c r="AJ24" s="353">
        <f t="shared" si="1"/>
        <v>3000</v>
      </c>
    </row>
    <row r="25" spans="1:36" ht="14" x14ac:dyDescent="0.2">
      <c r="A25" s="173"/>
      <c r="B25" s="127"/>
      <c r="C25" s="148">
        <v>45749</v>
      </c>
      <c r="D25" s="127">
        <v>904</v>
      </c>
      <c r="E25" s="127" t="s">
        <v>928</v>
      </c>
      <c r="F25" s="147"/>
      <c r="I25" s="162">
        <v>45383</v>
      </c>
      <c r="J25" s="140">
        <v>22</v>
      </c>
      <c r="K25" s="163">
        <v>5333</v>
      </c>
      <c r="L25" s="140"/>
      <c r="M25" s="140"/>
      <c r="N25" s="140"/>
      <c r="AC25" s="347">
        <v>44899</v>
      </c>
      <c r="AD25" s="128" t="s">
        <v>929</v>
      </c>
      <c r="AE25" s="128" t="s">
        <v>870</v>
      </c>
      <c r="AF25" s="128" t="s">
        <v>99</v>
      </c>
      <c r="AG25" s="353">
        <v>10000</v>
      </c>
      <c r="AH25" s="357">
        <f t="shared" si="0"/>
        <v>-10000</v>
      </c>
      <c r="AI25" s="353">
        <f>SUM(AH$3:AH25)</f>
        <v>118640</v>
      </c>
      <c r="AJ25" s="353">
        <f t="shared" si="1"/>
        <v>-10000</v>
      </c>
    </row>
    <row r="26" spans="1:36" ht="14" x14ac:dyDescent="0.2">
      <c r="A26" s="173"/>
      <c r="B26" s="127"/>
      <c r="C26" s="148">
        <v>45748</v>
      </c>
      <c r="D26" s="127">
        <v>3000</v>
      </c>
      <c r="E26" s="127" t="s">
        <v>930</v>
      </c>
      <c r="F26" s="147"/>
      <c r="I26" s="162">
        <v>45413</v>
      </c>
      <c r="J26" s="140">
        <v>23</v>
      </c>
      <c r="K26" s="163">
        <v>5333</v>
      </c>
      <c r="L26" s="140"/>
      <c r="M26" s="140"/>
      <c r="N26" s="140"/>
      <c r="AC26" s="347">
        <v>44900</v>
      </c>
      <c r="AD26" s="128" t="s">
        <v>931</v>
      </c>
      <c r="AE26" s="128" t="s">
        <v>870</v>
      </c>
      <c r="AF26" s="128" t="s">
        <v>99</v>
      </c>
      <c r="AG26" s="353">
        <v>50000</v>
      </c>
      <c r="AH26" s="357">
        <f t="shared" si="0"/>
        <v>-50000</v>
      </c>
      <c r="AI26" s="353">
        <f>SUM(AH$3:AH26)</f>
        <v>68640</v>
      </c>
      <c r="AJ26" s="353">
        <f t="shared" si="1"/>
        <v>-50000</v>
      </c>
    </row>
    <row r="27" spans="1:36" ht="14" x14ac:dyDescent="0.2">
      <c r="A27" s="173"/>
      <c r="B27" s="127"/>
      <c r="C27" s="146" t="s">
        <v>932</v>
      </c>
      <c r="D27" s="127">
        <v>4000</v>
      </c>
      <c r="E27" s="127" t="s">
        <v>933</v>
      </c>
      <c r="F27" s="147"/>
      <c r="I27" s="162">
        <v>45444</v>
      </c>
      <c r="J27" s="140">
        <v>24</v>
      </c>
      <c r="K27" s="163">
        <v>5333</v>
      </c>
      <c r="L27" s="140"/>
      <c r="M27" s="140"/>
      <c r="N27" s="140"/>
      <c r="AC27" s="347">
        <v>44903</v>
      </c>
      <c r="AD27" s="128" t="s">
        <v>931</v>
      </c>
      <c r="AE27" s="128" t="s">
        <v>870</v>
      </c>
      <c r="AF27" s="128" t="s">
        <v>99</v>
      </c>
      <c r="AG27" s="353">
        <v>50000</v>
      </c>
      <c r="AH27" s="357">
        <f t="shared" si="0"/>
        <v>-50000</v>
      </c>
      <c r="AI27" s="353">
        <f>SUM(AH$3:AH27)</f>
        <v>18640</v>
      </c>
      <c r="AJ27" s="353">
        <f t="shared" si="1"/>
        <v>-50000</v>
      </c>
    </row>
    <row r="28" spans="1:36" ht="14" x14ac:dyDescent="0.2">
      <c r="A28" s="156"/>
      <c r="B28" s="127"/>
      <c r="C28" s="146" t="s">
        <v>932</v>
      </c>
      <c r="D28" s="127">
        <v>1000</v>
      </c>
      <c r="E28" s="127" t="s">
        <v>934</v>
      </c>
      <c r="F28" s="147"/>
      <c r="I28" s="162">
        <v>45474</v>
      </c>
      <c r="J28" s="140">
        <v>25</v>
      </c>
      <c r="K28" s="163">
        <v>5333</v>
      </c>
      <c r="L28" s="140"/>
      <c r="M28" s="140"/>
      <c r="N28" s="140"/>
      <c r="AC28" s="347">
        <v>44921</v>
      </c>
      <c r="AD28" s="128" t="s">
        <v>935</v>
      </c>
      <c r="AE28" s="128" t="s">
        <v>870</v>
      </c>
      <c r="AF28" s="128" t="s">
        <v>99</v>
      </c>
      <c r="AG28" s="353">
        <v>20000</v>
      </c>
      <c r="AH28" s="357">
        <f t="shared" si="0"/>
        <v>-20000</v>
      </c>
      <c r="AI28" s="353">
        <f>SUM(AH$3:AH28)</f>
        <v>-1360</v>
      </c>
      <c r="AJ28" s="353">
        <f t="shared" si="1"/>
        <v>-20000</v>
      </c>
    </row>
    <row r="29" spans="1:36" ht="14" x14ac:dyDescent="0.2">
      <c r="A29" s="156"/>
      <c r="B29" s="146">
        <v>20000</v>
      </c>
      <c r="C29" s="146" t="s">
        <v>932</v>
      </c>
      <c r="D29" s="127">
        <v>1000</v>
      </c>
      <c r="E29" s="127" t="s">
        <v>936</v>
      </c>
      <c r="F29" s="147"/>
      <c r="I29" s="162">
        <v>45505</v>
      </c>
      <c r="J29" s="140">
        <v>26</v>
      </c>
      <c r="K29" s="163">
        <v>5333</v>
      </c>
      <c r="L29" s="140"/>
      <c r="M29" s="140"/>
      <c r="N29" s="140"/>
      <c r="AC29" s="347">
        <v>44930</v>
      </c>
      <c r="AD29" s="128" t="s">
        <v>925</v>
      </c>
      <c r="AE29" s="128" t="s">
        <v>876</v>
      </c>
      <c r="AF29" s="128" t="s">
        <v>99</v>
      </c>
      <c r="AG29" s="353">
        <v>21430</v>
      </c>
      <c r="AH29" s="358">
        <f t="shared" si="0"/>
        <v>21430</v>
      </c>
      <c r="AI29" s="353">
        <f>SUM(AH$3:AH29)</f>
        <v>20070</v>
      </c>
      <c r="AJ29" s="353">
        <f t="shared" si="1"/>
        <v>21430</v>
      </c>
    </row>
    <row r="30" spans="1:36" ht="14" x14ac:dyDescent="0.2">
      <c r="A30" s="156"/>
      <c r="B30" s="127"/>
      <c r="C30" s="146" t="s">
        <v>932</v>
      </c>
      <c r="D30" s="127">
        <v>500</v>
      </c>
      <c r="E30" s="127" t="s">
        <v>937</v>
      </c>
      <c r="F30" s="147"/>
      <c r="I30" s="162">
        <v>45536</v>
      </c>
      <c r="J30" s="140">
        <v>27</v>
      </c>
      <c r="K30" s="163">
        <v>5333</v>
      </c>
      <c r="L30" s="140"/>
      <c r="M30" s="140"/>
      <c r="N30" s="140"/>
      <c r="AC30" s="347">
        <v>44965</v>
      </c>
      <c r="AD30" s="128" t="s">
        <v>938</v>
      </c>
      <c r="AE30" s="128" t="s">
        <v>876</v>
      </c>
      <c r="AF30" s="128" t="s">
        <v>99</v>
      </c>
      <c r="AG30" s="353">
        <v>21503</v>
      </c>
      <c r="AH30" s="358">
        <f t="shared" si="0"/>
        <v>21503</v>
      </c>
      <c r="AI30" s="353">
        <f>SUM(AH$3:AH30)</f>
        <v>41573</v>
      </c>
      <c r="AJ30" s="353">
        <f t="shared" si="1"/>
        <v>21503</v>
      </c>
    </row>
    <row r="31" spans="1:36" ht="14" x14ac:dyDescent="0.2">
      <c r="A31" s="156"/>
      <c r="B31" s="127"/>
      <c r="C31" s="146" t="s">
        <v>932</v>
      </c>
      <c r="D31" s="127">
        <v>1000</v>
      </c>
      <c r="E31" s="127" t="s">
        <v>939</v>
      </c>
      <c r="F31" s="147"/>
      <c r="I31" s="162">
        <v>45566</v>
      </c>
      <c r="J31" s="140">
        <v>28</v>
      </c>
      <c r="K31" s="163">
        <v>5333</v>
      </c>
      <c r="L31" s="140"/>
      <c r="M31" s="140"/>
      <c r="N31" s="140"/>
      <c r="AC31" s="347">
        <v>44978</v>
      </c>
      <c r="AD31" s="128" t="s">
        <v>940</v>
      </c>
      <c r="AE31" s="128" t="s">
        <v>870</v>
      </c>
      <c r="AF31" s="128" t="s">
        <v>99</v>
      </c>
      <c r="AG31" s="353">
        <v>25500</v>
      </c>
      <c r="AH31" s="357">
        <f t="shared" si="0"/>
        <v>-25500</v>
      </c>
      <c r="AI31" s="353">
        <f>SUM(AH$3:AH31)</f>
        <v>16073</v>
      </c>
      <c r="AJ31" s="353">
        <f t="shared" si="1"/>
        <v>-25500</v>
      </c>
    </row>
    <row r="32" spans="1:36" ht="14" x14ac:dyDescent="0.2">
      <c r="A32" s="156"/>
      <c r="B32" s="146"/>
      <c r="C32" s="146" t="s">
        <v>932</v>
      </c>
      <c r="D32" s="127">
        <v>3000</v>
      </c>
      <c r="E32" s="127" t="s">
        <v>941</v>
      </c>
      <c r="F32" s="147"/>
      <c r="I32" s="162">
        <v>45597</v>
      </c>
      <c r="J32" s="140">
        <v>29</v>
      </c>
      <c r="K32" s="163">
        <v>5333</v>
      </c>
      <c r="L32" s="140"/>
      <c r="M32" s="140"/>
      <c r="N32" s="140"/>
      <c r="AC32" s="347">
        <v>44980</v>
      </c>
      <c r="AD32" s="128" t="s">
        <v>942</v>
      </c>
      <c r="AE32" s="128" t="s">
        <v>876</v>
      </c>
      <c r="AF32" s="128" t="s">
        <v>99</v>
      </c>
      <c r="AG32" s="353">
        <v>1500</v>
      </c>
      <c r="AH32" s="358">
        <f t="shared" si="0"/>
        <v>1500</v>
      </c>
      <c r="AI32" s="353">
        <f>SUM(AH$3:AH32)</f>
        <v>17573</v>
      </c>
      <c r="AJ32" s="353">
        <f t="shared" si="1"/>
        <v>1500</v>
      </c>
    </row>
    <row r="33" spans="1:36" ht="14" x14ac:dyDescent="0.2">
      <c r="A33" s="174"/>
      <c r="B33" s="146"/>
      <c r="C33" s="146" t="s">
        <v>932</v>
      </c>
      <c r="D33" s="127">
        <v>5000</v>
      </c>
      <c r="E33" s="127" t="s">
        <v>943</v>
      </c>
      <c r="F33" s="147"/>
      <c r="I33" s="162">
        <v>45627</v>
      </c>
      <c r="J33" s="140">
        <v>30</v>
      </c>
      <c r="K33" s="163">
        <v>5333</v>
      </c>
      <c r="L33" s="140"/>
      <c r="M33" s="140"/>
      <c r="N33" s="140"/>
      <c r="AC33" s="347">
        <v>44991</v>
      </c>
      <c r="AD33" s="128" t="s">
        <v>901</v>
      </c>
      <c r="AE33" s="128" t="s">
        <v>876</v>
      </c>
      <c r="AF33" s="128" t="s">
        <v>99</v>
      </c>
      <c r="AG33" s="353">
        <v>100000</v>
      </c>
      <c r="AH33" s="358">
        <f t="shared" si="0"/>
        <v>100000</v>
      </c>
      <c r="AI33" s="353">
        <f>SUM(AH$3:AH33)</f>
        <v>117573</v>
      </c>
      <c r="AJ33" s="353">
        <f t="shared" si="1"/>
        <v>100000</v>
      </c>
    </row>
    <row r="34" spans="1:36" ht="14" x14ac:dyDescent="0.2">
      <c r="A34" s="156"/>
      <c r="B34" s="127"/>
      <c r="C34" s="146" t="s">
        <v>932</v>
      </c>
      <c r="D34" s="127">
        <v>1500</v>
      </c>
      <c r="E34" s="127" t="s">
        <v>944</v>
      </c>
      <c r="F34" s="147"/>
      <c r="I34" s="162">
        <v>45658</v>
      </c>
      <c r="J34" s="140">
        <v>31</v>
      </c>
      <c r="K34" s="163">
        <v>5333</v>
      </c>
      <c r="L34" s="140"/>
      <c r="M34" s="140"/>
      <c r="N34" s="140"/>
      <c r="AC34" s="347">
        <v>44995</v>
      </c>
      <c r="AD34" s="128" t="s">
        <v>945</v>
      </c>
      <c r="AE34" s="128" t="s">
        <v>870</v>
      </c>
      <c r="AF34" s="128" t="s">
        <v>99</v>
      </c>
      <c r="AG34" s="353">
        <v>10000</v>
      </c>
      <c r="AH34" s="357">
        <f t="shared" si="0"/>
        <v>-10000</v>
      </c>
      <c r="AI34" s="353">
        <f>SUM(AH$3:AH34)</f>
        <v>107573</v>
      </c>
      <c r="AJ34" s="353">
        <f t="shared" si="1"/>
        <v>-10000</v>
      </c>
    </row>
    <row r="35" spans="1:36" ht="14" x14ac:dyDescent="0.2">
      <c r="A35" s="156"/>
      <c r="B35" s="127"/>
      <c r="C35" s="146" t="s">
        <v>932</v>
      </c>
      <c r="D35" s="127">
        <v>1000</v>
      </c>
      <c r="E35" s="127" t="s">
        <v>946</v>
      </c>
      <c r="F35" s="147"/>
      <c r="I35" s="162">
        <v>45689</v>
      </c>
      <c r="J35" s="140">
        <v>32</v>
      </c>
      <c r="K35" s="163">
        <v>5333</v>
      </c>
      <c r="L35" s="140"/>
      <c r="M35" s="140"/>
      <c r="N35" s="140"/>
      <c r="AC35" s="347">
        <v>44997</v>
      </c>
      <c r="AD35" s="128" t="s">
        <v>947</v>
      </c>
      <c r="AE35" s="128" t="s">
        <v>870</v>
      </c>
      <c r="AF35" s="128" t="s">
        <v>99</v>
      </c>
      <c r="AG35" s="353">
        <v>3405</v>
      </c>
      <c r="AH35" s="357">
        <f t="shared" ref="AH35:AH66" si="2">IF(AE35="Debit",-AG35,AG35)</f>
        <v>-3405</v>
      </c>
      <c r="AI35" s="353">
        <f>SUM(AH$3:AH35)</f>
        <v>104168</v>
      </c>
      <c r="AJ35" s="353">
        <f t="shared" ref="AJ35:AJ70" si="3">IF(AF35="Papa",AH35,0)</f>
        <v>-3405</v>
      </c>
    </row>
    <row r="36" spans="1:36" ht="15" thickBot="1" x14ac:dyDescent="0.25">
      <c r="A36" s="175"/>
      <c r="B36" s="149"/>
      <c r="C36" s="150" t="s">
        <v>932</v>
      </c>
      <c r="D36" s="149">
        <v>2500</v>
      </c>
      <c r="E36" s="149" t="s">
        <v>73</v>
      </c>
      <c r="F36" s="151"/>
      <c r="I36" s="162">
        <v>45717</v>
      </c>
      <c r="J36" s="140">
        <v>33</v>
      </c>
      <c r="K36" s="163">
        <v>5333</v>
      </c>
      <c r="L36" s="140"/>
      <c r="M36" s="140"/>
      <c r="N36" s="140"/>
      <c r="AC36" s="347">
        <v>44997</v>
      </c>
      <c r="AD36" s="128" t="s">
        <v>948</v>
      </c>
      <c r="AE36" s="128" t="s">
        <v>876</v>
      </c>
      <c r="AF36" s="128" t="s">
        <v>99</v>
      </c>
      <c r="AG36" s="353">
        <v>9000</v>
      </c>
      <c r="AH36" s="358">
        <f t="shared" si="2"/>
        <v>9000</v>
      </c>
      <c r="AI36" s="353">
        <f>SUM(AH$3:AH36)</f>
        <v>113168</v>
      </c>
      <c r="AJ36" s="353">
        <f t="shared" si="3"/>
        <v>9000</v>
      </c>
    </row>
    <row r="37" spans="1:36" ht="15" thickTop="1" thickBot="1" x14ac:dyDescent="0.2">
      <c r="I37" s="162">
        <v>45748</v>
      </c>
      <c r="J37" s="140">
        <v>34</v>
      </c>
      <c r="K37" s="163">
        <v>5333</v>
      </c>
      <c r="L37" s="140"/>
      <c r="M37" s="140"/>
      <c r="N37" s="140"/>
      <c r="AC37" s="347">
        <v>45005</v>
      </c>
      <c r="AD37" s="128" t="s">
        <v>925</v>
      </c>
      <c r="AE37" s="128" t="s">
        <v>876</v>
      </c>
      <c r="AF37" s="128" t="s">
        <v>99</v>
      </c>
      <c r="AG37" s="353">
        <v>90000</v>
      </c>
      <c r="AH37" s="358">
        <f t="shared" si="2"/>
        <v>90000</v>
      </c>
      <c r="AI37" s="353">
        <f>SUM(AH$3:AH37)</f>
        <v>203168</v>
      </c>
      <c r="AJ37" s="353">
        <f t="shared" si="3"/>
        <v>90000</v>
      </c>
    </row>
    <row r="38" spans="1:36" ht="14" thickTop="1" x14ac:dyDescent="0.15">
      <c r="B38" s="153" t="s">
        <v>63</v>
      </c>
      <c r="C38" s="176" t="s">
        <v>949</v>
      </c>
      <c r="D38" s="177" t="s">
        <v>4</v>
      </c>
      <c r="I38" s="162">
        <v>45778</v>
      </c>
      <c r="J38" s="140">
        <v>35</v>
      </c>
      <c r="K38" s="163">
        <v>5333</v>
      </c>
      <c r="L38" s="140"/>
      <c r="M38" s="140"/>
      <c r="N38" s="140"/>
      <c r="AC38" s="347">
        <v>45022</v>
      </c>
      <c r="AD38" s="128" t="s">
        <v>950</v>
      </c>
      <c r="AE38" s="128" t="s">
        <v>876</v>
      </c>
      <c r="AF38" s="128" t="s">
        <v>99</v>
      </c>
      <c r="AG38" s="353">
        <v>7100</v>
      </c>
      <c r="AH38" s="358">
        <f t="shared" si="2"/>
        <v>7100</v>
      </c>
      <c r="AI38" s="353">
        <f>SUM(AH$3:AH38)</f>
        <v>210268</v>
      </c>
      <c r="AJ38" s="353">
        <f t="shared" si="3"/>
        <v>7100</v>
      </c>
    </row>
    <row r="39" spans="1:36" ht="13" x14ac:dyDescent="0.15">
      <c r="B39" s="156">
        <v>100</v>
      </c>
      <c r="C39" s="141">
        <v>2</v>
      </c>
      <c r="D39" s="178">
        <f t="shared" ref="D39:D42" si="4">B39*C39*100</f>
        <v>20000</v>
      </c>
      <c r="I39" s="162">
        <v>45809</v>
      </c>
      <c r="J39" s="140">
        <v>36</v>
      </c>
      <c r="K39" s="163">
        <v>5333</v>
      </c>
      <c r="L39" s="140"/>
      <c r="M39" s="140"/>
      <c r="N39" s="140"/>
      <c r="AC39" s="347">
        <v>45026</v>
      </c>
      <c r="AD39" s="128" t="s">
        <v>951</v>
      </c>
      <c r="AE39" s="128" t="s">
        <v>870</v>
      </c>
      <c r="AF39" s="128" t="s">
        <v>99</v>
      </c>
      <c r="AG39" s="353">
        <v>3000</v>
      </c>
      <c r="AH39" s="357">
        <f t="shared" si="2"/>
        <v>-3000</v>
      </c>
      <c r="AI39" s="353">
        <f>SUM(AH$3:AH39)</f>
        <v>207268</v>
      </c>
      <c r="AJ39" s="353">
        <f t="shared" si="3"/>
        <v>-3000</v>
      </c>
    </row>
    <row r="40" spans="1:36" ht="13" x14ac:dyDescent="0.15">
      <c r="B40" s="156">
        <v>50</v>
      </c>
      <c r="C40" s="141">
        <v>2</v>
      </c>
      <c r="D40" s="178">
        <f t="shared" si="4"/>
        <v>10000</v>
      </c>
      <c r="I40" s="162">
        <v>45839</v>
      </c>
      <c r="J40" s="140">
        <v>37</v>
      </c>
      <c r="K40" s="163">
        <v>5333</v>
      </c>
      <c r="L40" s="140"/>
      <c r="M40" s="140"/>
      <c r="N40" s="140"/>
      <c r="AC40" s="347">
        <v>45028</v>
      </c>
      <c r="AD40" s="128" t="s">
        <v>948</v>
      </c>
      <c r="AE40" s="128" t="s">
        <v>876</v>
      </c>
      <c r="AF40" s="128" t="s">
        <v>99</v>
      </c>
      <c r="AG40" s="353">
        <v>1500</v>
      </c>
      <c r="AH40" s="358">
        <f t="shared" si="2"/>
        <v>1500</v>
      </c>
      <c r="AI40" s="353">
        <f>SUM(AH$3:AH40)</f>
        <v>208768</v>
      </c>
      <c r="AJ40" s="353">
        <f t="shared" si="3"/>
        <v>1500</v>
      </c>
    </row>
    <row r="41" spans="1:36" ht="13" x14ac:dyDescent="0.15">
      <c r="B41" s="156">
        <v>20</v>
      </c>
      <c r="C41" s="141">
        <v>3</v>
      </c>
      <c r="D41" s="178">
        <f t="shared" si="4"/>
        <v>6000</v>
      </c>
      <c r="I41" s="162">
        <v>45870</v>
      </c>
      <c r="J41" s="140">
        <v>38</v>
      </c>
      <c r="K41" s="163">
        <v>5333</v>
      </c>
      <c r="L41" s="140"/>
      <c r="M41" s="140"/>
      <c r="N41" s="140"/>
      <c r="AC41" s="347">
        <v>45039</v>
      </c>
      <c r="AD41" s="128" t="s">
        <v>952</v>
      </c>
      <c r="AE41" s="128" t="s">
        <v>876</v>
      </c>
      <c r="AF41" s="128" t="s">
        <v>99</v>
      </c>
      <c r="AG41" s="353">
        <v>59000</v>
      </c>
      <c r="AH41" s="358">
        <f t="shared" si="2"/>
        <v>59000</v>
      </c>
      <c r="AI41" s="353">
        <f>SUM(AH$3:AH41)</f>
        <v>267768</v>
      </c>
      <c r="AJ41" s="353">
        <f t="shared" si="3"/>
        <v>59000</v>
      </c>
    </row>
    <row r="42" spans="1:36" ht="13" x14ac:dyDescent="0.15">
      <c r="B42" s="156">
        <v>10</v>
      </c>
      <c r="C42" s="141">
        <v>1</v>
      </c>
      <c r="D42" s="178">
        <f t="shared" si="4"/>
        <v>1000</v>
      </c>
      <c r="I42" s="162">
        <v>45901</v>
      </c>
      <c r="J42" s="140">
        <v>39</v>
      </c>
      <c r="K42" s="163">
        <v>5333</v>
      </c>
      <c r="L42" s="140"/>
      <c r="M42" s="140"/>
      <c r="N42" s="140"/>
      <c r="AC42" s="347">
        <v>45043</v>
      </c>
      <c r="AD42" s="128" t="s">
        <v>953</v>
      </c>
      <c r="AE42" s="128" t="s">
        <v>876</v>
      </c>
      <c r="AF42" s="128" t="s">
        <v>99</v>
      </c>
      <c r="AG42" s="353">
        <v>103000</v>
      </c>
      <c r="AH42" s="358">
        <f t="shared" si="2"/>
        <v>103000</v>
      </c>
      <c r="AI42" s="353">
        <f>SUM(AH$3:AH42)</f>
        <v>370768</v>
      </c>
      <c r="AJ42" s="353">
        <f t="shared" si="3"/>
        <v>103000</v>
      </c>
    </row>
    <row r="43" spans="1:36" ht="13" x14ac:dyDescent="0.15">
      <c r="B43" s="156" t="s">
        <v>954</v>
      </c>
      <c r="C43" s="141" t="s">
        <v>4</v>
      </c>
      <c r="D43" s="179">
        <f>SUM(D39:D42)</f>
        <v>37000</v>
      </c>
      <c r="I43" s="162">
        <v>45931</v>
      </c>
      <c r="J43" s="140">
        <v>40</v>
      </c>
      <c r="K43" s="163">
        <v>5333</v>
      </c>
      <c r="L43" s="140"/>
      <c r="M43" s="140"/>
      <c r="N43" s="140"/>
      <c r="AC43" s="347">
        <v>45046</v>
      </c>
      <c r="AD43" s="128" t="s">
        <v>923</v>
      </c>
      <c r="AE43" s="128" t="s">
        <v>870</v>
      </c>
      <c r="AF43" s="128" t="s">
        <v>99</v>
      </c>
      <c r="AG43" s="353">
        <v>20000</v>
      </c>
      <c r="AH43" s="357">
        <f t="shared" si="2"/>
        <v>-20000</v>
      </c>
      <c r="AI43" s="353">
        <f>SUM(AH$3:AH43)</f>
        <v>350768</v>
      </c>
      <c r="AJ43" s="353">
        <f t="shared" si="3"/>
        <v>-20000</v>
      </c>
    </row>
    <row r="44" spans="1:36" ht="13" x14ac:dyDescent="0.15">
      <c r="B44" s="156">
        <v>100</v>
      </c>
      <c r="C44" s="141">
        <v>1</v>
      </c>
      <c r="D44" s="178">
        <f t="shared" ref="D44:D46" si="5">B44*C44*100</f>
        <v>10000</v>
      </c>
      <c r="I44" s="162">
        <v>45962</v>
      </c>
      <c r="J44" s="140">
        <v>41</v>
      </c>
      <c r="K44" s="163">
        <v>5333</v>
      </c>
      <c r="L44" s="140"/>
      <c r="M44" s="140"/>
      <c r="N44" s="140"/>
      <c r="AC44" s="347">
        <v>45047</v>
      </c>
      <c r="AD44" s="128" t="s">
        <v>923</v>
      </c>
      <c r="AE44" s="128" t="s">
        <v>876</v>
      </c>
      <c r="AF44" s="128" t="s">
        <v>99</v>
      </c>
      <c r="AG44" s="353">
        <v>900</v>
      </c>
      <c r="AH44" s="358">
        <f t="shared" si="2"/>
        <v>900</v>
      </c>
      <c r="AI44" s="353">
        <f>SUM(AH$3:AH44)</f>
        <v>351668</v>
      </c>
      <c r="AJ44" s="353">
        <f t="shared" si="3"/>
        <v>900</v>
      </c>
    </row>
    <row r="45" spans="1:36" ht="13" x14ac:dyDescent="0.15">
      <c r="B45" s="156">
        <v>50</v>
      </c>
      <c r="C45" s="141">
        <v>1</v>
      </c>
      <c r="D45" s="178">
        <f t="shared" si="5"/>
        <v>5000</v>
      </c>
      <c r="I45" s="162">
        <v>45992</v>
      </c>
      <c r="J45" s="140">
        <v>42</v>
      </c>
      <c r="K45" s="163">
        <v>5333</v>
      </c>
      <c r="L45" s="140"/>
      <c r="M45" s="140"/>
      <c r="N45" s="140"/>
      <c r="AC45" s="347">
        <v>45050</v>
      </c>
      <c r="AD45" s="128" t="s">
        <v>955</v>
      </c>
      <c r="AE45" s="128" t="s">
        <v>876</v>
      </c>
      <c r="AF45" s="128" t="s">
        <v>99</v>
      </c>
      <c r="AG45" s="353">
        <v>1800</v>
      </c>
      <c r="AH45" s="358">
        <f t="shared" si="2"/>
        <v>1800</v>
      </c>
      <c r="AI45" s="353">
        <f>SUM(AH$3:AH45)</f>
        <v>353468</v>
      </c>
      <c r="AJ45" s="353">
        <f t="shared" si="3"/>
        <v>1800</v>
      </c>
    </row>
    <row r="46" spans="1:36" ht="13" x14ac:dyDescent="0.15">
      <c r="B46" s="156">
        <v>20</v>
      </c>
      <c r="C46" s="141">
        <v>2</v>
      </c>
      <c r="D46" s="178">
        <f t="shared" si="5"/>
        <v>4000</v>
      </c>
      <c r="I46" s="162">
        <v>46023</v>
      </c>
      <c r="J46" s="140">
        <v>43</v>
      </c>
      <c r="K46" s="163">
        <v>5333</v>
      </c>
      <c r="L46" s="140"/>
      <c r="M46" s="140"/>
      <c r="N46" s="140"/>
      <c r="AC46" s="347">
        <v>45070</v>
      </c>
      <c r="AD46" s="128" t="s">
        <v>956</v>
      </c>
      <c r="AE46" s="128" t="s">
        <v>876</v>
      </c>
      <c r="AF46" s="128" t="s">
        <v>99</v>
      </c>
      <c r="AG46" s="353">
        <v>10000</v>
      </c>
      <c r="AH46" s="358">
        <f t="shared" si="2"/>
        <v>10000</v>
      </c>
      <c r="AI46" s="353">
        <f>SUM(AH$3:AH46)</f>
        <v>363468</v>
      </c>
      <c r="AJ46" s="353">
        <f t="shared" si="3"/>
        <v>10000</v>
      </c>
    </row>
    <row r="47" spans="1:36" ht="13" x14ac:dyDescent="0.15">
      <c r="B47" s="156"/>
      <c r="D47" s="178">
        <v>6000</v>
      </c>
      <c r="I47" s="162">
        <v>46054</v>
      </c>
      <c r="J47" s="140">
        <v>44</v>
      </c>
      <c r="K47" s="163">
        <v>5333</v>
      </c>
      <c r="L47" s="140"/>
      <c r="M47" s="140"/>
      <c r="N47" s="140"/>
      <c r="AC47" s="347">
        <v>45072</v>
      </c>
      <c r="AD47" s="128" t="s">
        <v>957</v>
      </c>
      <c r="AE47" s="128" t="s">
        <v>876</v>
      </c>
      <c r="AF47" s="128" t="s">
        <v>99</v>
      </c>
      <c r="AG47" s="353">
        <v>7500</v>
      </c>
      <c r="AH47" s="358">
        <f t="shared" si="2"/>
        <v>7500</v>
      </c>
      <c r="AI47" s="353">
        <f>SUM(AH$3:AH47)</f>
        <v>370968</v>
      </c>
      <c r="AJ47" s="353">
        <f t="shared" si="3"/>
        <v>7500</v>
      </c>
    </row>
    <row r="48" spans="1:36" ht="14" thickBot="1" x14ac:dyDescent="0.2">
      <c r="B48" s="175" t="s">
        <v>958</v>
      </c>
      <c r="C48" s="180" t="s">
        <v>98</v>
      </c>
      <c r="D48" s="181">
        <f>SUM(D44:D47)</f>
        <v>25000</v>
      </c>
      <c r="I48" s="162">
        <v>46082</v>
      </c>
      <c r="J48" s="140">
        <v>45</v>
      </c>
      <c r="K48" s="163">
        <v>5333</v>
      </c>
      <c r="L48" s="140"/>
      <c r="M48" s="140"/>
      <c r="N48" s="140"/>
      <c r="AC48" s="347">
        <v>45085</v>
      </c>
      <c r="AD48" s="128" t="s">
        <v>959</v>
      </c>
      <c r="AE48" s="128" t="s">
        <v>876</v>
      </c>
      <c r="AF48" s="128" t="s">
        <v>99</v>
      </c>
      <c r="AG48" s="353">
        <v>10000</v>
      </c>
      <c r="AH48" s="358">
        <f t="shared" si="2"/>
        <v>10000</v>
      </c>
      <c r="AI48" s="353">
        <f>SUM(AH$3:AH48)</f>
        <v>380968</v>
      </c>
      <c r="AJ48" s="353">
        <f t="shared" si="3"/>
        <v>10000</v>
      </c>
    </row>
    <row r="49" spans="2:36" ht="14" thickTop="1" x14ac:dyDescent="0.15">
      <c r="I49" s="162">
        <v>46113</v>
      </c>
      <c r="J49" s="140">
        <v>46</v>
      </c>
      <c r="K49" s="163">
        <v>5333</v>
      </c>
      <c r="L49" s="140"/>
      <c r="M49" s="140"/>
      <c r="N49" s="140"/>
      <c r="AC49" s="347">
        <v>45086</v>
      </c>
      <c r="AD49" s="128" t="s">
        <v>960</v>
      </c>
      <c r="AE49" s="128" t="s">
        <v>870</v>
      </c>
      <c r="AF49" s="128" t="s">
        <v>99</v>
      </c>
      <c r="AG49" s="353">
        <v>100000</v>
      </c>
      <c r="AH49" s="357">
        <f t="shared" si="2"/>
        <v>-100000</v>
      </c>
      <c r="AI49" s="353">
        <f>SUM(AH$3:AH49)</f>
        <v>280968</v>
      </c>
      <c r="AJ49" s="353">
        <f t="shared" si="3"/>
        <v>-100000</v>
      </c>
    </row>
    <row r="50" spans="2:36" ht="13" x14ac:dyDescent="0.15">
      <c r="I50" s="162">
        <v>46143</v>
      </c>
      <c r="J50" s="140">
        <v>47</v>
      </c>
      <c r="K50" s="163">
        <v>5333</v>
      </c>
      <c r="L50" s="140"/>
      <c r="M50" s="140"/>
      <c r="N50" s="140"/>
      <c r="AC50" s="347">
        <v>45086</v>
      </c>
      <c r="AD50" s="128" t="s">
        <v>960</v>
      </c>
      <c r="AE50" s="128" t="s">
        <v>870</v>
      </c>
      <c r="AF50" s="128" t="s">
        <v>99</v>
      </c>
      <c r="AG50" s="353">
        <v>25000</v>
      </c>
      <c r="AH50" s="357">
        <f t="shared" si="2"/>
        <v>-25000</v>
      </c>
      <c r="AI50" s="353">
        <f>SUM(AH$3:AH50)</f>
        <v>255968</v>
      </c>
      <c r="AJ50" s="353">
        <f t="shared" si="3"/>
        <v>-25000</v>
      </c>
    </row>
    <row r="51" spans="2:36" ht="13" x14ac:dyDescent="0.15">
      <c r="I51" s="162">
        <v>46174</v>
      </c>
      <c r="J51" s="140">
        <v>48</v>
      </c>
      <c r="K51" s="163">
        <v>5333</v>
      </c>
      <c r="L51" s="140"/>
      <c r="M51" s="140"/>
      <c r="N51" s="140"/>
      <c r="AC51" s="347">
        <v>45110</v>
      </c>
      <c r="AD51" s="128" t="s">
        <v>961</v>
      </c>
      <c r="AE51" s="128" t="s">
        <v>876</v>
      </c>
      <c r="AF51" s="128" t="s">
        <v>99</v>
      </c>
      <c r="AG51" s="353">
        <v>10000</v>
      </c>
      <c r="AH51" s="358">
        <f t="shared" si="2"/>
        <v>10000</v>
      </c>
      <c r="AI51" s="353">
        <f>SUM(AH$3:AH51)</f>
        <v>265968</v>
      </c>
      <c r="AJ51" s="353">
        <f t="shared" si="3"/>
        <v>10000</v>
      </c>
    </row>
    <row r="52" spans="2:36" ht="13" x14ac:dyDescent="0.15">
      <c r="D52" s="141">
        <f>SUM(Currency_at_home[Total Currency])</f>
        <v>22550</v>
      </c>
      <c r="I52" s="162">
        <v>46204</v>
      </c>
      <c r="J52" s="140">
        <v>49</v>
      </c>
      <c r="K52" s="163">
        <v>5333</v>
      </c>
      <c r="L52" s="140"/>
      <c r="M52" s="140"/>
      <c r="N52" s="140"/>
      <c r="AC52" s="347">
        <v>45113</v>
      </c>
      <c r="AD52" s="128" t="s">
        <v>962</v>
      </c>
      <c r="AE52" s="128" t="s">
        <v>870</v>
      </c>
      <c r="AF52" s="128" t="s">
        <v>99</v>
      </c>
      <c r="AG52" s="353">
        <v>19900</v>
      </c>
      <c r="AH52" s="357">
        <f t="shared" si="2"/>
        <v>-19900</v>
      </c>
      <c r="AI52" s="353">
        <f>SUM(AH$3:AH52)</f>
        <v>246068</v>
      </c>
      <c r="AJ52" s="353">
        <f t="shared" si="3"/>
        <v>-19900</v>
      </c>
    </row>
    <row r="53" spans="2:36" ht="13" x14ac:dyDescent="0.15">
      <c r="B53" s="141" t="s">
        <v>963</v>
      </c>
      <c r="C53" s="141" t="s">
        <v>964</v>
      </c>
      <c r="D53" s="141" t="s">
        <v>965</v>
      </c>
      <c r="E53" s="141" t="s">
        <v>966</v>
      </c>
      <c r="I53" s="162">
        <v>46235</v>
      </c>
      <c r="J53" s="140">
        <v>50</v>
      </c>
      <c r="K53" s="163">
        <v>5333</v>
      </c>
      <c r="L53" s="140"/>
      <c r="M53" s="140"/>
      <c r="N53" s="140"/>
      <c r="AC53" s="347">
        <v>45122</v>
      </c>
      <c r="AD53" s="128" t="s">
        <v>967</v>
      </c>
      <c r="AE53" s="128" t="s">
        <v>876</v>
      </c>
      <c r="AF53" s="128" t="s">
        <v>99</v>
      </c>
      <c r="AG53" s="353">
        <v>5000</v>
      </c>
      <c r="AH53" s="358">
        <f t="shared" si="2"/>
        <v>5000</v>
      </c>
      <c r="AI53" s="353">
        <f>SUM(AH$3:AH53)</f>
        <v>251068</v>
      </c>
      <c r="AJ53" s="353">
        <f t="shared" si="3"/>
        <v>5000</v>
      </c>
    </row>
    <row r="54" spans="2:36" ht="13" x14ac:dyDescent="0.15">
      <c r="B54" s="141">
        <v>50</v>
      </c>
      <c r="C54" s="141">
        <v>4</v>
      </c>
      <c r="D54" s="141">
        <f t="shared" ref="D54:D57" si="6">B54*C54</f>
        <v>200</v>
      </c>
      <c r="E54" s="141" t="s">
        <v>73</v>
      </c>
      <c r="I54" s="162">
        <v>46266</v>
      </c>
      <c r="J54" s="140">
        <v>51</v>
      </c>
      <c r="K54" s="163">
        <v>5333</v>
      </c>
      <c r="L54" s="140"/>
      <c r="M54" s="140"/>
      <c r="N54" s="140"/>
      <c r="AC54" s="347">
        <v>45139</v>
      </c>
      <c r="AD54" s="128" t="s">
        <v>923</v>
      </c>
      <c r="AE54" s="128" t="s">
        <v>876</v>
      </c>
      <c r="AF54" s="128" t="s">
        <v>99</v>
      </c>
      <c r="AG54" s="353">
        <v>15000</v>
      </c>
      <c r="AH54" s="358">
        <f t="shared" si="2"/>
        <v>15000</v>
      </c>
      <c r="AI54" s="353">
        <f>SUM(AH$3:AH54)</f>
        <v>266068</v>
      </c>
      <c r="AJ54" s="353">
        <f t="shared" si="3"/>
        <v>15000</v>
      </c>
    </row>
    <row r="55" spans="2:36" ht="13" x14ac:dyDescent="0.15">
      <c r="B55" s="141">
        <v>100</v>
      </c>
      <c r="C55" s="141">
        <v>45</v>
      </c>
      <c r="D55" s="141">
        <f t="shared" si="6"/>
        <v>4500</v>
      </c>
      <c r="E55" s="141" t="s">
        <v>73</v>
      </c>
      <c r="I55" s="162">
        <v>46296</v>
      </c>
      <c r="J55" s="140">
        <v>52</v>
      </c>
      <c r="K55" s="163">
        <v>5333</v>
      </c>
      <c r="L55" s="140"/>
      <c r="M55" s="140"/>
      <c r="N55" s="140"/>
      <c r="AC55" s="347">
        <v>45151</v>
      </c>
      <c r="AD55" s="128" t="s">
        <v>968</v>
      </c>
      <c r="AE55" s="128" t="s">
        <v>876</v>
      </c>
      <c r="AF55" s="128" t="s">
        <v>99</v>
      </c>
      <c r="AG55" s="353">
        <v>5000</v>
      </c>
      <c r="AH55" s="358">
        <f t="shared" si="2"/>
        <v>5000</v>
      </c>
      <c r="AI55" s="353">
        <f>SUM(AH$3:AH55)</f>
        <v>271068</v>
      </c>
      <c r="AJ55" s="353">
        <f t="shared" si="3"/>
        <v>5000</v>
      </c>
    </row>
    <row r="56" spans="2:36" ht="13" x14ac:dyDescent="0.15">
      <c r="B56" s="141">
        <v>200</v>
      </c>
      <c r="C56" s="141">
        <v>25</v>
      </c>
      <c r="D56" s="141">
        <f t="shared" si="6"/>
        <v>5000</v>
      </c>
      <c r="E56" s="141" t="s">
        <v>73</v>
      </c>
      <c r="I56" s="162">
        <v>46327</v>
      </c>
      <c r="J56" s="140">
        <v>53</v>
      </c>
      <c r="K56" s="163">
        <v>5333</v>
      </c>
      <c r="L56" s="140"/>
      <c r="M56" s="140"/>
      <c r="N56" s="140"/>
      <c r="AC56" s="347">
        <v>45161</v>
      </c>
      <c r="AD56" s="128" t="s">
        <v>960</v>
      </c>
      <c r="AE56" s="128" t="s">
        <v>876</v>
      </c>
      <c r="AF56" s="128" t="s">
        <v>99</v>
      </c>
      <c r="AG56" s="353">
        <v>2500</v>
      </c>
      <c r="AH56" s="358">
        <f t="shared" si="2"/>
        <v>2500</v>
      </c>
      <c r="AI56" s="353">
        <f>SUM(AH$3:AH56)</f>
        <v>273568</v>
      </c>
      <c r="AJ56" s="353">
        <f t="shared" si="3"/>
        <v>2500</v>
      </c>
    </row>
    <row r="57" spans="2:36" ht="13" x14ac:dyDescent="0.15">
      <c r="B57" s="141">
        <v>500</v>
      </c>
      <c r="C57" s="141">
        <v>16</v>
      </c>
      <c r="D57" s="141">
        <f t="shared" si="6"/>
        <v>8000</v>
      </c>
      <c r="E57" s="141" t="s">
        <v>73</v>
      </c>
      <c r="I57" s="162">
        <v>46357</v>
      </c>
      <c r="J57" s="140">
        <v>54</v>
      </c>
      <c r="K57" s="163">
        <v>5333</v>
      </c>
      <c r="L57" s="140"/>
      <c r="M57" s="140"/>
      <c r="N57" s="140"/>
      <c r="AC57" s="347">
        <v>45166</v>
      </c>
      <c r="AD57" s="128" t="s">
        <v>500</v>
      </c>
      <c r="AE57" s="128" t="s">
        <v>870</v>
      </c>
      <c r="AF57" s="128" t="s">
        <v>99</v>
      </c>
      <c r="AG57" s="353">
        <v>12100</v>
      </c>
      <c r="AH57" s="357">
        <f t="shared" si="2"/>
        <v>-12100</v>
      </c>
      <c r="AI57" s="353">
        <f>SUM(AH$3:AH57)</f>
        <v>261468</v>
      </c>
      <c r="AJ57" s="353">
        <f t="shared" si="3"/>
        <v>-12100</v>
      </c>
    </row>
    <row r="58" spans="2:36" ht="13" x14ac:dyDescent="0.15">
      <c r="D58" s="141">
        <v>3500</v>
      </c>
      <c r="E58" s="141" t="s">
        <v>969</v>
      </c>
      <c r="I58" s="162">
        <v>46388</v>
      </c>
      <c r="J58" s="140">
        <v>55</v>
      </c>
      <c r="K58" s="163">
        <v>5333</v>
      </c>
      <c r="L58" s="140"/>
      <c r="M58" s="140"/>
      <c r="N58" s="140"/>
      <c r="AC58" s="347">
        <v>45170</v>
      </c>
      <c r="AD58" s="128" t="s">
        <v>970</v>
      </c>
      <c r="AE58" s="128" t="s">
        <v>870</v>
      </c>
      <c r="AF58" s="128" t="s">
        <v>99</v>
      </c>
      <c r="AG58" s="353">
        <v>13000</v>
      </c>
      <c r="AH58" s="357">
        <f t="shared" si="2"/>
        <v>-13000</v>
      </c>
      <c r="AI58" s="353">
        <f>SUM(AH$3:AH58)</f>
        <v>248468</v>
      </c>
      <c r="AJ58" s="353">
        <f t="shared" si="3"/>
        <v>-13000</v>
      </c>
    </row>
    <row r="59" spans="2:36" ht="13" x14ac:dyDescent="0.15">
      <c r="B59" s="141">
        <v>10</v>
      </c>
      <c r="C59" s="141">
        <v>105</v>
      </c>
      <c r="D59" s="141">
        <f t="shared" ref="D59:D66" si="7">B59*C59</f>
        <v>1050</v>
      </c>
      <c r="E59" s="141" t="s">
        <v>971</v>
      </c>
      <c r="I59" s="162">
        <v>46419</v>
      </c>
      <c r="J59" s="140">
        <v>56</v>
      </c>
      <c r="K59" s="163">
        <v>5333</v>
      </c>
      <c r="L59" s="140"/>
      <c r="M59" s="140"/>
      <c r="N59" s="140"/>
      <c r="AC59" s="347">
        <v>45187</v>
      </c>
      <c r="AD59" s="128" t="s">
        <v>968</v>
      </c>
      <c r="AE59" s="128" t="s">
        <v>876</v>
      </c>
      <c r="AF59" s="128" t="s">
        <v>99</v>
      </c>
      <c r="AG59" s="353">
        <v>6000</v>
      </c>
      <c r="AH59" s="358">
        <f t="shared" si="2"/>
        <v>6000</v>
      </c>
      <c r="AI59" s="353">
        <f>SUM(AH$3:AH59)</f>
        <v>254468</v>
      </c>
      <c r="AJ59" s="353">
        <f t="shared" si="3"/>
        <v>6000</v>
      </c>
    </row>
    <row r="60" spans="2:36" ht="13" x14ac:dyDescent="0.15">
      <c r="B60" s="141">
        <v>20</v>
      </c>
      <c r="C60" s="141">
        <v>100</v>
      </c>
      <c r="D60" s="141">
        <f t="shared" si="7"/>
        <v>2000</v>
      </c>
      <c r="E60" s="141" t="s">
        <v>971</v>
      </c>
      <c r="I60" s="162">
        <v>46447</v>
      </c>
      <c r="J60" s="140">
        <v>57</v>
      </c>
      <c r="K60" s="163">
        <v>5333</v>
      </c>
      <c r="L60" s="140"/>
      <c r="M60" s="140"/>
      <c r="N60" s="140"/>
      <c r="AC60" s="347">
        <v>45198</v>
      </c>
      <c r="AD60" s="128" t="s">
        <v>972</v>
      </c>
      <c r="AE60" s="128" t="s">
        <v>876</v>
      </c>
      <c r="AF60" s="128" t="s">
        <v>99</v>
      </c>
      <c r="AG60" s="353">
        <v>170000</v>
      </c>
      <c r="AH60" s="358">
        <f t="shared" si="2"/>
        <v>170000</v>
      </c>
      <c r="AI60" s="353">
        <f>SUM(AH$3:AH60)</f>
        <v>424468</v>
      </c>
      <c r="AJ60" s="353">
        <f t="shared" si="3"/>
        <v>170000</v>
      </c>
    </row>
    <row r="61" spans="2:36" ht="13" x14ac:dyDescent="0.15">
      <c r="B61" s="141">
        <v>20</v>
      </c>
      <c r="C61" s="141">
        <v>100</v>
      </c>
      <c r="D61" s="141">
        <f t="shared" si="7"/>
        <v>2000</v>
      </c>
      <c r="E61" s="141" t="s">
        <v>971</v>
      </c>
      <c r="I61" s="162">
        <v>46478</v>
      </c>
      <c r="J61" s="140">
        <v>58</v>
      </c>
      <c r="K61" s="163">
        <v>5333</v>
      </c>
      <c r="L61" s="140"/>
      <c r="M61" s="140"/>
      <c r="N61" s="140"/>
      <c r="AC61" s="347">
        <v>45198</v>
      </c>
      <c r="AD61" s="128" t="s">
        <v>972</v>
      </c>
      <c r="AE61" s="128" t="s">
        <v>870</v>
      </c>
      <c r="AF61" s="128" t="s">
        <v>99</v>
      </c>
      <c r="AG61" s="353">
        <v>100000</v>
      </c>
      <c r="AH61" s="357">
        <f t="shared" si="2"/>
        <v>-100000</v>
      </c>
      <c r="AI61" s="353">
        <f>SUM(AH$3:AH61)</f>
        <v>324468</v>
      </c>
      <c r="AJ61" s="353">
        <f t="shared" si="3"/>
        <v>-100000</v>
      </c>
    </row>
    <row r="62" spans="2:36" ht="13" x14ac:dyDescent="0.15">
      <c r="B62" s="141">
        <v>20</v>
      </c>
      <c r="C62" s="141">
        <v>100</v>
      </c>
      <c r="D62" s="141">
        <f t="shared" si="7"/>
        <v>2000</v>
      </c>
      <c r="E62" s="141" t="s">
        <v>971</v>
      </c>
      <c r="I62" s="162">
        <v>46508</v>
      </c>
      <c r="J62" s="140">
        <v>59</v>
      </c>
      <c r="K62" s="163">
        <v>5333</v>
      </c>
      <c r="L62" s="140"/>
      <c r="M62" s="140"/>
      <c r="N62" s="140"/>
      <c r="AC62" s="347">
        <v>45198</v>
      </c>
      <c r="AD62" s="128" t="s">
        <v>916</v>
      </c>
      <c r="AE62" s="128" t="s">
        <v>870</v>
      </c>
      <c r="AF62" s="128" t="s">
        <v>99</v>
      </c>
      <c r="AG62" s="353">
        <v>100000</v>
      </c>
      <c r="AH62" s="357">
        <f t="shared" si="2"/>
        <v>-100000</v>
      </c>
      <c r="AI62" s="353">
        <f>SUM(AH$3:AH62)</f>
        <v>224468</v>
      </c>
      <c r="AJ62" s="353">
        <f t="shared" si="3"/>
        <v>-100000</v>
      </c>
    </row>
    <row r="63" spans="2:36" ht="13" x14ac:dyDescent="0.15">
      <c r="B63" s="141">
        <v>50</v>
      </c>
      <c r="C63" s="141">
        <v>100</v>
      </c>
      <c r="D63" s="141">
        <f t="shared" si="7"/>
        <v>5000</v>
      </c>
      <c r="E63" s="141" t="s">
        <v>971</v>
      </c>
      <c r="I63" s="162">
        <v>46539</v>
      </c>
      <c r="J63" s="140">
        <v>60</v>
      </c>
      <c r="K63" s="163">
        <v>5333</v>
      </c>
      <c r="L63" s="140"/>
      <c r="M63" s="140"/>
      <c r="N63" s="140"/>
      <c r="AC63" s="347">
        <v>45198</v>
      </c>
      <c r="AD63" s="128" t="s">
        <v>916</v>
      </c>
      <c r="AE63" s="128" t="s">
        <v>870</v>
      </c>
      <c r="AF63" s="128" t="s">
        <v>99</v>
      </c>
      <c r="AG63" s="353">
        <v>42000</v>
      </c>
      <c r="AH63" s="357">
        <f t="shared" si="2"/>
        <v>-42000</v>
      </c>
      <c r="AI63" s="353">
        <f>SUM(AH$3:AH63)</f>
        <v>182468</v>
      </c>
      <c r="AJ63" s="353">
        <f t="shared" si="3"/>
        <v>-42000</v>
      </c>
    </row>
    <row r="64" spans="2:36" ht="13" x14ac:dyDescent="0.15">
      <c r="B64" s="141">
        <v>50</v>
      </c>
      <c r="C64" s="141">
        <v>100</v>
      </c>
      <c r="D64" s="141">
        <f t="shared" si="7"/>
        <v>5000</v>
      </c>
      <c r="E64" s="141" t="s">
        <v>971</v>
      </c>
      <c r="I64" s="162">
        <v>46569</v>
      </c>
      <c r="J64" s="140">
        <v>61</v>
      </c>
      <c r="K64" s="163">
        <v>5333</v>
      </c>
      <c r="L64" s="140"/>
      <c r="M64" s="140"/>
      <c r="N64" s="140"/>
      <c r="AC64" s="347">
        <v>45211</v>
      </c>
      <c r="AD64" s="128" t="s">
        <v>973</v>
      </c>
      <c r="AE64" s="128" t="s">
        <v>876</v>
      </c>
      <c r="AF64" s="128" t="s">
        <v>99</v>
      </c>
      <c r="AG64" s="353">
        <v>25000</v>
      </c>
      <c r="AH64" s="358">
        <f t="shared" si="2"/>
        <v>25000</v>
      </c>
      <c r="AI64" s="353">
        <f>SUM(AH$3:AH64)</f>
        <v>207468</v>
      </c>
      <c r="AJ64" s="353">
        <f t="shared" si="3"/>
        <v>25000</v>
      </c>
    </row>
    <row r="65" spans="2:36" ht="13" x14ac:dyDescent="0.15">
      <c r="B65" s="141">
        <v>100</v>
      </c>
      <c r="C65" s="141">
        <v>15</v>
      </c>
      <c r="D65" s="141">
        <f t="shared" si="7"/>
        <v>1500</v>
      </c>
      <c r="E65" s="141" t="s">
        <v>971</v>
      </c>
      <c r="I65" s="162">
        <v>46600</v>
      </c>
      <c r="J65" s="140">
        <v>62</v>
      </c>
      <c r="K65" s="163">
        <v>5333</v>
      </c>
      <c r="L65" s="140"/>
      <c r="M65" s="140"/>
      <c r="N65" s="140"/>
      <c r="AC65" s="347">
        <v>45250</v>
      </c>
      <c r="AD65" s="128" t="s">
        <v>974</v>
      </c>
      <c r="AE65" s="128" t="s">
        <v>870</v>
      </c>
      <c r="AF65" s="128" t="s">
        <v>99</v>
      </c>
      <c r="AG65" s="353">
        <v>5000</v>
      </c>
      <c r="AH65" s="357">
        <f t="shared" si="2"/>
        <v>-5000</v>
      </c>
      <c r="AI65" s="353">
        <f>SUM(AH$3:AH65)</f>
        <v>202468</v>
      </c>
      <c r="AJ65" s="353">
        <f t="shared" si="3"/>
        <v>-5000</v>
      </c>
    </row>
    <row r="66" spans="2:36" ht="13" x14ac:dyDescent="0.15">
      <c r="B66" s="140">
        <v>500</v>
      </c>
      <c r="C66" s="140">
        <v>1</v>
      </c>
      <c r="D66" s="141">
        <f t="shared" si="7"/>
        <v>500</v>
      </c>
      <c r="E66" s="140" t="s">
        <v>971</v>
      </c>
      <c r="I66" s="162">
        <v>46631</v>
      </c>
      <c r="J66" s="140">
        <v>63</v>
      </c>
      <c r="K66" s="163">
        <v>5333</v>
      </c>
      <c r="L66" s="140"/>
      <c r="M66" s="140"/>
      <c r="N66" s="140"/>
      <c r="AC66" s="347">
        <v>45252</v>
      </c>
      <c r="AD66" s="128" t="s">
        <v>975</v>
      </c>
      <c r="AE66" s="128" t="s">
        <v>870</v>
      </c>
      <c r="AF66" s="128" t="s">
        <v>99</v>
      </c>
      <c r="AG66" s="353">
        <v>25000</v>
      </c>
      <c r="AH66" s="357">
        <f t="shared" si="2"/>
        <v>-25000</v>
      </c>
      <c r="AI66" s="353">
        <f>SUM(AH$3:AH66)</f>
        <v>177468</v>
      </c>
      <c r="AJ66" s="353">
        <f t="shared" si="3"/>
        <v>-25000</v>
      </c>
    </row>
    <row r="67" spans="2:36" ht="13" x14ac:dyDescent="0.15">
      <c r="C67" s="140"/>
      <c r="D67" s="140">
        <v>-17700</v>
      </c>
      <c r="E67" s="182" t="s">
        <v>73</v>
      </c>
      <c r="I67" s="162">
        <v>46661</v>
      </c>
      <c r="J67" s="140">
        <v>64</v>
      </c>
      <c r="K67" s="163">
        <v>5333</v>
      </c>
      <c r="L67" s="140"/>
      <c r="M67" s="140"/>
      <c r="N67" s="140"/>
      <c r="AC67" s="347">
        <v>45271</v>
      </c>
      <c r="AD67" s="128" t="s">
        <v>967</v>
      </c>
      <c r="AE67" s="128" t="s">
        <v>876</v>
      </c>
      <c r="AF67" s="128" t="s">
        <v>99</v>
      </c>
      <c r="AG67" s="353">
        <v>20000</v>
      </c>
      <c r="AH67" s="358">
        <f t="shared" ref="AH67:AH70" si="8">IF(AE67="Debit",-AG67,AG67)</f>
        <v>20000</v>
      </c>
      <c r="AI67" s="353">
        <f>SUM(AH$3:AH67)</f>
        <v>197468</v>
      </c>
      <c r="AJ67" s="353">
        <f t="shared" si="3"/>
        <v>20000</v>
      </c>
    </row>
    <row r="68" spans="2:36" ht="13" x14ac:dyDescent="0.15">
      <c r="I68" s="162">
        <v>46692</v>
      </c>
      <c r="J68" s="140">
        <v>65</v>
      </c>
      <c r="K68" s="163">
        <v>5333</v>
      </c>
      <c r="L68" s="140"/>
      <c r="M68" s="140"/>
      <c r="N68" s="140"/>
      <c r="AC68" s="347">
        <v>45271</v>
      </c>
      <c r="AD68" s="128" t="s">
        <v>976</v>
      </c>
      <c r="AE68" s="128" t="s">
        <v>870</v>
      </c>
      <c r="AF68" s="128" t="s">
        <v>99</v>
      </c>
      <c r="AG68" s="353">
        <v>100000</v>
      </c>
      <c r="AH68" s="357">
        <f t="shared" si="8"/>
        <v>-100000</v>
      </c>
      <c r="AI68" s="353">
        <f>SUM(AH$3:AH68)</f>
        <v>97468</v>
      </c>
      <c r="AJ68" s="353">
        <f t="shared" si="3"/>
        <v>-100000</v>
      </c>
    </row>
    <row r="69" spans="2:36" ht="13" x14ac:dyDescent="0.15">
      <c r="I69" s="162">
        <v>46722</v>
      </c>
      <c r="J69" s="140">
        <v>66</v>
      </c>
      <c r="K69" s="163">
        <v>5333</v>
      </c>
      <c r="L69" s="140"/>
      <c r="M69" s="140"/>
      <c r="N69" s="140"/>
      <c r="AC69" s="347">
        <v>45280</v>
      </c>
      <c r="AD69" s="128" t="s">
        <v>953</v>
      </c>
      <c r="AE69" s="128" t="s">
        <v>876</v>
      </c>
      <c r="AF69" s="128" t="s">
        <v>99</v>
      </c>
      <c r="AG69" s="353">
        <v>100000</v>
      </c>
      <c r="AH69" s="358">
        <f t="shared" si="8"/>
        <v>100000</v>
      </c>
      <c r="AI69" s="353">
        <f>SUM(AH$3:AH69)</f>
        <v>197468</v>
      </c>
      <c r="AJ69" s="353">
        <f t="shared" si="3"/>
        <v>100000</v>
      </c>
    </row>
    <row r="70" spans="2:36" ht="13" x14ac:dyDescent="0.15">
      <c r="I70" s="162">
        <v>46753</v>
      </c>
      <c r="J70" s="140">
        <v>67</v>
      </c>
      <c r="K70" s="163">
        <v>5333</v>
      </c>
      <c r="L70" s="140"/>
      <c r="M70" s="140"/>
      <c r="N70" s="140"/>
      <c r="AC70" s="347">
        <v>45308</v>
      </c>
      <c r="AD70" s="128" t="s">
        <v>953</v>
      </c>
      <c r="AE70" s="128" t="s">
        <v>870</v>
      </c>
      <c r="AF70" s="128" t="s">
        <v>99</v>
      </c>
      <c r="AG70" s="353">
        <v>100000</v>
      </c>
      <c r="AH70" s="357">
        <f t="shared" si="8"/>
        <v>-100000</v>
      </c>
      <c r="AI70" s="353">
        <f>SUM(AH$3:AH70)</f>
        <v>97468</v>
      </c>
      <c r="AJ70" s="353">
        <f t="shared" si="3"/>
        <v>-100000</v>
      </c>
    </row>
    <row r="71" spans="2:36" x14ac:dyDescent="0.15">
      <c r="I71" s="162">
        <v>46784</v>
      </c>
      <c r="J71" s="140">
        <v>68</v>
      </c>
      <c r="K71" s="163">
        <v>5333</v>
      </c>
      <c r="L71" s="140"/>
      <c r="M71" s="140"/>
      <c r="N71" s="140"/>
    </row>
    <row r="72" spans="2:36" x14ac:dyDescent="0.15">
      <c r="I72" s="162">
        <v>46813</v>
      </c>
      <c r="J72" s="140">
        <v>69</v>
      </c>
      <c r="K72" s="163">
        <v>5333</v>
      </c>
      <c r="L72" s="140"/>
      <c r="M72" s="140"/>
      <c r="N72" s="140"/>
    </row>
    <row r="73" spans="2:36" x14ac:dyDescent="0.15">
      <c r="I73" s="162">
        <v>46844</v>
      </c>
      <c r="J73" s="140">
        <v>70</v>
      </c>
      <c r="K73" s="163">
        <v>5333</v>
      </c>
      <c r="L73" s="140"/>
      <c r="M73" s="140"/>
      <c r="N73" s="140"/>
    </row>
    <row r="74" spans="2:36" x14ac:dyDescent="0.15">
      <c r="I74" s="162">
        <v>46874</v>
      </c>
      <c r="J74" s="140">
        <v>71</v>
      </c>
      <c r="K74" s="163">
        <v>5333</v>
      </c>
      <c r="L74" s="140"/>
      <c r="M74" s="140"/>
      <c r="N74" s="140"/>
    </row>
    <row r="75" spans="2:36" x14ac:dyDescent="0.15">
      <c r="I75" s="162">
        <v>46905</v>
      </c>
      <c r="J75" s="140">
        <v>72</v>
      </c>
      <c r="K75" s="163">
        <v>5333</v>
      </c>
      <c r="L75" s="140"/>
      <c r="M75" s="140"/>
      <c r="N75" s="140"/>
    </row>
    <row r="76" spans="2:36" x14ac:dyDescent="0.15">
      <c r="I76" s="162">
        <v>46935</v>
      </c>
      <c r="J76" s="140">
        <v>73</v>
      </c>
      <c r="K76" s="163">
        <v>5333</v>
      </c>
      <c r="L76" s="140"/>
      <c r="M76" s="140"/>
      <c r="N76" s="140"/>
    </row>
    <row r="77" spans="2:36" x14ac:dyDescent="0.15">
      <c r="I77" s="162">
        <v>46966</v>
      </c>
      <c r="J77" s="140">
        <v>74</v>
      </c>
      <c r="K77" s="163">
        <v>5333</v>
      </c>
      <c r="L77" s="140"/>
      <c r="M77" s="140"/>
      <c r="N77" s="140"/>
    </row>
    <row r="78" spans="2:36" x14ac:dyDescent="0.15">
      <c r="I78" s="162">
        <v>46997</v>
      </c>
      <c r="J78" s="140">
        <v>75</v>
      </c>
      <c r="K78" s="163">
        <v>5333</v>
      </c>
      <c r="L78" s="140"/>
      <c r="M78" s="140"/>
      <c r="N78" s="140"/>
    </row>
    <row r="79" spans="2:36" x14ac:dyDescent="0.15">
      <c r="I79" s="162">
        <v>47027</v>
      </c>
      <c r="J79" s="140">
        <v>76</v>
      </c>
      <c r="K79" s="163">
        <v>5333</v>
      </c>
      <c r="L79" s="140"/>
      <c r="M79" s="140"/>
      <c r="N79" s="140"/>
    </row>
    <row r="80" spans="2:36" x14ac:dyDescent="0.15">
      <c r="I80" s="162">
        <v>47058</v>
      </c>
      <c r="J80" s="140">
        <v>77</v>
      </c>
      <c r="K80" s="163">
        <v>5333</v>
      </c>
      <c r="L80" s="140"/>
      <c r="M80" s="140"/>
      <c r="N80" s="140"/>
    </row>
    <row r="81" spans="9:14" x14ac:dyDescent="0.15">
      <c r="I81" s="162">
        <v>47088</v>
      </c>
      <c r="J81" s="140">
        <v>78</v>
      </c>
      <c r="K81" s="163">
        <v>5333</v>
      </c>
      <c r="L81" s="140"/>
      <c r="M81" s="140"/>
      <c r="N81" s="140"/>
    </row>
    <row r="82" spans="9:14" x14ac:dyDescent="0.15">
      <c r="I82" s="162">
        <v>47119</v>
      </c>
      <c r="J82" s="140">
        <v>79</v>
      </c>
      <c r="K82" s="163">
        <v>5333</v>
      </c>
      <c r="L82" s="140"/>
      <c r="M82" s="140"/>
      <c r="N82" s="140"/>
    </row>
    <row r="83" spans="9:14" x14ac:dyDescent="0.15">
      <c r="I83" s="162">
        <v>47150</v>
      </c>
      <c r="J83" s="140">
        <v>80</v>
      </c>
      <c r="K83" s="163">
        <v>5333</v>
      </c>
      <c r="L83" s="140"/>
      <c r="M83" s="140"/>
      <c r="N83" s="140"/>
    </row>
    <row r="84" spans="9:14" x14ac:dyDescent="0.15">
      <c r="I84" s="162">
        <v>47178</v>
      </c>
      <c r="J84" s="140">
        <v>81</v>
      </c>
      <c r="K84" s="163">
        <v>5333</v>
      </c>
      <c r="L84" s="140"/>
      <c r="M84" s="140"/>
      <c r="N84" s="140"/>
    </row>
    <row r="85" spans="9:14" x14ac:dyDescent="0.15">
      <c r="I85" s="162">
        <v>47209</v>
      </c>
      <c r="J85" s="140">
        <v>82</v>
      </c>
      <c r="K85" s="163">
        <v>5333</v>
      </c>
      <c r="L85" s="140"/>
      <c r="M85" s="140"/>
      <c r="N85" s="140"/>
    </row>
    <row r="86" spans="9:14" x14ac:dyDescent="0.15">
      <c r="I86" s="162">
        <v>47239</v>
      </c>
      <c r="J86" s="140">
        <v>83</v>
      </c>
      <c r="K86" s="163">
        <v>5333</v>
      </c>
      <c r="L86" s="140"/>
      <c r="M86" s="140"/>
      <c r="N86" s="140"/>
    </row>
    <row r="87" spans="9:14" x14ac:dyDescent="0.15">
      <c r="I87" s="162">
        <v>47270</v>
      </c>
      <c r="J87" s="140">
        <v>84</v>
      </c>
      <c r="K87" s="163">
        <v>8370</v>
      </c>
      <c r="L87" s="140"/>
      <c r="M87" s="140"/>
      <c r="N87" s="140"/>
    </row>
  </sheetData>
  <sheetProtection algorithmName="SHA-512" hashValue="DTk7o7KQCqTvDfoD83J50Q7oVXqI+KTa5tb6UEuYQ067ddqe8nqAcGEAMXpE0rjqdWQzt5XBsD+bfkHS74e6Mw==" saltValue="nGAV7UnOoXu6p2/+OZG9Eg==" spinCount="100000" sheet="1" objects="1" scenarios="1"/>
  <mergeCells count="1">
    <mergeCell ref="W3:Y3"/>
  </mergeCells>
  <dataValidations count="5">
    <dataValidation type="custom" allowBlank="1" showDropDown="1" sqref="C54:D67" xr:uid="{F4D46F01-215F-43C6-B98C-4C013E98F585}">
      <formula1>AND(ISNUMBER(C54),(NOT(OR(NOT(ISERROR(DATEVALUE(C54))), AND(ISNUMBER(C54), LEFT(CELL("format", C54))="D")))))</formula1>
    </dataValidation>
    <dataValidation type="custom" allowBlank="1" showDropDown="1" sqref="I3:I87" xr:uid="{D4E67A9E-57B0-41DF-B205-A311BA93CDE8}">
      <formula1>OR(NOT(ISERROR(DATEVALUE(I3))), AND(ISNUMBER(I3), LEFT(CELL("format", I3))="D"))</formula1>
    </dataValidation>
    <dataValidation type="custom" allowBlank="1" showDropDown="1" showErrorMessage="1" sqref="AC2:AC70" xr:uid="{D02C9516-A49A-9046-856A-0C20A849F2E1}">
      <formula1>OR(NOT(ISERROR(DATEVALUE(AC2))), AND(ISNUMBER(AC2), LEFT(CELL("format", AC2))="D"))</formula1>
    </dataValidation>
    <dataValidation type="list" allowBlank="1" showDropDown="1" showErrorMessage="1" sqref="AF2:AF70" xr:uid="{92EDF661-48B6-BC43-AA23-5603832A430F}">
      <formula1>"Papa,Self"</formula1>
    </dataValidation>
    <dataValidation type="list" allowBlank="1" showDropDown="1" showErrorMessage="1" sqref="AE2:AE70" xr:uid="{D5CFE664-0FD9-0D48-A821-594753B0DE4C}">
      <formula1>"Credit,Debit"</formula1>
    </dataValidation>
  </dataValidations>
  <pageMargins left="0.7" right="0.7" top="0.75" bottom="0.75" header="0.3" footer="0.3"/>
  <pageSetup paperSize="9" orientation="portrait" horizontalDpi="0" verticalDpi="0"/>
  <ignoredErrors>
    <ignoredError sqref="D43" formula="1"/>
    <ignoredError sqref="AH2:AJ2" calculatedColumn="1"/>
  </ignoredErrors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📊 Executive Dashboard</vt:lpstr>
      <vt:lpstr>🏠 Dashboard</vt:lpstr>
      <vt:lpstr>Settings</vt:lpstr>
      <vt:lpstr>Detailed</vt:lpstr>
      <vt:lpstr>Salary</vt:lpstr>
      <vt:lpstr>EMI</vt:lpstr>
      <vt:lpstr>Transactions</vt:lpstr>
      <vt:lpstr>Cashflow</vt:lpstr>
      <vt:lpstr>Own</vt:lpstr>
      <vt:lpstr>CashflowTypeList</vt:lpstr>
      <vt:lpstr>CategoryList</vt:lpstr>
      <vt:lpstr>LenderList</vt:lpstr>
      <vt:lpstr>PaymentModeList</vt:lpstr>
      <vt:lpstr>TxnTypeList</vt:lpstr>
      <vt:lpstr>YearList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Rajan Kr Mishra</cp:lastModifiedBy>
  <cp:revision>14</cp:revision>
  <dcterms:created xsi:type="dcterms:W3CDTF">2026-06-12T10:17:16Z</dcterms:created>
  <dcterms:modified xsi:type="dcterms:W3CDTF">2026-08-08T11:08:14Z</dcterms:modified>
  <cp:category/>
  <cp:contentStatus/>
</cp:coreProperties>
</file>